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3MTDNN_v2.0\Yearly_scale_experiments\Yearly_retrievals_analysis\vehicle_data_analysis\"/>
    </mc:Choice>
  </mc:AlternateContent>
  <xr:revisionPtr revIDLastSave="0" documentId="13_ncr:1_{484D9AE7-FED6-4A73-9E7D-EB32F8740CCA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U123" i="1" l="1"/>
  <c r="U215" i="1"/>
  <c r="U230" i="1"/>
  <c r="U423" i="1"/>
  <c r="U102" i="1"/>
  <c r="U175" i="1"/>
  <c r="U304" i="1"/>
  <c r="U233" i="1"/>
  <c r="U152" i="1"/>
  <c r="U305" i="1"/>
  <c r="U140" i="1"/>
  <c r="U196" i="1"/>
  <c r="U100" i="1"/>
  <c r="U414" i="1"/>
  <c r="U331" i="1"/>
  <c r="U410" i="1"/>
  <c r="U162" i="1"/>
  <c r="U92" i="1"/>
  <c r="U258" i="1"/>
  <c r="U265" i="1"/>
  <c r="U147" i="1"/>
  <c r="U130" i="1"/>
  <c r="U208" i="1"/>
  <c r="U86" i="1"/>
  <c r="U235" i="1"/>
  <c r="U205" i="1"/>
  <c r="U280" i="1"/>
  <c r="U74" i="1"/>
  <c r="U395" i="1"/>
  <c r="U217" i="1"/>
  <c r="U146" i="1"/>
  <c r="U197" i="1"/>
  <c r="U386" i="1"/>
  <c r="U97" i="1"/>
  <c r="U366" i="1"/>
  <c r="U40" i="1"/>
  <c r="U145" i="1"/>
  <c r="U173" i="1"/>
  <c r="U242" i="1"/>
  <c r="U87" i="1"/>
  <c r="U218" i="1"/>
  <c r="U243" i="1"/>
  <c r="U261" i="1"/>
  <c r="U137" i="1"/>
  <c r="U252" i="1"/>
  <c r="U125" i="1"/>
  <c r="U327" i="1"/>
  <c r="U297" i="1"/>
  <c r="U8" i="1"/>
  <c r="U228" i="1"/>
  <c r="U149" i="1"/>
  <c r="U356" i="1"/>
  <c r="U124" i="1"/>
  <c r="U376" i="1"/>
  <c r="U203" i="1"/>
  <c r="U363" i="1"/>
  <c r="U139" i="1"/>
  <c r="U273" i="1"/>
  <c r="U393" i="1"/>
  <c r="U362" i="1"/>
  <c r="U241" i="1"/>
  <c r="U91" i="1"/>
  <c r="U294" i="1"/>
  <c r="U545" i="1"/>
  <c r="U251" i="1"/>
  <c r="U431" i="1"/>
  <c r="U148" i="1"/>
  <c r="U348" i="1"/>
  <c r="U561" i="1"/>
  <c r="U79" i="1"/>
  <c r="U326" i="1"/>
  <c r="U171" i="1"/>
  <c r="U324" i="1"/>
  <c r="U226" i="1"/>
  <c r="U342" i="1"/>
  <c r="U259" i="1"/>
  <c r="U104" i="1"/>
  <c r="U627" i="1"/>
  <c r="U456" i="1"/>
  <c r="U472" i="1"/>
  <c r="U158" i="1"/>
  <c r="U445" i="1"/>
  <c r="U194" i="1"/>
  <c r="U434" i="1"/>
  <c r="U412" i="1"/>
  <c r="U504" i="1"/>
  <c r="U118" i="1"/>
  <c r="U93" i="1"/>
  <c r="U126" i="1"/>
  <c r="U206" i="1"/>
  <c r="U359" i="1"/>
  <c r="U299" i="1"/>
  <c r="U329" i="1"/>
  <c r="U319" i="1"/>
  <c r="U222" i="1"/>
  <c r="U290" i="1"/>
  <c r="U101" i="1"/>
  <c r="U270" i="1"/>
  <c r="U501" i="1"/>
  <c r="U245" i="1"/>
  <c r="U333" i="1"/>
  <c r="U2" i="1"/>
  <c r="U60" i="1"/>
  <c r="U560" i="1"/>
  <c r="U281" i="1"/>
  <c r="U65" i="1"/>
  <c r="U268" i="1"/>
  <c r="U180" i="1"/>
  <c r="U429" i="1"/>
  <c r="U115" i="1"/>
  <c r="U306" i="1"/>
  <c r="U451" i="1"/>
  <c r="U300" i="1"/>
  <c r="U63" i="1"/>
  <c r="U470" i="1"/>
  <c r="U463" i="1"/>
  <c r="U382" i="1"/>
  <c r="U169" i="1"/>
  <c r="U335" i="1"/>
  <c r="U328" i="1"/>
  <c r="U168" i="1"/>
  <c r="U112" i="1"/>
  <c r="U440" i="1"/>
  <c r="U372" i="1"/>
  <c r="U554" i="1"/>
  <c r="U212" i="1"/>
  <c r="U114" i="1"/>
  <c r="U213" i="1"/>
  <c r="U266" i="1"/>
  <c r="U301" i="1"/>
  <c r="U364" i="1"/>
  <c r="U80" i="1"/>
  <c r="U322" i="1"/>
  <c r="U371" i="1"/>
  <c r="U84" i="1"/>
  <c r="U61" i="1"/>
  <c r="U318" i="1"/>
  <c r="U276" i="1"/>
  <c r="U427" i="1"/>
  <c r="U207" i="1"/>
  <c r="U340" i="1"/>
  <c r="U57" i="1"/>
  <c r="U341" i="1"/>
  <c r="U312" i="1"/>
  <c r="U69" i="1"/>
  <c r="U106" i="1"/>
  <c r="U358" i="1"/>
  <c r="U56" i="1"/>
  <c r="U81" i="1"/>
  <c r="U21" i="1"/>
  <c r="U465" i="1"/>
  <c r="U502" i="1"/>
  <c r="U33" i="1"/>
  <c r="U36" i="1"/>
  <c r="U489" i="1"/>
  <c r="U122" i="1"/>
  <c r="U224" i="1"/>
  <c r="U310" i="1"/>
  <c r="U75" i="1"/>
  <c r="U62" i="1"/>
  <c r="U38" i="1"/>
  <c r="U72" i="1"/>
  <c r="U541" i="1"/>
  <c r="U394" i="1"/>
  <c r="U155" i="1"/>
  <c r="U237" i="1"/>
  <c r="U134" i="1"/>
  <c r="U641" i="1"/>
  <c r="U181" i="1"/>
  <c r="U221" i="1"/>
  <c r="U28" i="1"/>
  <c r="U132" i="1"/>
  <c r="U49" i="1"/>
  <c r="U59" i="1"/>
  <c r="U5" i="1"/>
  <c r="U82" i="1"/>
  <c r="U581" i="1"/>
  <c r="U307" i="1"/>
  <c r="U229" i="1"/>
  <c r="U76" i="1"/>
  <c r="U26" i="1"/>
  <c r="U187" i="1"/>
  <c r="U151" i="1"/>
  <c r="U53" i="1"/>
  <c r="U353" i="1"/>
  <c r="U16" i="1"/>
  <c r="U22" i="1"/>
  <c r="U365" i="1"/>
  <c r="U530" i="1"/>
  <c r="U522" i="1"/>
  <c r="U133" i="1"/>
  <c r="U192" i="1"/>
  <c r="U549" i="1"/>
  <c r="U417" i="1"/>
  <c r="U99" i="1"/>
  <c r="U250" i="1"/>
  <c r="U47" i="1"/>
  <c r="U157" i="1"/>
  <c r="U136" i="1"/>
  <c r="U337" i="1"/>
  <c r="U66" i="1"/>
  <c r="U216" i="1"/>
  <c r="U263" i="1"/>
  <c r="U236" i="1"/>
  <c r="U508" i="1"/>
  <c r="U402" i="1"/>
  <c r="U29" i="1"/>
  <c r="U484" i="1"/>
  <c r="U602" i="1"/>
  <c r="U25" i="1"/>
  <c r="U19" i="1"/>
  <c r="U360" i="1"/>
  <c r="U143" i="1"/>
  <c r="U135" i="1"/>
  <c r="U24" i="1"/>
  <c r="U50" i="1"/>
  <c r="U48" i="1"/>
  <c r="U239" i="1"/>
  <c r="U248" i="1"/>
  <c r="U185" i="1"/>
  <c r="U23" i="1"/>
  <c r="U107" i="1"/>
  <c r="U369" i="1"/>
  <c r="U244" i="1"/>
  <c r="U163" i="1"/>
  <c r="U45" i="1"/>
  <c r="U494" i="1"/>
  <c r="U30" i="1"/>
  <c r="U70" i="1"/>
  <c r="U391" i="1"/>
  <c r="U441" i="1"/>
  <c r="U238" i="1"/>
  <c r="U505" i="1"/>
  <c r="U165" i="1"/>
  <c r="U189" i="1"/>
  <c r="U640" i="1"/>
  <c r="U193" i="1"/>
  <c r="U88" i="1"/>
  <c r="U576" i="1"/>
  <c r="U15" i="1"/>
  <c r="U34" i="1"/>
  <c r="U339" i="1"/>
  <c r="U232" i="1"/>
  <c r="U116" i="1"/>
  <c r="U183" i="1"/>
  <c r="U27" i="1"/>
  <c r="U119" i="1"/>
  <c r="U17" i="1"/>
  <c r="U606" i="1"/>
  <c r="U11" i="1"/>
  <c r="U6" i="1"/>
  <c r="U275" i="1"/>
  <c r="U271" i="1"/>
  <c r="U78" i="1"/>
  <c r="U121" i="1"/>
  <c r="U160" i="1"/>
  <c r="U485" i="1"/>
  <c r="U37" i="1"/>
  <c r="U117" i="1"/>
  <c r="U58" i="1"/>
  <c r="U154" i="1"/>
  <c r="U204" i="1"/>
  <c r="U309" i="1"/>
  <c r="U43" i="1"/>
  <c r="U199" i="1"/>
  <c r="U315" i="1"/>
  <c r="U127" i="1"/>
  <c r="U42" i="1"/>
  <c r="U400" i="1"/>
  <c r="U345" i="1"/>
  <c r="U282" i="1"/>
  <c r="U284" i="1"/>
  <c r="U344" i="1"/>
  <c r="U96" i="1"/>
  <c r="U367" i="1"/>
  <c r="U188" i="1"/>
  <c r="U426" i="1"/>
  <c r="U223" i="1"/>
  <c r="U260" i="1"/>
  <c r="U510" i="1"/>
  <c r="U492" i="1"/>
  <c r="U177" i="1"/>
  <c r="U557" i="1"/>
  <c r="U523" i="1"/>
  <c r="U170" i="1"/>
  <c r="U71" i="1"/>
  <c r="U583" i="1"/>
  <c r="U442" i="1"/>
  <c r="U95" i="1"/>
  <c r="U156" i="1"/>
  <c r="U94" i="1"/>
  <c r="U202" i="1"/>
  <c r="U604" i="1"/>
  <c r="U411" i="1"/>
  <c r="U211" i="1"/>
  <c r="U302" i="1"/>
  <c r="U285" i="1"/>
  <c r="U609" i="1"/>
  <c r="U407" i="1"/>
  <c r="U179" i="1"/>
  <c r="U262" i="1"/>
  <c r="U54" i="1"/>
  <c r="U182" i="1"/>
  <c r="U257" i="1"/>
  <c r="U44" i="1"/>
  <c r="U4" i="1"/>
  <c r="U246" i="1"/>
  <c r="U586" i="1"/>
  <c r="U471" i="1"/>
  <c r="U368" i="1"/>
  <c r="U477" i="1"/>
  <c r="U176" i="1"/>
  <c r="U89" i="1"/>
  <c r="U41" i="1"/>
  <c r="U220" i="1"/>
  <c r="U35" i="1"/>
  <c r="U113" i="1"/>
  <c r="U481" i="1"/>
  <c r="U13" i="1"/>
  <c r="U639" i="1"/>
  <c r="U164" i="1"/>
  <c r="U439" i="1"/>
  <c r="U598" i="1"/>
  <c r="U464" i="1"/>
  <c r="U161" i="1"/>
  <c r="U288" i="1"/>
  <c r="U454" i="1"/>
  <c r="U430" i="1"/>
  <c r="U209" i="1"/>
  <c r="U249" i="1"/>
  <c r="U142" i="1"/>
  <c r="U313" i="1"/>
  <c r="U308" i="1"/>
  <c r="U283" i="1"/>
  <c r="U272" i="1"/>
  <c r="U548" i="1"/>
  <c r="U90" i="1"/>
  <c r="U516" i="1"/>
  <c r="U77" i="1"/>
  <c r="U633" i="1"/>
  <c r="U184" i="1"/>
  <c r="U361" i="1"/>
  <c r="U167" i="1"/>
  <c r="U159" i="1"/>
  <c r="U174" i="1"/>
  <c r="U98" i="1"/>
  <c r="U277" i="1"/>
  <c r="U387" i="1"/>
  <c r="U513" i="1"/>
  <c r="U325" i="1"/>
  <c r="U144" i="1"/>
  <c r="U67" i="1"/>
  <c r="U138" i="1"/>
  <c r="U462" i="1"/>
  <c r="U240" i="1"/>
  <c r="U55" i="1"/>
  <c r="U512" i="1"/>
  <c r="U68" i="1"/>
  <c r="U85" i="1"/>
  <c r="U418" i="1"/>
  <c r="U555" i="1"/>
  <c r="U378" i="1"/>
  <c r="U219" i="1"/>
  <c r="U195" i="1"/>
  <c r="U623" i="1"/>
  <c r="U291" i="1"/>
  <c r="U293" i="1"/>
  <c r="U20" i="1"/>
  <c r="U32" i="1"/>
  <c r="U469" i="1"/>
  <c r="U419" i="1"/>
  <c r="U654" i="1"/>
  <c r="U201" i="1"/>
  <c r="U320" i="1"/>
  <c r="U289" i="1"/>
  <c r="U73" i="1"/>
  <c r="U172" i="1"/>
  <c r="U111" i="1"/>
  <c r="U612" i="1"/>
  <c r="U10" i="1"/>
  <c r="U3" i="1"/>
  <c r="U461" i="1"/>
  <c r="U292" i="1"/>
  <c r="U247" i="1"/>
  <c r="U278" i="1"/>
  <c r="U210" i="1"/>
  <c r="U630" i="1"/>
  <c r="U303" i="1"/>
  <c r="U256" i="1"/>
  <c r="U153" i="1"/>
  <c r="U254" i="1"/>
  <c r="U166" i="1"/>
  <c r="U128" i="1"/>
  <c r="U267" i="1"/>
  <c r="U420" i="1"/>
  <c r="U52" i="1"/>
  <c r="U527" i="1"/>
  <c r="U468" i="1"/>
  <c r="U403" i="1"/>
  <c r="U474" i="1"/>
  <c r="U274" i="1"/>
  <c r="U388" i="1"/>
  <c r="U264" i="1"/>
  <c r="U374" i="1"/>
  <c r="U473" i="1"/>
  <c r="U298" i="1"/>
  <c r="U317" i="1"/>
  <c r="U570" i="1"/>
  <c r="U587" i="1"/>
  <c r="U405" i="1"/>
  <c r="U572" i="1"/>
  <c r="U186" i="1"/>
  <c r="U178" i="1"/>
  <c r="U621" i="1"/>
  <c r="U446" i="1"/>
  <c r="U436" i="1"/>
  <c r="U433" i="1"/>
  <c r="U253" i="1"/>
  <c r="U332" i="1"/>
  <c r="U525" i="1"/>
  <c r="U351" i="1"/>
  <c r="U379" i="1"/>
  <c r="U616" i="1"/>
  <c r="U537" i="1"/>
  <c r="U373" i="1"/>
  <c r="U450" i="1"/>
  <c r="U352" i="1"/>
  <c r="U619" i="1"/>
  <c r="U517" i="1"/>
  <c r="U330" i="1"/>
  <c r="U191" i="1"/>
  <c r="U200" i="1"/>
  <c r="U336" i="1"/>
  <c r="U51" i="1"/>
  <c r="U9" i="1"/>
  <c r="U381" i="1"/>
  <c r="U573" i="1"/>
  <c r="U574" i="1"/>
  <c r="U634" i="1"/>
  <c r="U234" i="1"/>
  <c r="U109" i="1"/>
  <c r="U120" i="1"/>
  <c r="U227" i="1"/>
  <c r="U532" i="1"/>
  <c r="U384" i="1"/>
  <c r="U18" i="1"/>
  <c r="U625" i="1"/>
  <c r="U539" i="1"/>
  <c r="U615" i="1"/>
  <c r="U553" i="1"/>
  <c r="U377" i="1"/>
  <c r="U649" i="1"/>
  <c r="U547" i="1"/>
  <c r="U655" i="1"/>
  <c r="U357" i="1"/>
  <c r="U321" i="1"/>
  <c r="U478" i="1"/>
  <c r="U500" i="1"/>
  <c r="U460" i="1"/>
  <c r="U448" i="1"/>
  <c r="U599" i="1"/>
  <c r="U636" i="1"/>
  <c r="U295" i="1"/>
  <c r="U617" i="1"/>
  <c r="U83" i="1"/>
  <c r="U622" i="1"/>
  <c r="U406" i="1"/>
  <c r="U408" i="1"/>
  <c r="U350" i="1"/>
  <c r="U287" i="1"/>
  <c r="U141" i="1"/>
  <c r="U343" i="1"/>
  <c r="U466" i="1"/>
  <c r="U592" i="1"/>
  <c r="U349" i="1"/>
  <c r="U110" i="1"/>
  <c r="U198" i="1"/>
  <c r="U311" i="1"/>
  <c r="U498" i="1"/>
  <c r="U536" i="1"/>
  <c r="U432" i="1"/>
  <c r="U103" i="1"/>
  <c r="U565" i="1"/>
  <c r="U296" i="1"/>
  <c r="U214" i="1"/>
  <c r="U457" i="1"/>
  <c r="U647" i="1"/>
  <c r="U380" i="1"/>
  <c r="U316" i="1"/>
  <c r="U544" i="1"/>
  <c r="U428" i="1"/>
  <c r="U564" i="1"/>
  <c r="U438" i="1"/>
  <c r="U416" i="1"/>
  <c r="U597" i="1"/>
  <c r="U39" i="1"/>
  <c r="U231" i="1"/>
  <c r="U506" i="1"/>
  <c r="U567" i="1"/>
  <c r="U663" i="1"/>
  <c r="U323" i="1"/>
  <c r="U279" i="1"/>
  <c r="U334" i="1"/>
  <c r="U449" i="1"/>
  <c r="U14" i="1"/>
  <c r="U7" i="1"/>
  <c r="U401" i="1"/>
  <c r="U520" i="1"/>
  <c r="U370" i="1"/>
  <c r="U644" i="1"/>
  <c r="U355" i="1"/>
  <c r="U399" i="1"/>
  <c r="U354" i="1"/>
  <c r="U397" i="1"/>
  <c r="U398" i="1"/>
  <c r="U190" i="1"/>
  <c r="U415" i="1"/>
  <c r="U46" i="1"/>
  <c r="U601" i="1"/>
  <c r="U590" i="1"/>
  <c r="U503" i="1"/>
  <c r="U600" i="1"/>
  <c r="U443" i="1"/>
  <c r="U569" i="1"/>
  <c r="U425" i="1"/>
  <c r="U479" i="1"/>
  <c r="U385" i="1"/>
  <c r="U521" i="1"/>
  <c r="U563" i="1"/>
  <c r="U475" i="1"/>
  <c r="U552" i="1"/>
  <c r="U383" i="1"/>
  <c r="U628" i="1"/>
  <c r="U562" i="1"/>
  <c r="U375" i="1"/>
  <c r="U452" i="1"/>
  <c r="U496" i="1"/>
  <c r="U413" i="1"/>
  <c r="U551" i="1"/>
  <c r="U603" i="1"/>
  <c r="U595" i="1"/>
  <c r="U389" i="1"/>
  <c r="U658" i="1"/>
  <c r="U455" i="1"/>
  <c r="U314" i="1"/>
  <c r="U447" i="1"/>
  <c r="U409" i="1"/>
  <c r="U444" i="1"/>
  <c r="U64" i="1"/>
  <c r="U12" i="1"/>
  <c r="U526" i="1"/>
  <c r="U645" i="1"/>
  <c r="U632" i="1"/>
  <c r="U515" i="1"/>
  <c r="U435" i="1"/>
  <c r="U467" i="1"/>
  <c r="U543" i="1"/>
  <c r="U624" i="1"/>
  <c r="U482" i="1"/>
  <c r="U390" i="1"/>
  <c r="U422" i="1"/>
  <c r="U638" i="1"/>
  <c r="U695" i="1"/>
  <c r="U490" i="1"/>
  <c r="U651" i="1"/>
  <c r="U578" i="1"/>
  <c r="U392" i="1"/>
  <c r="U635" i="1"/>
  <c r="U534" i="1"/>
  <c r="U424" i="1"/>
  <c r="U529" i="1"/>
  <c r="U626" i="1"/>
  <c r="U519" i="1"/>
  <c r="U579" i="1"/>
  <c r="U453" i="1"/>
  <c r="U396" i="1"/>
  <c r="U575" i="1"/>
  <c r="U488" i="1"/>
  <c r="U629" i="1"/>
  <c r="U676" i="1"/>
  <c r="U652" i="1"/>
  <c r="U585" i="1"/>
  <c r="U487" i="1"/>
  <c r="U659" i="1"/>
  <c r="U491" i="1"/>
  <c r="U672" i="1"/>
  <c r="U681" i="1"/>
  <c r="U531" i="1"/>
  <c r="U538" i="1"/>
  <c r="U582" i="1"/>
  <c r="U540" i="1"/>
  <c r="U690" i="1"/>
  <c r="U483" i="1"/>
  <c r="U666" i="1"/>
  <c r="U680" i="1"/>
  <c r="U613" i="1"/>
  <c r="U593" i="1"/>
  <c r="U404" i="1"/>
  <c r="U476" i="1"/>
  <c r="U131" i="1"/>
  <c r="U31" i="1"/>
  <c r="U648" i="1"/>
  <c r="U685" i="1"/>
  <c r="U684" i="1"/>
  <c r="U699" i="1"/>
  <c r="U660" i="1"/>
  <c r="U437" i="1"/>
  <c r="U225" i="1"/>
  <c r="U493" i="1"/>
  <c r="U528" i="1"/>
  <c r="U688" i="1"/>
  <c r="U568" i="1"/>
  <c r="U664" i="1"/>
  <c r="U594" i="1"/>
  <c r="U671" i="1"/>
  <c r="U650" i="1"/>
  <c r="U674" i="1"/>
  <c r="U607" i="1"/>
  <c r="U698" i="1"/>
  <c r="U646" i="1"/>
  <c r="U459" i="1"/>
  <c r="U556" i="1"/>
  <c r="U665" i="1"/>
  <c r="U338" i="1"/>
  <c r="U347" i="1"/>
  <c r="U620" i="1"/>
  <c r="U150" i="1"/>
  <c r="U669" i="1"/>
  <c r="U610" i="1"/>
  <c r="U269" i="1"/>
  <c r="U637" i="1"/>
  <c r="U566" i="1"/>
  <c r="U499" i="1"/>
  <c r="U511" i="1"/>
  <c r="U571" i="1"/>
  <c r="U546" i="1"/>
  <c r="U705" i="1"/>
  <c r="U486" i="1"/>
  <c r="U694" i="1"/>
  <c r="U679" i="1"/>
  <c r="U588" i="1"/>
  <c r="U702" i="1"/>
  <c r="U558" i="1"/>
  <c r="U514" i="1"/>
  <c r="U701" i="1"/>
  <c r="U631" i="1"/>
  <c r="U668" i="1"/>
  <c r="U696" i="1"/>
  <c r="U704" i="1"/>
  <c r="U559" i="1"/>
  <c r="U577" i="1"/>
  <c r="U693" i="1"/>
  <c r="U687" i="1"/>
  <c r="U657" i="1"/>
  <c r="U661" i="1"/>
  <c r="U509" i="1"/>
  <c r="U614" i="1"/>
  <c r="U589" i="1"/>
  <c r="U692" i="1"/>
  <c r="U518" i="1"/>
  <c r="U346" i="1"/>
  <c r="U686" i="1"/>
  <c r="U458" i="1"/>
  <c r="U662" i="1"/>
  <c r="U700" i="1"/>
  <c r="U255" i="1"/>
  <c r="U673" i="1"/>
  <c r="U675" i="1"/>
  <c r="U507" i="1"/>
  <c r="U683" i="1"/>
  <c r="U580" i="1"/>
  <c r="U535" i="1"/>
  <c r="U691" i="1"/>
  <c r="U605" i="1"/>
  <c r="U421" i="1"/>
  <c r="U697" i="1"/>
  <c r="U480" i="1"/>
  <c r="U611" i="1"/>
  <c r="U618" i="1"/>
  <c r="U129" i="1"/>
  <c r="U286" i="1"/>
  <c r="U542" i="1"/>
  <c r="U653" i="1"/>
  <c r="U678" i="1"/>
  <c r="U656" i="1"/>
  <c r="U642" i="1"/>
  <c r="U550" i="1"/>
  <c r="U524" i="1"/>
  <c r="U689" i="1"/>
  <c r="U682" i="1"/>
  <c r="U105" i="1"/>
  <c r="U108" i="1"/>
  <c r="U703" i="1"/>
  <c r="U677" i="1"/>
  <c r="U591" i="1"/>
  <c r="U608" i="1"/>
  <c r="U643" i="1"/>
  <c r="U497" i="1"/>
  <c r="U670" i="1"/>
  <c r="U584" i="1"/>
  <c r="U596" i="1"/>
  <c r="U667" i="1"/>
  <c r="U533" i="1"/>
  <c r="U495" i="1"/>
  <c r="T123" i="1" l="1"/>
  <c r="T215" i="1"/>
  <c r="T230" i="1"/>
  <c r="T423" i="1"/>
  <c r="T102" i="1"/>
  <c r="T175" i="1"/>
  <c r="T304" i="1"/>
  <c r="T233" i="1"/>
  <c r="T152" i="1"/>
  <c r="T305" i="1"/>
  <c r="T140" i="1"/>
  <c r="T196" i="1"/>
  <c r="T100" i="1"/>
  <c r="T414" i="1"/>
  <c r="T331" i="1"/>
  <c r="T410" i="1"/>
  <c r="T162" i="1"/>
  <c r="T92" i="1"/>
  <c r="T258" i="1"/>
  <c r="T265" i="1"/>
  <c r="T147" i="1"/>
  <c r="T130" i="1"/>
  <c r="T208" i="1"/>
  <c r="T86" i="1"/>
  <c r="T235" i="1"/>
  <c r="T205" i="1"/>
  <c r="T280" i="1"/>
  <c r="T74" i="1"/>
  <c r="T395" i="1"/>
  <c r="T217" i="1"/>
  <c r="T146" i="1"/>
  <c r="T197" i="1"/>
  <c r="T386" i="1"/>
  <c r="T97" i="1"/>
  <c r="T366" i="1"/>
  <c r="T40" i="1"/>
  <c r="T145" i="1"/>
  <c r="T173" i="1"/>
  <c r="T242" i="1"/>
  <c r="T87" i="1"/>
  <c r="T218" i="1"/>
  <c r="T243" i="1"/>
  <c r="T261" i="1"/>
  <c r="T137" i="1"/>
  <c r="T252" i="1"/>
  <c r="T125" i="1"/>
  <c r="T327" i="1"/>
  <c r="T297" i="1"/>
  <c r="T8" i="1"/>
  <c r="T228" i="1"/>
  <c r="T149" i="1"/>
  <c r="T356" i="1"/>
  <c r="T124" i="1"/>
  <c r="T376" i="1"/>
  <c r="T203" i="1"/>
  <c r="T363" i="1"/>
  <c r="T139" i="1"/>
  <c r="T273" i="1"/>
  <c r="T393" i="1"/>
  <c r="T362" i="1"/>
  <c r="T241" i="1"/>
  <c r="T91" i="1"/>
  <c r="T294" i="1"/>
  <c r="T545" i="1"/>
  <c r="T251" i="1"/>
  <c r="T431" i="1"/>
  <c r="T148" i="1"/>
  <c r="T348" i="1"/>
  <c r="T561" i="1"/>
  <c r="T79" i="1"/>
  <c r="T326" i="1"/>
  <c r="T171" i="1"/>
  <c r="T324" i="1"/>
  <c r="T226" i="1"/>
  <c r="T342" i="1"/>
  <c r="T259" i="1"/>
  <c r="T104" i="1"/>
  <c r="T627" i="1"/>
  <c r="T456" i="1"/>
  <c r="T472" i="1"/>
  <c r="T158" i="1"/>
  <c r="T445" i="1"/>
  <c r="T194" i="1"/>
  <c r="T434" i="1"/>
  <c r="T412" i="1"/>
  <c r="T504" i="1"/>
  <c r="T118" i="1"/>
  <c r="T93" i="1"/>
  <c r="T126" i="1"/>
  <c r="T206" i="1"/>
  <c r="T359" i="1"/>
  <c r="T299" i="1"/>
  <c r="T329" i="1"/>
  <c r="T319" i="1"/>
  <c r="T222" i="1"/>
  <c r="T290" i="1"/>
  <c r="T101" i="1"/>
  <c r="T270" i="1"/>
  <c r="T501" i="1"/>
  <c r="T245" i="1"/>
  <c r="T333" i="1"/>
  <c r="T2" i="1"/>
  <c r="T60" i="1"/>
  <c r="T560" i="1"/>
  <c r="T281" i="1"/>
  <c r="T65" i="1"/>
  <c r="T268" i="1"/>
  <c r="T180" i="1"/>
  <c r="T429" i="1"/>
  <c r="T115" i="1"/>
  <c r="T306" i="1"/>
  <c r="T451" i="1"/>
  <c r="T300" i="1"/>
  <c r="T63" i="1"/>
  <c r="T470" i="1"/>
  <c r="T463" i="1"/>
  <c r="T382" i="1"/>
  <c r="T169" i="1"/>
  <c r="T335" i="1"/>
  <c r="T328" i="1"/>
  <c r="T168" i="1"/>
  <c r="T112" i="1"/>
  <c r="T440" i="1"/>
  <c r="T372" i="1"/>
  <c r="T554" i="1"/>
  <c r="T212" i="1"/>
  <c r="T114" i="1"/>
  <c r="T213" i="1"/>
  <c r="T266" i="1"/>
  <c r="T301" i="1"/>
  <c r="T364" i="1"/>
  <c r="T80" i="1"/>
  <c r="T322" i="1"/>
  <c r="T371" i="1"/>
  <c r="T420" i="1" l="1"/>
  <c r="T267" i="1"/>
  <c r="T128" i="1"/>
  <c r="T166" i="1"/>
  <c r="T254" i="1"/>
  <c r="T153" i="1"/>
  <c r="T256" i="1"/>
  <c r="T303" i="1"/>
  <c r="T630" i="1"/>
  <c r="T210" i="1"/>
  <c r="T278" i="1"/>
  <c r="T247" i="1"/>
  <c r="T292" i="1"/>
  <c r="T461" i="1"/>
  <c r="T3" i="1"/>
  <c r="T10" i="1"/>
  <c r="T612" i="1"/>
  <c r="T111" i="1"/>
  <c r="T172" i="1"/>
  <c r="T73" i="1"/>
  <c r="T289" i="1"/>
  <c r="T320" i="1"/>
  <c r="T201" i="1"/>
  <c r="T654" i="1"/>
  <c r="T419" i="1"/>
  <c r="T469" i="1"/>
  <c r="T32" i="1"/>
  <c r="T20" i="1"/>
  <c r="T293" i="1"/>
  <c r="T291" i="1"/>
  <c r="T623" i="1"/>
  <c r="T195" i="1"/>
  <c r="T219" i="1"/>
  <c r="T378" i="1"/>
  <c r="T555" i="1"/>
  <c r="T418" i="1"/>
  <c r="T85" i="1"/>
  <c r="T68" i="1"/>
  <c r="T512" i="1"/>
  <c r="T55" i="1"/>
  <c r="T240" i="1"/>
  <c r="T462" i="1"/>
  <c r="T138" i="1"/>
  <c r="T67" i="1"/>
  <c r="T144" i="1"/>
  <c r="T325" i="1"/>
  <c r="T513" i="1"/>
  <c r="T387" i="1"/>
  <c r="T277" i="1"/>
  <c r="T98" i="1"/>
  <c r="T174" i="1"/>
  <c r="T159" i="1"/>
  <c r="T167" i="1"/>
  <c r="T361" i="1"/>
  <c r="T184" i="1"/>
  <c r="T633" i="1"/>
  <c r="T77" i="1"/>
  <c r="T516" i="1"/>
  <c r="T90" i="1"/>
  <c r="T548" i="1"/>
  <c r="T272" i="1"/>
  <c r="T283" i="1"/>
  <c r="T308" i="1"/>
  <c r="T313" i="1"/>
  <c r="T142" i="1"/>
  <c r="T249" i="1"/>
  <c r="T209" i="1"/>
  <c r="T430" i="1"/>
  <c r="T454" i="1"/>
  <c r="T288" i="1"/>
  <c r="T161" i="1"/>
  <c r="T464" i="1"/>
  <c r="T598" i="1"/>
  <c r="T439" i="1"/>
  <c r="T164" i="1"/>
  <c r="T639" i="1"/>
  <c r="T13" i="1"/>
  <c r="T481" i="1"/>
  <c r="T113" i="1"/>
  <c r="T35" i="1"/>
  <c r="T220" i="1"/>
  <c r="T41" i="1"/>
  <c r="T89" i="1"/>
  <c r="T176" i="1"/>
  <c r="T477" i="1"/>
  <c r="T368" i="1"/>
  <c r="T471" i="1"/>
  <c r="T586" i="1"/>
  <c r="T246" i="1"/>
  <c r="T4" i="1"/>
  <c r="T44" i="1"/>
  <c r="T257" i="1"/>
  <c r="T182" i="1"/>
  <c r="T54" i="1"/>
  <c r="T262" i="1"/>
  <c r="T179" i="1"/>
  <c r="T407" i="1"/>
  <c r="T609" i="1"/>
  <c r="T285" i="1"/>
  <c r="T302" i="1"/>
  <c r="T211" i="1"/>
  <c r="T411" i="1"/>
  <c r="T604" i="1"/>
  <c r="T202" i="1"/>
  <c r="T94" i="1"/>
  <c r="T156" i="1"/>
  <c r="T95" i="1"/>
  <c r="T442" i="1"/>
  <c r="T583" i="1"/>
  <c r="T71" i="1"/>
  <c r="T170" i="1"/>
  <c r="T523" i="1"/>
  <c r="T557" i="1"/>
  <c r="T177" i="1"/>
  <c r="T492" i="1"/>
  <c r="T510" i="1"/>
  <c r="T260" i="1"/>
  <c r="T223" i="1"/>
  <c r="T426" i="1"/>
  <c r="T188" i="1"/>
  <c r="T367" i="1"/>
  <c r="T96" i="1"/>
  <c r="T344" i="1"/>
  <c r="T284" i="1"/>
  <c r="T282" i="1"/>
  <c r="T345" i="1"/>
  <c r="T400" i="1"/>
  <c r="T42" i="1"/>
  <c r="T127" i="1"/>
  <c r="T315" i="1"/>
  <c r="T199" i="1"/>
  <c r="T43" i="1"/>
  <c r="T309" i="1"/>
  <c r="T204" i="1"/>
  <c r="T154" i="1"/>
  <c r="T58" i="1"/>
  <c r="T117" i="1"/>
  <c r="T37" i="1"/>
  <c r="T485" i="1"/>
  <c r="T160" i="1"/>
  <c r="T121" i="1"/>
  <c r="T78" i="1"/>
  <c r="T271" i="1"/>
  <c r="T275" i="1"/>
  <c r="T6" i="1"/>
  <c r="T11" i="1"/>
  <c r="T606" i="1"/>
  <c r="T17" i="1"/>
  <c r="T119" i="1"/>
  <c r="T27" i="1"/>
  <c r="T183" i="1"/>
  <c r="T116" i="1"/>
  <c r="T232" i="1"/>
  <c r="T339" i="1"/>
  <c r="T34" i="1"/>
  <c r="T15" i="1"/>
  <c r="T576" i="1"/>
  <c r="T88" i="1"/>
  <c r="T193" i="1"/>
  <c r="T640" i="1"/>
  <c r="T189" i="1"/>
  <c r="T165" i="1"/>
  <c r="T505" i="1"/>
  <c r="T238" i="1"/>
  <c r="T441" i="1"/>
  <c r="T391" i="1"/>
  <c r="T70" i="1"/>
  <c r="T30" i="1"/>
  <c r="T494" i="1"/>
  <c r="T45" i="1"/>
  <c r="T163" i="1"/>
  <c r="T244" i="1"/>
  <c r="T369" i="1"/>
  <c r="T107" i="1"/>
  <c r="T23" i="1"/>
  <c r="T185" i="1"/>
  <c r="T248" i="1"/>
  <c r="T239" i="1"/>
  <c r="T48" i="1"/>
  <c r="T50" i="1"/>
  <c r="T24" i="1"/>
  <c r="T135" i="1"/>
  <c r="T143" i="1"/>
  <c r="T360" i="1"/>
  <c r="T19" i="1"/>
  <c r="T25" i="1"/>
  <c r="T602" i="1"/>
  <c r="T484" i="1"/>
  <c r="T29" i="1"/>
  <c r="T402" i="1"/>
  <c r="T508" i="1"/>
  <c r="T236" i="1"/>
  <c r="T263" i="1"/>
  <c r="T216" i="1"/>
  <c r="T66" i="1"/>
  <c r="T337" i="1"/>
  <c r="T136" i="1"/>
  <c r="T157" i="1"/>
  <c r="T47" i="1"/>
  <c r="T250" i="1"/>
  <c r="T99" i="1"/>
  <c r="T417" i="1"/>
  <c r="T549" i="1"/>
  <c r="T192" i="1"/>
  <c r="T133" i="1"/>
  <c r="T522" i="1"/>
  <c r="T530" i="1"/>
  <c r="T365" i="1"/>
  <c r="T22" i="1"/>
  <c r="T16" i="1"/>
  <c r="T353" i="1"/>
  <c r="T53" i="1"/>
  <c r="T151" i="1"/>
  <c r="T187" i="1"/>
  <c r="T26" i="1"/>
  <c r="T84" i="1"/>
  <c r="T76" i="1"/>
  <c r="T229" i="1"/>
  <c r="T307" i="1"/>
  <c r="T581" i="1"/>
  <c r="T82" i="1"/>
  <c r="T5" i="1"/>
  <c r="T59" i="1"/>
  <c r="T49" i="1"/>
  <c r="T132" i="1"/>
  <c r="T28" i="1"/>
  <c r="T221" i="1"/>
  <c r="T181" i="1"/>
  <c r="T641" i="1"/>
  <c r="T134" i="1"/>
  <c r="T237" i="1"/>
  <c r="T155" i="1"/>
  <c r="T394" i="1"/>
  <c r="T541" i="1"/>
  <c r="T72" i="1"/>
  <c r="T38" i="1"/>
  <c r="T62" i="1"/>
  <c r="T75" i="1"/>
  <c r="T310" i="1"/>
  <c r="T224" i="1"/>
  <c r="T122" i="1"/>
  <c r="T489" i="1"/>
  <c r="T36" i="1"/>
  <c r="T33" i="1"/>
  <c r="T502" i="1"/>
  <c r="T465" i="1"/>
  <c r="T21" i="1"/>
  <c r="T81" i="1"/>
  <c r="T56" i="1"/>
  <c r="T358" i="1"/>
  <c r="T106" i="1"/>
  <c r="T69" i="1"/>
  <c r="T312" i="1"/>
  <c r="T341" i="1"/>
  <c r="T57" i="1"/>
  <c r="T340" i="1"/>
  <c r="T207" i="1"/>
  <c r="T427" i="1"/>
  <c r="T276" i="1"/>
  <c r="T318" i="1"/>
  <c r="T61" i="1"/>
  <c r="T495" i="1"/>
  <c r="T533" i="1"/>
  <c r="T667" i="1"/>
  <c r="T596" i="1"/>
  <c r="T584" i="1"/>
  <c r="T670" i="1"/>
  <c r="T497" i="1"/>
  <c r="T643" i="1"/>
  <c r="T608" i="1"/>
  <c r="T591" i="1"/>
  <c r="T677" i="1"/>
  <c r="T703" i="1"/>
  <c r="T108" i="1"/>
  <c r="T105" i="1"/>
  <c r="T682" i="1"/>
  <c r="T689" i="1"/>
  <c r="T524" i="1"/>
  <c r="T550" i="1"/>
  <c r="T642" i="1"/>
  <c r="T656" i="1"/>
  <c r="T678" i="1"/>
  <c r="T653" i="1"/>
  <c r="T542" i="1"/>
  <c r="T286" i="1"/>
  <c r="T129" i="1"/>
  <c r="T618" i="1"/>
  <c r="T611" i="1"/>
  <c r="T480" i="1"/>
  <c r="T697" i="1"/>
  <c r="T421" i="1"/>
  <c r="T605" i="1"/>
  <c r="T691" i="1"/>
  <c r="T535" i="1"/>
  <c r="T580" i="1"/>
  <c r="T683" i="1"/>
  <c r="T507" i="1"/>
  <c r="T675" i="1"/>
  <c r="T673" i="1"/>
  <c r="T255" i="1"/>
  <c r="T700" i="1"/>
  <c r="T662" i="1"/>
  <c r="T458" i="1"/>
  <c r="T686" i="1"/>
  <c r="T346" i="1"/>
  <c r="T518" i="1"/>
  <c r="T692" i="1"/>
  <c r="T589" i="1"/>
  <c r="T614" i="1"/>
  <c r="T509" i="1"/>
  <c r="T661" i="1"/>
  <c r="T657" i="1"/>
  <c r="T687" i="1"/>
  <c r="T693" i="1"/>
  <c r="T577" i="1"/>
  <c r="T559" i="1"/>
  <c r="T704" i="1"/>
  <c r="T696" i="1"/>
  <c r="T668" i="1"/>
  <c r="T631" i="1"/>
  <c r="T701" i="1"/>
  <c r="T514" i="1"/>
  <c r="T558" i="1"/>
  <c r="T702" i="1"/>
  <c r="T588" i="1"/>
  <c r="T679" i="1"/>
  <c r="T694" i="1"/>
  <c r="T486" i="1"/>
  <c r="T705" i="1"/>
  <c r="T546" i="1"/>
  <c r="T571" i="1"/>
  <c r="T511" i="1"/>
  <c r="T499" i="1"/>
  <c r="T566" i="1"/>
  <c r="T637" i="1"/>
  <c r="T269" i="1"/>
  <c r="T610" i="1"/>
  <c r="T669" i="1"/>
  <c r="T150" i="1"/>
  <c r="T620" i="1"/>
  <c r="T347" i="1"/>
  <c r="T338" i="1"/>
  <c r="T665" i="1"/>
  <c r="T556" i="1"/>
  <c r="T459" i="1"/>
  <c r="T646" i="1"/>
  <c r="T698" i="1"/>
  <c r="T607" i="1"/>
  <c r="T674" i="1"/>
  <c r="T650" i="1"/>
  <c r="T671" i="1"/>
  <c r="T594" i="1"/>
  <c r="T664" i="1"/>
  <c r="T568" i="1"/>
  <c r="T688" i="1"/>
  <c r="T528" i="1"/>
  <c r="T493" i="1"/>
  <c r="T225" i="1"/>
  <c r="T437" i="1"/>
  <c r="T660" i="1"/>
  <c r="T699" i="1"/>
  <c r="T684" i="1"/>
  <c r="T685" i="1"/>
  <c r="T648" i="1"/>
  <c r="T31" i="1"/>
  <c r="T131" i="1"/>
  <c r="T476" i="1"/>
  <c r="T404" i="1"/>
  <c r="T593" i="1"/>
  <c r="T613" i="1"/>
  <c r="T680" i="1"/>
  <c r="T666" i="1"/>
  <c r="T483" i="1"/>
  <c r="T690" i="1"/>
  <c r="T540" i="1"/>
  <c r="T582" i="1"/>
  <c r="T538" i="1"/>
  <c r="T531" i="1"/>
  <c r="T681" i="1"/>
  <c r="T672" i="1"/>
  <c r="T491" i="1"/>
  <c r="T659" i="1"/>
  <c r="T487" i="1"/>
  <c r="T585" i="1"/>
  <c r="T652" i="1"/>
  <c r="T676" i="1"/>
  <c r="T629" i="1"/>
  <c r="T488" i="1"/>
  <c r="T575" i="1"/>
  <c r="T396" i="1"/>
  <c r="T453" i="1"/>
  <c r="T579" i="1"/>
  <c r="T519" i="1"/>
  <c r="T626" i="1"/>
  <c r="T529" i="1"/>
  <c r="T424" i="1"/>
  <c r="T534" i="1"/>
  <c r="T635" i="1"/>
  <c r="T392" i="1"/>
  <c r="T578" i="1"/>
  <c r="T651" i="1"/>
  <c r="T490" i="1"/>
  <c r="T695" i="1"/>
  <c r="T638" i="1"/>
  <c r="T422" i="1"/>
  <c r="T390" i="1"/>
  <c r="T482" i="1"/>
  <c r="T624" i="1"/>
  <c r="T543" i="1"/>
  <c r="T467" i="1"/>
  <c r="T435" i="1"/>
  <c r="T515" i="1"/>
  <c r="T632" i="1"/>
  <c r="T645" i="1"/>
  <c r="T526" i="1"/>
  <c r="T12" i="1"/>
  <c r="T64" i="1"/>
  <c r="T444" i="1"/>
  <c r="T409" i="1"/>
  <c r="T447" i="1"/>
  <c r="T314" i="1"/>
  <c r="T455" i="1"/>
  <c r="T658" i="1"/>
  <c r="T389" i="1"/>
  <c r="T595" i="1"/>
  <c r="T603" i="1"/>
  <c r="T551" i="1"/>
  <c r="T413" i="1"/>
  <c r="T496" i="1"/>
  <c r="T452" i="1"/>
  <c r="T375" i="1"/>
  <c r="T562" i="1"/>
  <c r="T628" i="1"/>
  <c r="T383" i="1"/>
  <c r="T552" i="1"/>
  <c r="T475" i="1"/>
  <c r="T563" i="1"/>
  <c r="T521" i="1"/>
  <c r="T385" i="1"/>
  <c r="T479" i="1"/>
  <c r="T425" i="1"/>
  <c r="T569" i="1"/>
  <c r="T443" i="1"/>
  <c r="T600" i="1"/>
  <c r="T503" i="1"/>
  <c r="T590" i="1"/>
  <c r="T601" i="1"/>
  <c r="T46" i="1"/>
  <c r="T415" i="1"/>
  <c r="T190" i="1"/>
  <c r="T398" i="1"/>
  <c r="T397" i="1"/>
  <c r="T354" i="1"/>
  <c r="T399" i="1"/>
  <c r="T355" i="1"/>
  <c r="T644" i="1"/>
  <c r="T370" i="1"/>
  <c r="T520" i="1"/>
  <c r="T401" i="1"/>
  <c r="T7" i="1"/>
  <c r="T14" i="1"/>
  <c r="T449" i="1"/>
  <c r="T334" i="1"/>
  <c r="T279" i="1"/>
  <c r="T323" i="1"/>
  <c r="T663" i="1"/>
  <c r="T567" i="1"/>
  <c r="T506" i="1"/>
  <c r="T231" i="1"/>
  <c r="T39" i="1"/>
  <c r="T597" i="1"/>
  <c r="T416" i="1"/>
  <c r="T438" i="1"/>
  <c r="T564" i="1"/>
  <c r="T428" i="1"/>
  <c r="T544" i="1"/>
  <c r="T316" i="1"/>
  <c r="T380" i="1"/>
  <c r="T647" i="1"/>
  <c r="T457" i="1"/>
  <c r="T214" i="1"/>
  <c r="T296" i="1"/>
  <c r="T565" i="1"/>
  <c r="T103" i="1"/>
  <c r="T432" i="1"/>
  <c r="T536" i="1"/>
  <c r="T498" i="1"/>
  <c r="T311" i="1"/>
  <c r="T198" i="1"/>
  <c r="T110" i="1"/>
  <c r="T349" i="1"/>
  <c r="T592" i="1"/>
  <c r="T466" i="1"/>
  <c r="T343" i="1"/>
  <c r="T141" i="1"/>
  <c r="T287" i="1"/>
  <c r="T350" i="1"/>
  <c r="T408" i="1"/>
  <c r="T406" i="1"/>
  <c r="T622" i="1"/>
  <c r="T83" i="1"/>
  <c r="T617" i="1"/>
  <c r="T295" i="1"/>
  <c r="T636" i="1"/>
  <c r="T599" i="1"/>
  <c r="T448" i="1"/>
  <c r="T460" i="1"/>
  <c r="T500" i="1"/>
  <c r="T478" i="1"/>
  <c r="T321" i="1"/>
  <c r="T357" i="1"/>
  <c r="T655" i="1"/>
  <c r="T547" i="1"/>
  <c r="T649" i="1"/>
  <c r="T377" i="1"/>
  <c r="T553" i="1"/>
  <c r="T615" i="1"/>
  <c r="T539" i="1"/>
  <c r="T625" i="1"/>
  <c r="T18" i="1"/>
  <c r="T384" i="1"/>
  <c r="T532" i="1"/>
  <c r="T227" i="1"/>
  <c r="T120" i="1"/>
  <c r="T109" i="1"/>
  <c r="T234" i="1"/>
  <c r="T634" i="1"/>
  <c r="T574" i="1"/>
  <c r="T573" i="1"/>
  <c r="T381" i="1"/>
  <c r="T9" i="1"/>
  <c r="T51" i="1"/>
  <c r="T336" i="1"/>
  <c r="T200" i="1"/>
  <c r="T191" i="1"/>
  <c r="T330" i="1"/>
  <c r="T517" i="1"/>
  <c r="T619" i="1"/>
  <c r="T352" i="1"/>
  <c r="T450" i="1"/>
  <c r="T373" i="1"/>
  <c r="T537" i="1"/>
  <c r="T616" i="1"/>
  <c r="T379" i="1"/>
  <c r="T351" i="1"/>
  <c r="T525" i="1"/>
  <c r="T332" i="1"/>
  <c r="T253" i="1"/>
  <c r="T433" i="1"/>
  <c r="T436" i="1"/>
  <c r="T446" i="1"/>
  <c r="T621" i="1"/>
  <c r="T178" i="1"/>
  <c r="T186" i="1"/>
  <c r="T572" i="1"/>
  <c r="T405" i="1"/>
  <c r="T587" i="1"/>
  <c r="T570" i="1"/>
  <c r="T317" i="1"/>
  <c r="T298" i="1"/>
  <c r="T473" i="1"/>
  <c r="T374" i="1"/>
  <c r="T264" i="1"/>
  <c r="T388" i="1"/>
  <c r="T274" i="1"/>
  <c r="T474" i="1"/>
  <c r="T403" i="1"/>
  <c r="T468" i="1"/>
  <c r="T527" i="1"/>
  <c r="T52" i="1"/>
</calcChain>
</file>

<file path=xl/sharedStrings.xml><?xml version="1.0" encoding="utf-8"?>
<sst xmlns="http://schemas.openxmlformats.org/spreadsheetml/2006/main" count="61" uniqueCount="61">
  <si>
    <t>year</t>
  </si>
  <si>
    <t>city</t>
  </si>
  <si>
    <t>vehicle</t>
  </si>
  <si>
    <t>t2m</t>
    <phoneticPr fontId="1" type="noConversion"/>
  </si>
  <si>
    <t>d2m</t>
    <phoneticPr fontId="1" type="noConversion"/>
  </si>
  <si>
    <t>u10</t>
    <phoneticPr fontId="1" type="noConversion"/>
  </si>
  <si>
    <t>v10</t>
    <phoneticPr fontId="1" type="noConversion"/>
  </si>
  <si>
    <t>fuelvehicle</t>
    <phoneticPr fontId="1" type="noConversion"/>
  </si>
  <si>
    <t>NEvehicle</t>
  </si>
  <si>
    <t>NO2_road</t>
    <phoneticPr fontId="1" type="noConversion"/>
  </si>
  <si>
    <t>CO_road</t>
    <phoneticPr fontId="1" type="noConversion"/>
  </si>
  <si>
    <t>O3_road</t>
    <phoneticPr fontId="1" type="noConversion"/>
  </si>
  <si>
    <t>PM10_road</t>
    <phoneticPr fontId="1" type="noConversion"/>
  </si>
  <si>
    <t>NO2_forest</t>
    <phoneticPr fontId="1" type="noConversion"/>
  </si>
  <si>
    <t>CO_forest</t>
    <phoneticPr fontId="1" type="noConversion"/>
  </si>
  <si>
    <t>O3_forest</t>
    <phoneticPr fontId="1" type="noConversion"/>
  </si>
  <si>
    <t>PM10_forest</t>
    <phoneticPr fontId="1" type="noConversion"/>
  </si>
  <si>
    <t>PM25_forest</t>
    <phoneticPr fontId="1" type="noConversion"/>
  </si>
  <si>
    <t>PM25_road</t>
    <phoneticPr fontId="1" type="noConversion"/>
  </si>
  <si>
    <t>sp</t>
  </si>
  <si>
    <t>NEVratio</t>
    <phoneticPr fontId="1" type="noConversion"/>
  </si>
  <si>
    <t>NO2_nonroad</t>
  </si>
  <si>
    <t>CO_nonroad</t>
  </si>
  <si>
    <t>O3_nonroad</t>
  </si>
  <si>
    <t>PM10_nonroad</t>
  </si>
  <si>
    <t>PM25_nonroad</t>
    <phoneticPr fontId="1" type="noConversion"/>
  </si>
  <si>
    <t>NO2_city</t>
  </si>
  <si>
    <t>CO_city</t>
  </si>
  <si>
    <t>O3_city</t>
  </si>
  <si>
    <t>PM10_city</t>
  </si>
  <si>
    <t>PM25_city</t>
    <phoneticPr fontId="1" type="noConversion"/>
  </si>
  <si>
    <t>NO2_motor</t>
    <phoneticPr fontId="1" type="noConversion"/>
  </si>
  <si>
    <t>CO_motor</t>
    <phoneticPr fontId="1" type="noConversion"/>
  </si>
  <si>
    <t>O3_motor</t>
    <phoneticPr fontId="1" type="noConversion"/>
  </si>
  <si>
    <t>PM10_motor</t>
    <phoneticPr fontId="1" type="noConversion"/>
  </si>
  <si>
    <t>NO2_cityroad</t>
    <phoneticPr fontId="1" type="noConversion"/>
  </si>
  <si>
    <t>CO_cityroad</t>
    <phoneticPr fontId="1" type="noConversion"/>
  </si>
  <si>
    <t>O3_cityroad</t>
    <phoneticPr fontId="1" type="noConversion"/>
  </si>
  <si>
    <t>PM10_cityroad</t>
    <phoneticPr fontId="1" type="noConversion"/>
  </si>
  <si>
    <t>PM25_motor</t>
    <phoneticPr fontId="1" type="noConversion"/>
  </si>
  <si>
    <t>PM25_cityroad</t>
    <phoneticPr fontId="1" type="noConversion"/>
  </si>
  <si>
    <t>NO2_crop</t>
    <phoneticPr fontId="1" type="noConversion"/>
  </si>
  <si>
    <t>O3_crop</t>
    <phoneticPr fontId="1" type="noConversion"/>
  </si>
  <si>
    <t>PM10_crop</t>
    <phoneticPr fontId="1" type="noConversion"/>
  </si>
  <si>
    <t>CO_crop</t>
    <phoneticPr fontId="1" type="noConversion"/>
  </si>
  <si>
    <t>NO2_grass</t>
    <phoneticPr fontId="1" type="noConversion"/>
  </si>
  <si>
    <t>CO_grass</t>
    <phoneticPr fontId="1" type="noConversion"/>
  </si>
  <si>
    <t>O3_grass</t>
    <phoneticPr fontId="1" type="noConversion"/>
  </si>
  <si>
    <t>PM10_grass</t>
    <phoneticPr fontId="1" type="noConversion"/>
  </si>
  <si>
    <t>NO2_impervious</t>
    <phoneticPr fontId="1" type="noConversion"/>
  </si>
  <si>
    <t>CO_impervious</t>
    <phoneticPr fontId="1" type="noConversion"/>
  </si>
  <si>
    <t>O3_impervious</t>
    <phoneticPr fontId="1" type="noConversion"/>
  </si>
  <si>
    <t>PM10_impervious</t>
    <phoneticPr fontId="1" type="noConversion"/>
  </si>
  <si>
    <t>PM25_impervious</t>
    <phoneticPr fontId="1" type="noConversion"/>
  </si>
  <si>
    <t>PM25_grass</t>
    <phoneticPr fontId="1" type="noConversion"/>
  </si>
  <si>
    <t>PM25_crop</t>
    <phoneticPr fontId="1" type="noConversion"/>
  </si>
  <si>
    <t>PM25_barren</t>
    <phoneticPr fontId="1" type="noConversion"/>
  </si>
  <si>
    <t>NO2_barren</t>
    <phoneticPr fontId="1" type="noConversion"/>
  </si>
  <si>
    <t>CO_barren</t>
    <phoneticPr fontId="1" type="noConversion"/>
  </si>
  <si>
    <t>O3_barren</t>
    <phoneticPr fontId="1" type="noConversion"/>
  </si>
  <si>
    <t>PM10_barren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</si>
</sst>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176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06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3.5" x14ac:dyDescent="0.15"/>
  <cols>
    <col min="1" max="2" width="7.5" style="1" customWidth="1"/>
    <col min="3" max="3" width="10.5" style="1" bestFit="1" customWidth="1"/>
    <col min="4" max="4" width="9.375" style="1" customWidth="1"/>
    <col min="10" max="10" width="12.625" customWidth="1"/>
    <col min="11" max="14" width="11.375" customWidth="1"/>
    <col min="19" max="19" width="10.75" customWidth="1"/>
    <col min="20" max="20" width="13.875" style="1" customWidth="1"/>
    <col min="27" max="31" width="11.75" style="1" customWidth="1"/>
  </cols>
  <sheetData>
    <row r="1" spans="1:61" s="2" customFormat="1" x14ac:dyDescent="0.15">
      <c r="A1" s="6" t="s">
        <v>0</v>
      </c>
      <c r="B1" s="6" t="s">
        <v>1</v>
      </c>
      <c r="C1" s="6" t="s">
        <v>2</v>
      </c>
      <c r="D1" s="6" t="s">
        <v>8</v>
      </c>
      <c r="E1" s="6" t="s">
        <v>17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18</v>
      </c>
      <c r="K1" s="6" t="s">
        <v>9</v>
      </c>
      <c r="L1" s="6" t="s">
        <v>10</v>
      </c>
      <c r="M1" s="6" t="s">
        <v>11</v>
      </c>
      <c r="N1" s="6" t="s">
        <v>12</v>
      </c>
      <c r="O1" s="2" t="s">
        <v>3</v>
      </c>
      <c r="P1" s="2" t="s">
        <v>4</v>
      </c>
      <c r="Q1" s="2" t="s">
        <v>19</v>
      </c>
      <c r="R1" s="2" t="s">
        <v>5</v>
      </c>
      <c r="S1" s="2" t="s">
        <v>6</v>
      </c>
      <c r="T1" s="3" t="s">
        <v>7</v>
      </c>
      <c r="U1" s="2" t="s">
        <v>20</v>
      </c>
      <c r="V1" s="2" t="s">
        <v>25</v>
      </c>
      <c r="W1" s="2" t="s">
        <v>21</v>
      </c>
      <c r="X1" s="2" t="s">
        <v>22</v>
      </c>
      <c r="Y1" s="2" t="s">
        <v>23</v>
      </c>
      <c r="Z1" s="2" t="s">
        <v>24</v>
      </c>
      <c r="AA1" s="6" t="s">
        <v>30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39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40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55</v>
      </c>
      <c r="AQ1" s="6" t="s">
        <v>41</v>
      </c>
      <c r="AR1" s="6" t="s">
        <v>44</v>
      </c>
      <c r="AS1" s="6" t="s">
        <v>42</v>
      </c>
      <c r="AT1" s="6" t="s">
        <v>43</v>
      </c>
      <c r="AU1" s="6" t="s">
        <v>54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53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</row>
    <row r="2" spans="1:61" x14ac:dyDescent="0.15">
      <c r="A2" s="7">
        <v>2023</v>
      </c>
      <c r="B2" s="7">
        <v>111</v>
      </c>
      <c r="C2" s="9">
        <v>38.418823809139184</v>
      </c>
      <c r="D2" s="7">
        <v>0.43842898038564099</v>
      </c>
      <c r="E2" s="8">
        <v>19.894808000312938</v>
      </c>
      <c r="F2" s="8">
        <v>15.33934599308226</v>
      </c>
      <c r="G2" s="8">
        <v>0.39244761349036711</v>
      </c>
      <c r="H2" s="8">
        <v>52.676161624980892</v>
      </c>
      <c r="I2" s="8">
        <v>35.765163917910947</v>
      </c>
      <c r="J2" s="8">
        <v>19.153996777411258</v>
      </c>
      <c r="K2" s="8">
        <v>12.256810724946581</v>
      </c>
      <c r="L2" s="8">
        <v>0.4583462660417027</v>
      </c>
      <c r="M2" s="8">
        <v>57.40825533404405</v>
      </c>
      <c r="N2" s="8">
        <v>32.512635485011813</v>
      </c>
      <c r="O2" s="7">
        <v>278.45499999999998</v>
      </c>
      <c r="P2" s="7">
        <v>270.767</v>
      </c>
      <c r="Q2" s="7">
        <v>99.623100000000008</v>
      </c>
      <c r="R2" s="7">
        <v>0.97994199999999998</v>
      </c>
      <c r="S2" s="7">
        <v>-4.24357E-2</v>
      </c>
      <c r="T2" s="7">
        <f>C2-D2</f>
        <v>37.980394828753546</v>
      </c>
      <c r="U2" s="8">
        <f>D2/C2</f>
        <v>1.1411827248114405E-2</v>
      </c>
      <c r="V2" s="8">
        <v>11.53736746314086</v>
      </c>
      <c r="W2" s="8">
        <v>5.7601622633663379</v>
      </c>
      <c r="X2" s="8">
        <v>0.35852050769485633</v>
      </c>
      <c r="Y2" s="8">
        <v>62.229927446340817</v>
      </c>
      <c r="Z2" s="8">
        <v>21.228192821873947</v>
      </c>
      <c r="AA2" s="7">
        <v>15.345682120276059</v>
      </c>
      <c r="AB2" s="7">
        <v>9.0084864941564593</v>
      </c>
      <c r="AC2" s="7">
        <v>0.40843338686827951</v>
      </c>
      <c r="AD2" s="7">
        <v>59.819091390192433</v>
      </c>
      <c r="AE2" s="7">
        <v>26.87041415344288</v>
      </c>
      <c r="AF2" s="8">
        <v>18.182119549251919</v>
      </c>
      <c r="AG2" s="8">
        <v>13.52065281653468</v>
      </c>
      <c r="AH2" s="8">
        <v>0.46830960062837851</v>
      </c>
      <c r="AI2" s="8">
        <v>56.861958124965973</v>
      </c>
      <c r="AJ2" s="8">
        <v>32.316729530744787</v>
      </c>
      <c r="AK2" s="8">
        <v>19.247845499787889</v>
      </c>
      <c r="AL2" s="8">
        <v>12.13476859643001</v>
      </c>
      <c r="AM2" s="8">
        <v>0.45738416281047328</v>
      </c>
      <c r="AN2" s="8">
        <v>57.461008185561113</v>
      </c>
      <c r="AO2" s="8">
        <v>32.531553022105207</v>
      </c>
      <c r="AP2" s="8">
        <v>15.5163849181762</v>
      </c>
      <c r="AQ2" s="8">
        <v>8.6745978299493132</v>
      </c>
      <c r="AR2" s="8">
        <v>0.41414850592860308</v>
      </c>
      <c r="AS2" s="8">
        <v>60.776919552469387</v>
      </c>
      <c r="AT2" s="8">
        <v>27.131295155199311</v>
      </c>
      <c r="AU2" s="8">
        <v>13.85770425942026</v>
      </c>
      <c r="AV2" s="8">
        <v>8.1302561538096736</v>
      </c>
      <c r="AW2" s="8">
        <v>0.41464943683918742</v>
      </c>
      <c r="AX2" s="8">
        <v>59.196540136406163</v>
      </c>
      <c r="AY2" s="8">
        <v>25.534802172216551</v>
      </c>
      <c r="AZ2" s="8">
        <v>16.437914057950771</v>
      </c>
      <c r="BA2" s="8">
        <v>10.02977132131803</v>
      </c>
      <c r="BB2" s="8">
        <v>0.42641211749997859</v>
      </c>
      <c r="BC2" s="8">
        <v>57.246140811487592</v>
      </c>
      <c r="BD2" s="8">
        <v>28.601513163638721</v>
      </c>
      <c r="BE2" s="8">
        <v>12.17476181881722</v>
      </c>
      <c r="BF2" s="8">
        <v>9.0188852169051614</v>
      </c>
      <c r="BG2" s="8">
        <v>0.39165295472576511</v>
      </c>
      <c r="BH2" s="8">
        <v>59.715080675999928</v>
      </c>
      <c r="BI2" s="8">
        <v>25.470188141835219</v>
      </c>
    </row>
    <row r="3" spans="1:61" x14ac:dyDescent="0.15">
      <c r="A3" s="7">
        <v>2021</v>
      </c>
      <c r="B3" s="7">
        <v>18</v>
      </c>
      <c r="C3" s="7">
        <v>224.13465288762168</v>
      </c>
      <c r="D3" s="7">
        <v>175.111930450079</v>
      </c>
      <c r="E3" s="8">
        <v>12.42089426170131</v>
      </c>
      <c r="F3" s="8">
        <v>7.8641177999872909</v>
      </c>
      <c r="G3" s="8">
        <v>0.39736625032471301</v>
      </c>
      <c r="H3" s="8">
        <v>82.014816913629076</v>
      </c>
      <c r="I3" s="8">
        <v>18.635243215965978</v>
      </c>
      <c r="J3" s="8">
        <v>16.602301085116839</v>
      </c>
      <c r="K3" s="8">
        <v>14.274423289537379</v>
      </c>
      <c r="L3" s="8">
        <v>0.47450853133531068</v>
      </c>
      <c r="M3" s="8">
        <v>67.318141006117301</v>
      </c>
      <c r="N3" s="8">
        <v>27.1171075894563</v>
      </c>
      <c r="O3" s="8">
        <v>293.37299999999999</v>
      </c>
      <c r="P3" s="8">
        <v>289.50299999999999</v>
      </c>
      <c r="Q3" s="8">
        <v>98.206399999999988</v>
      </c>
      <c r="R3" s="8">
        <v>-1.1293599999999999</v>
      </c>
      <c r="S3" s="8">
        <v>-1.35806</v>
      </c>
      <c r="T3" s="7">
        <f>C3-D3</f>
        <v>49.022722437542683</v>
      </c>
      <c r="U3" s="8">
        <f>D3/C3</f>
        <v>0.78128003944966928</v>
      </c>
      <c r="V3" s="8">
        <v>11.935513183758083</v>
      </c>
      <c r="W3" s="8">
        <v>7.1239781207299817</v>
      </c>
      <c r="X3" s="8">
        <v>0.41564258574934931</v>
      </c>
      <c r="Y3" s="8">
        <v>85.699988911054803</v>
      </c>
      <c r="Z3" s="8">
        <v>17.926807648849898</v>
      </c>
      <c r="AA3" s="7">
        <v>14.268907134437461</v>
      </c>
      <c r="AB3" s="7">
        <v>10.699200705133681</v>
      </c>
      <c r="AC3" s="7">
        <v>0.44507555854233</v>
      </c>
      <c r="AD3" s="7">
        <v>76.509064958586052</v>
      </c>
      <c r="AE3" s="7">
        <v>22.521957619153099</v>
      </c>
      <c r="AF3" s="8">
        <v>16.533554290924091</v>
      </c>
      <c r="AG3" s="8">
        <v>13.476118999687371</v>
      </c>
      <c r="AH3" s="8">
        <v>0.4826176591692683</v>
      </c>
      <c r="AI3" s="8">
        <v>64.651441948464125</v>
      </c>
      <c r="AJ3" s="8">
        <v>26.635982691319558</v>
      </c>
      <c r="AK3" s="8">
        <v>16.61273824318102</v>
      </c>
      <c r="AL3" s="8">
        <v>14.395622076394639</v>
      </c>
      <c r="AM3" s="8">
        <v>0.4732774012155781</v>
      </c>
      <c r="AN3" s="8">
        <v>67.723000023925763</v>
      </c>
      <c r="AO3" s="8">
        <v>27.190152109850839</v>
      </c>
      <c r="AP3" s="8">
        <v>16.88048555838423</v>
      </c>
      <c r="AQ3" s="8">
        <v>13.80323897134789</v>
      </c>
      <c r="AR3" s="8">
        <v>0.44302453919476009</v>
      </c>
      <c r="AS3" s="8">
        <v>67.054965793159738</v>
      </c>
      <c r="AT3" s="8">
        <v>26.296454648003571</v>
      </c>
      <c r="AU3" s="8">
        <v>17.391027229395242</v>
      </c>
      <c r="AV3" s="8">
        <v>16.707722843402319</v>
      </c>
      <c r="AW3" s="8">
        <v>0.49422921478215898</v>
      </c>
      <c r="AX3" s="8">
        <v>65.668694754862031</v>
      </c>
      <c r="AY3" s="8">
        <v>28.804048529017589</v>
      </c>
      <c r="AZ3" s="8">
        <v>18.148403431797352</v>
      </c>
      <c r="BA3" s="8">
        <v>17.69034366330904</v>
      </c>
      <c r="BB3" s="8">
        <v>0.50386039452090314</v>
      </c>
      <c r="BC3" s="8">
        <v>63.579969723800801</v>
      </c>
      <c r="BD3" s="8">
        <v>30.90586304645915</v>
      </c>
      <c r="BE3" s="8">
        <v>17.531259725002869</v>
      </c>
      <c r="BF3" s="8">
        <v>17.675087054434769</v>
      </c>
      <c r="BG3" s="8">
        <v>0.59214806046090596</v>
      </c>
      <c r="BH3" s="8">
        <v>66.388826429332426</v>
      </c>
      <c r="BI3" s="8">
        <v>31.012575928724409</v>
      </c>
    </row>
    <row r="4" spans="1:61" x14ac:dyDescent="0.15">
      <c r="A4" s="7">
        <v>2021</v>
      </c>
      <c r="B4" s="7">
        <v>106</v>
      </c>
      <c r="C4" s="7">
        <v>31.825066375357782</v>
      </c>
      <c r="D4" s="7">
        <v>12.488067167583273</v>
      </c>
      <c r="E4" s="8">
        <v>12.655113858155421</v>
      </c>
      <c r="F4" s="8">
        <v>8.0720906067641085</v>
      </c>
      <c r="G4" s="8">
        <v>0.39849902040972057</v>
      </c>
      <c r="H4" s="8">
        <v>81.90542796997866</v>
      </c>
      <c r="I4" s="8">
        <v>18.92552608938793</v>
      </c>
      <c r="J4" s="8">
        <v>16.795641014340561</v>
      </c>
      <c r="K4" s="8">
        <v>14.966684385515229</v>
      </c>
      <c r="L4" s="8">
        <v>0.44319033534474822</v>
      </c>
      <c r="M4" s="8">
        <v>69.145842883785818</v>
      </c>
      <c r="N4" s="8">
        <v>26.723070269510089</v>
      </c>
      <c r="O4" s="8">
        <v>293.86799999999999</v>
      </c>
      <c r="P4" s="8">
        <v>289.71300000000002</v>
      </c>
      <c r="Q4" s="8">
        <v>98.395499999999998</v>
      </c>
      <c r="R4" s="8">
        <v>-1.0270999999999999</v>
      </c>
      <c r="S4" s="8">
        <v>-1.4389700000000001</v>
      </c>
      <c r="T4" s="7">
        <f>C4-D4</f>
        <v>19.336999207774511</v>
      </c>
      <c r="U4" s="8">
        <f>D4/C4</f>
        <v>0.39239720729232508</v>
      </c>
      <c r="V4" s="8">
        <v>12.34811638706994</v>
      </c>
      <c r="W4" s="8">
        <v>7.9896249510610495</v>
      </c>
      <c r="X4" s="8">
        <v>0.43170098127384221</v>
      </c>
      <c r="Y4" s="8">
        <v>82.355737140828168</v>
      </c>
      <c r="Z4" s="8">
        <v>18.822392923029049</v>
      </c>
      <c r="AA4" s="7">
        <v>14.57187870070525</v>
      </c>
      <c r="AB4" s="7">
        <v>11.478154668288139</v>
      </c>
      <c r="AC4" s="7">
        <v>0.43744565830929522</v>
      </c>
      <c r="AD4" s="7">
        <v>75.750790012306993</v>
      </c>
      <c r="AE4" s="7">
        <v>22.772731596269569</v>
      </c>
      <c r="AF4" s="8">
        <v>17.034885753370681</v>
      </c>
      <c r="AG4" s="8">
        <v>12.99941164953397</v>
      </c>
      <c r="AH4" s="8">
        <v>0.4660870728673322</v>
      </c>
      <c r="AI4" s="8">
        <v>66.690935094809603</v>
      </c>
      <c r="AJ4" s="8">
        <v>26.148286243714971</v>
      </c>
      <c r="AK4" s="8">
        <v>16.75685132045156</v>
      </c>
      <c r="AL4" s="8">
        <v>15.28564607944527</v>
      </c>
      <c r="AM4" s="8">
        <v>0.43947799691190131</v>
      </c>
      <c r="AN4" s="8">
        <v>69.54386677365757</v>
      </c>
      <c r="AO4" s="8">
        <v>26.816262272407471</v>
      </c>
      <c r="AP4" s="8">
        <v>16.896122725217658</v>
      </c>
      <c r="AQ4" s="8">
        <v>14.644570717241679</v>
      </c>
      <c r="AR4" s="8">
        <v>0.42965567910604369</v>
      </c>
      <c r="AS4" s="8">
        <v>67.523763628278118</v>
      </c>
      <c r="AT4" s="8">
        <v>25.65180250885463</v>
      </c>
      <c r="AU4" s="8">
        <v>16.068974747836599</v>
      </c>
      <c r="AV4" s="8">
        <v>15.72249178767199</v>
      </c>
      <c r="AW4" s="8">
        <v>0.46886786756417598</v>
      </c>
      <c r="AX4" s="8">
        <v>67.678319032184632</v>
      </c>
      <c r="AY4" s="8">
        <v>26.90417555113855</v>
      </c>
      <c r="AZ4" s="8">
        <v>16.877270238209949</v>
      </c>
      <c r="BA4" s="8">
        <v>17.7009249088402</v>
      </c>
      <c r="BB4" s="8">
        <v>0.44575681719184501</v>
      </c>
      <c r="BC4" s="8">
        <v>66.055790249514757</v>
      </c>
      <c r="BD4" s="8">
        <v>28.446287385896859</v>
      </c>
      <c r="BE4" s="8">
        <v>18.339750537784489</v>
      </c>
      <c r="BF4" s="8">
        <v>19.3261540002697</v>
      </c>
      <c r="BG4" s="8">
        <v>0.58803488047778329</v>
      </c>
      <c r="BH4" s="8">
        <v>67.161006679268809</v>
      </c>
      <c r="BI4" s="8">
        <v>32.854665425724463</v>
      </c>
    </row>
    <row r="5" spans="1:61" x14ac:dyDescent="0.15">
      <c r="A5" s="7">
        <v>2022</v>
      </c>
      <c r="B5" s="7">
        <v>106</v>
      </c>
      <c r="C5" s="7">
        <v>60.476475803446036</v>
      </c>
      <c r="D5" s="7">
        <v>4.8175395562503907</v>
      </c>
      <c r="E5" s="8">
        <v>12.628451014449629</v>
      </c>
      <c r="F5" s="8">
        <v>7.7705408378421783</v>
      </c>
      <c r="G5" s="8">
        <v>0.40378565319984239</v>
      </c>
      <c r="H5" s="8">
        <v>75.899867642339032</v>
      </c>
      <c r="I5" s="8">
        <v>18.05613817849305</v>
      </c>
      <c r="J5" s="8">
        <v>16.717521139518261</v>
      </c>
      <c r="K5" s="8">
        <v>14.925797578030609</v>
      </c>
      <c r="L5" s="8">
        <v>0.4652051935442042</v>
      </c>
      <c r="M5" s="8">
        <v>65.79289105164996</v>
      </c>
      <c r="N5" s="8">
        <v>25.028193209739001</v>
      </c>
      <c r="O5" s="8">
        <v>293.178</v>
      </c>
      <c r="P5" s="8">
        <v>289.25900000000001</v>
      </c>
      <c r="Q5" s="8">
        <v>98.415499999999994</v>
      </c>
      <c r="R5" s="8">
        <v>-1.1003400000000001</v>
      </c>
      <c r="S5" s="8">
        <v>-1.71638</v>
      </c>
      <c r="T5" s="7">
        <f>C5-D5</f>
        <v>55.658936247195648</v>
      </c>
      <c r="U5" s="8">
        <f>D5/C5</f>
        <v>7.9659727063260521E-2</v>
      </c>
      <c r="V5" s="8">
        <v>12.074939399743318</v>
      </c>
      <c r="W5" s="8">
        <v>7.6975047740588298</v>
      </c>
      <c r="X5" s="8">
        <v>0.43259164622089386</v>
      </c>
      <c r="Y5" s="8">
        <v>75.80792324462071</v>
      </c>
      <c r="Z5" s="8">
        <v>17.968905168212416</v>
      </c>
      <c r="AA5" s="7">
        <v>14.39623026963079</v>
      </c>
      <c r="AB5" s="7">
        <v>11.31165117604472</v>
      </c>
      <c r="AC5" s="7">
        <v>0.44889841988254903</v>
      </c>
      <c r="AD5" s="7">
        <v>70.800407148135335</v>
      </c>
      <c r="AE5" s="7">
        <v>21.498549188975709</v>
      </c>
      <c r="AF5" s="8">
        <v>16.968353794868651</v>
      </c>
      <c r="AG5" s="8">
        <v>13.482331680036401</v>
      </c>
      <c r="AH5" s="8">
        <v>0.47262758906188601</v>
      </c>
      <c r="AI5" s="8">
        <v>63.811915096600814</v>
      </c>
      <c r="AJ5" s="8">
        <v>24.725250281022671</v>
      </c>
      <c r="AK5" s="8">
        <v>16.677414153496599</v>
      </c>
      <c r="AL5" s="8">
        <v>15.156601125171321</v>
      </c>
      <c r="AM5" s="8">
        <v>0.4640183866953948</v>
      </c>
      <c r="AN5" s="8">
        <v>66.109639980641717</v>
      </c>
      <c r="AO5" s="8">
        <v>25.076632388403421</v>
      </c>
      <c r="AP5" s="8">
        <v>17.362689732939199</v>
      </c>
      <c r="AQ5" s="8">
        <v>15.393634948588071</v>
      </c>
      <c r="AR5" s="8">
        <v>0.45985836931141783</v>
      </c>
      <c r="AS5" s="8">
        <v>63.190819044443202</v>
      </c>
      <c r="AT5" s="8">
        <v>25.08245666761621</v>
      </c>
      <c r="AU5" s="8">
        <v>15.8250996084556</v>
      </c>
      <c r="AV5" s="8">
        <v>15.591944402246201</v>
      </c>
      <c r="AW5" s="8">
        <v>0.5106725521535963</v>
      </c>
      <c r="AX5" s="8">
        <v>66.54057407536061</v>
      </c>
      <c r="AY5" s="8">
        <v>26.283213874729391</v>
      </c>
      <c r="AZ5" s="8">
        <v>16.274745479801211</v>
      </c>
      <c r="BA5" s="8">
        <v>16.795487271465419</v>
      </c>
      <c r="BB5" s="8">
        <v>0.45568721026204662</v>
      </c>
      <c r="BC5" s="8">
        <v>64.020377601620751</v>
      </c>
      <c r="BD5" s="8">
        <v>26.009986855439749</v>
      </c>
      <c r="BE5" s="8">
        <v>17.114181193586241</v>
      </c>
      <c r="BF5" s="8">
        <v>17.912318190756</v>
      </c>
      <c r="BG5" s="8">
        <v>0.57445397994025682</v>
      </c>
      <c r="BH5" s="8">
        <v>67.870862000626545</v>
      </c>
      <c r="BI5" s="8">
        <v>29.970323590351281</v>
      </c>
    </row>
    <row r="6" spans="1:61" x14ac:dyDescent="0.15">
      <c r="A6" s="7">
        <v>2022</v>
      </c>
      <c r="B6" s="7">
        <v>18</v>
      </c>
      <c r="C6" s="7">
        <v>170.06543310003755</v>
      </c>
      <c r="D6" s="7">
        <v>129.46121392443314</v>
      </c>
      <c r="E6" s="8">
        <v>12.708229714392759</v>
      </c>
      <c r="F6" s="8">
        <v>8.3829497604330996</v>
      </c>
      <c r="G6" s="8">
        <v>0.41301078233355842</v>
      </c>
      <c r="H6" s="8">
        <v>74.427498865047681</v>
      </c>
      <c r="I6" s="8">
        <v>18.306610118982071</v>
      </c>
      <c r="J6" s="8">
        <v>15.92021571228471</v>
      </c>
      <c r="K6" s="8">
        <v>14.830935590129929</v>
      </c>
      <c r="L6" s="8">
        <v>0.51750917479792513</v>
      </c>
      <c r="M6" s="8">
        <v>64.111931305594993</v>
      </c>
      <c r="N6" s="8">
        <v>25.121244966674041</v>
      </c>
      <c r="O6" s="8">
        <v>292.80200000000002</v>
      </c>
      <c r="P6" s="8">
        <v>288.93200000000002</v>
      </c>
      <c r="Q6" s="8">
        <v>98.227999999999994</v>
      </c>
      <c r="R6" s="8">
        <v>-1.24579</v>
      </c>
      <c r="S6" s="8">
        <v>-1.65246</v>
      </c>
      <c r="T6" s="7">
        <f>C6-D6</f>
        <v>40.604219175604413</v>
      </c>
      <c r="U6" s="8">
        <f>D6/C6</f>
        <v>0.76124354940654049</v>
      </c>
      <c r="V6" s="8">
        <v>12.316474801004349</v>
      </c>
      <c r="W6" s="8">
        <v>7.391467075388011</v>
      </c>
      <c r="X6" s="8">
        <v>0.41629318394317882</v>
      </c>
      <c r="Y6" s="8">
        <v>77.391436819100278</v>
      </c>
      <c r="Z6" s="8">
        <v>17.58659587211168</v>
      </c>
      <c r="AA6" s="7">
        <v>14.118345256644529</v>
      </c>
      <c r="AB6" s="7">
        <v>11.11120133275897</v>
      </c>
      <c r="AC6" s="7">
        <v>0.46690117937055198</v>
      </c>
      <c r="AD6" s="7">
        <v>70.751684062347636</v>
      </c>
      <c r="AE6" s="7">
        <v>21.35392041939286</v>
      </c>
      <c r="AF6" s="8">
        <v>15.96563412660173</v>
      </c>
      <c r="AG6" s="8">
        <v>14.69787239024458</v>
      </c>
      <c r="AH6" s="8">
        <v>0.50565827359652293</v>
      </c>
      <c r="AI6" s="8">
        <v>62.23047857273118</v>
      </c>
      <c r="AJ6" s="8">
        <v>25.285837642214499</v>
      </c>
      <c r="AK6" s="8">
        <v>15.91358837257726</v>
      </c>
      <c r="AL6" s="8">
        <v>14.850351834432161</v>
      </c>
      <c r="AM6" s="8">
        <v>0.51923842821379296</v>
      </c>
      <c r="AN6" s="8">
        <v>64.386468111683101</v>
      </c>
      <c r="AO6" s="8">
        <v>25.097228021332249</v>
      </c>
      <c r="AP6" s="8">
        <v>17.128919965704949</v>
      </c>
      <c r="AQ6" s="8">
        <v>15.351254637515471</v>
      </c>
      <c r="AR6" s="8">
        <v>0.51033903845616901</v>
      </c>
      <c r="AS6" s="8">
        <v>62.61402462648082</v>
      </c>
      <c r="AT6" s="8">
        <v>25.89180811023634</v>
      </c>
      <c r="AU6" s="8">
        <v>16.984115141541711</v>
      </c>
      <c r="AV6" s="8">
        <v>17.29743333812435</v>
      </c>
      <c r="AW6" s="8">
        <v>0.58720954359501221</v>
      </c>
      <c r="AX6" s="8">
        <v>63.261592574538703</v>
      </c>
      <c r="AY6" s="8">
        <v>28.516629605356421</v>
      </c>
      <c r="AZ6" s="8">
        <v>16.492205471312499</v>
      </c>
      <c r="BA6" s="8">
        <v>16.991432427195601</v>
      </c>
      <c r="BB6" s="8">
        <v>0.5450726882414989</v>
      </c>
      <c r="BC6" s="8">
        <v>64.112629381164311</v>
      </c>
      <c r="BD6" s="8">
        <v>27.57587236496817</v>
      </c>
      <c r="BE6" s="8">
        <v>16.584957426330121</v>
      </c>
      <c r="BF6" s="8">
        <v>17.54181666340979</v>
      </c>
      <c r="BG6" s="8">
        <v>0.61351808827796328</v>
      </c>
      <c r="BH6" s="8">
        <v>64.249888324629751</v>
      </c>
      <c r="BI6" s="8">
        <v>28.806803645625649</v>
      </c>
    </row>
    <row r="7" spans="1:61" x14ac:dyDescent="0.15">
      <c r="A7" s="7">
        <v>2020</v>
      </c>
      <c r="B7" s="7">
        <v>18</v>
      </c>
      <c r="C7" s="7">
        <v>143.92602342604343</v>
      </c>
      <c r="D7" s="7">
        <v>35.828283018673936</v>
      </c>
      <c r="E7" s="8">
        <v>15.733109546712861</v>
      </c>
      <c r="F7" s="8">
        <v>9.4243567318862489</v>
      </c>
      <c r="G7" s="8">
        <v>0.41428730611604497</v>
      </c>
      <c r="H7" s="8">
        <v>80.174136559788309</v>
      </c>
      <c r="I7" s="8">
        <v>22.74938069582317</v>
      </c>
      <c r="J7" s="8">
        <v>19.84912350144106</v>
      </c>
      <c r="K7" s="8">
        <v>16.73113015448401</v>
      </c>
      <c r="L7" s="8">
        <v>0.50832237965639315</v>
      </c>
      <c r="M7" s="8">
        <v>69.261032546653794</v>
      </c>
      <c r="N7" s="8">
        <v>33.146880052969678</v>
      </c>
      <c r="O7" s="8">
        <v>293.303</v>
      </c>
      <c r="P7" s="8">
        <v>289.23700000000002</v>
      </c>
      <c r="Q7" s="8">
        <v>98.284999999999997</v>
      </c>
      <c r="R7" s="8">
        <v>-1.0880399999999999</v>
      </c>
      <c r="S7" s="8">
        <v>-1.2282599999999999</v>
      </c>
      <c r="T7" s="7">
        <f>C7-D7</f>
        <v>108.09774040736949</v>
      </c>
      <c r="U7" s="8">
        <f>D7/C7</f>
        <v>0.24893540560497973</v>
      </c>
      <c r="V7" s="8">
        <v>15.540140255939281</v>
      </c>
      <c r="W7" s="8">
        <v>8.35493679515249</v>
      </c>
      <c r="X7" s="8">
        <v>0.4230586443138491</v>
      </c>
      <c r="Y7" s="8">
        <v>82.580247506890842</v>
      </c>
      <c r="Z7" s="8">
        <v>21.61153372483458</v>
      </c>
      <c r="AA7" s="7">
        <v>17.694631878690171</v>
      </c>
      <c r="AB7" s="7">
        <v>12.54303347481825</v>
      </c>
      <c r="AC7" s="7">
        <v>0.46569051198512112</v>
      </c>
      <c r="AD7" s="7">
        <v>75.920640026772318</v>
      </c>
      <c r="AE7" s="7">
        <v>27.379206888902129</v>
      </c>
      <c r="AF7" s="8">
        <v>19.85109647845595</v>
      </c>
      <c r="AG7" s="8">
        <v>15.949814169146521</v>
      </c>
      <c r="AH7" s="8">
        <v>0.51118908406561425</v>
      </c>
      <c r="AI7" s="8">
        <v>66.47015710042885</v>
      </c>
      <c r="AJ7" s="8">
        <v>32.754896254479817</v>
      </c>
      <c r="AK7" s="8">
        <v>19.848811073170761</v>
      </c>
      <c r="AL7" s="8">
        <v>16.854854455380341</v>
      </c>
      <c r="AM7" s="8">
        <v>0.50786842631925</v>
      </c>
      <c r="AN7" s="8">
        <v>69.702978084634552</v>
      </c>
      <c r="AO7" s="8">
        <v>33.208952149715408</v>
      </c>
      <c r="AP7" s="8">
        <v>20.57778845386207</v>
      </c>
      <c r="AQ7" s="8">
        <v>16.28645976251449</v>
      </c>
      <c r="AR7" s="8">
        <v>0.49276447231378212</v>
      </c>
      <c r="AS7" s="8">
        <v>68.477323739952723</v>
      </c>
      <c r="AT7" s="8">
        <v>33.037684958646047</v>
      </c>
      <c r="AU7" s="8">
        <v>20.6825400607351</v>
      </c>
      <c r="AV7" s="8">
        <v>19.444471848302459</v>
      </c>
      <c r="AW7" s="8">
        <v>0.52682528093858361</v>
      </c>
      <c r="AX7" s="8">
        <v>65.956892750065649</v>
      </c>
      <c r="AY7" s="8">
        <v>35.130651643984478</v>
      </c>
      <c r="AZ7" s="8">
        <v>21.497354822955899</v>
      </c>
      <c r="BA7" s="8">
        <v>20.929011646215368</v>
      </c>
      <c r="BB7" s="8">
        <v>0.54448722005915318</v>
      </c>
      <c r="BC7" s="8">
        <v>67.472682061883333</v>
      </c>
      <c r="BD7" s="8">
        <v>38.340271343674637</v>
      </c>
      <c r="BE7" s="8">
        <v>21.072966059583941</v>
      </c>
      <c r="BF7" s="8">
        <v>20.477986076674171</v>
      </c>
      <c r="BG7" s="8">
        <v>0.64411019458818675</v>
      </c>
      <c r="BH7" s="8">
        <v>65.696711272556868</v>
      </c>
      <c r="BI7" s="8">
        <v>36.329379058202967</v>
      </c>
    </row>
    <row r="8" spans="1:61" x14ac:dyDescent="0.15">
      <c r="A8" s="7">
        <v>2023</v>
      </c>
      <c r="B8" s="7">
        <v>53</v>
      </c>
      <c r="C8" s="9">
        <v>120.2780457956429</v>
      </c>
      <c r="D8" s="7">
        <v>18.923990063152917</v>
      </c>
      <c r="E8" s="8">
        <v>19.612417331783352</v>
      </c>
      <c r="F8" s="8">
        <v>10.186386272411241</v>
      </c>
      <c r="G8" s="8">
        <v>0.41604887758548792</v>
      </c>
      <c r="H8" s="8">
        <v>61.813736356625107</v>
      </c>
      <c r="I8" s="8">
        <v>34.036259583608029</v>
      </c>
      <c r="J8" s="8">
        <v>18.65750969530108</v>
      </c>
      <c r="K8" s="8">
        <v>12.35935070575392</v>
      </c>
      <c r="L8" s="8">
        <v>0.44302888508853472</v>
      </c>
      <c r="M8" s="8">
        <v>57.567609967577212</v>
      </c>
      <c r="N8" s="8">
        <v>32.209849029351311</v>
      </c>
      <c r="O8" s="7">
        <v>277.62900000000002</v>
      </c>
      <c r="P8" s="7">
        <v>271.60399999999998</v>
      </c>
      <c r="Q8" s="7">
        <v>97.904300000000006</v>
      </c>
      <c r="R8" s="7">
        <v>1.1881999999999999</v>
      </c>
      <c r="S8" s="7">
        <v>0.72056299999999995</v>
      </c>
      <c r="T8" s="7">
        <f>C8-D8</f>
        <v>101.35405573248998</v>
      </c>
      <c r="U8" s="8">
        <f>D8/C8</f>
        <v>0.15733536355675012</v>
      </c>
      <c r="V8" s="8">
        <v>13.839848898492761</v>
      </c>
      <c r="W8" s="8">
        <v>4.5455007087973076</v>
      </c>
      <c r="X8" s="8">
        <v>0.34498234589242088</v>
      </c>
      <c r="Y8" s="8">
        <v>68.290175507651924</v>
      </c>
      <c r="Z8" s="8">
        <v>24.380612433851589</v>
      </c>
      <c r="AA8" s="7">
        <v>16.24867929689692</v>
      </c>
      <c r="AB8" s="7">
        <v>8.4524257072756139</v>
      </c>
      <c r="AC8" s="7">
        <v>0.3940056154904778</v>
      </c>
      <c r="AD8" s="7">
        <v>62.928892737614568</v>
      </c>
      <c r="AE8" s="7">
        <v>28.29523073160145</v>
      </c>
      <c r="AF8" s="8">
        <v>21.312875328189978</v>
      </c>
      <c r="AG8" s="8">
        <v>14.73577869551551</v>
      </c>
      <c r="AH8" s="8">
        <v>0.47319679568389011</v>
      </c>
      <c r="AI8" s="8">
        <v>55.890412899932393</v>
      </c>
      <c r="AJ8" s="8">
        <v>35.911622349715472</v>
      </c>
      <c r="AK8" s="8">
        <v>18.396439468464859</v>
      </c>
      <c r="AL8" s="8">
        <v>12.12570506891104</v>
      </c>
      <c r="AM8" s="8">
        <v>0.44006283658479761</v>
      </c>
      <c r="AN8" s="8">
        <v>57.732508621636647</v>
      </c>
      <c r="AO8" s="8">
        <v>31.845898096013229</v>
      </c>
      <c r="AP8" s="8">
        <v>13.65018101924524</v>
      </c>
      <c r="AQ8" s="8">
        <v>6.8139972695698674</v>
      </c>
      <c r="AR8" s="8">
        <v>0.37569536743098481</v>
      </c>
      <c r="AS8" s="8">
        <v>64.657182741069448</v>
      </c>
      <c r="AT8" s="8">
        <v>23.832502211205139</v>
      </c>
      <c r="AU8" s="8">
        <v>13.30066394760445</v>
      </c>
      <c r="AV8" s="8">
        <v>7.4988471400040586</v>
      </c>
      <c r="AW8" s="8">
        <v>0.35875300031538898</v>
      </c>
      <c r="AX8" s="8">
        <v>63.242000364867451</v>
      </c>
      <c r="AY8" s="8">
        <v>23.553766003531031</v>
      </c>
      <c r="AZ8" s="8">
        <v>16.94079086769473</v>
      </c>
      <c r="BA8" s="8">
        <v>11.303436172566119</v>
      </c>
      <c r="BB8" s="8">
        <v>0.4287348870165219</v>
      </c>
      <c r="BC8" s="8">
        <v>54.850628295782208</v>
      </c>
      <c r="BD8" s="8">
        <v>29.707710975936759</v>
      </c>
      <c r="BE8" s="8">
        <v>12.829075183880679</v>
      </c>
      <c r="BF8" s="8">
        <v>9.3503859731463503</v>
      </c>
      <c r="BG8" s="8">
        <v>0.32815290969365918</v>
      </c>
      <c r="BH8" s="8">
        <v>57.291508934882472</v>
      </c>
      <c r="BI8" s="8">
        <v>24.031855851526949</v>
      </c>
    </row>
    <row r="9" spans="1:61" x14ac:dyDescent="0.15">
      <c r="A9" s="7">
        <v>2020</v>
      </c>
      <c r="B9" s="7">
        <v>106</v>
      </c>
      <c r="C9" s="7">
        <v>14.889349783414424</v>
      </c>
      <c r="D9" s="7">
        <v>13.457357807578354</v>
      </c>
      <c r="E9" s="8">
        <v>15.485034264350871</v>
      </c>
      <c r="F9" s="8">
        <v>9.4532387475025637</v>
      </c>
      <c r="G9" s="8">
        <v>0.41639941900979521</v>
      </c>
      <c r="H9" s="8">
        <v>81.195485102378129</v>
      </c>
      <c r="I9" s="8">
        <v>22.91875202837376</v>
      </c>
      <c r="J9" s="8">
        <v>20.199431718222201</v>
      </c>
      <c r="K9" s="8">
        <v>17.55851906849157</v>
      </c>
      <c r="L9" s="8">
        <v>0.46640959763073148</v>
      </c>
      <c r="M9" s="8">
        <v>70.201541923581033</v>
      </c>
      <c r="N9" s="8">
        <v>32.873841160259538</v>
      </c>
      <c r="O9" s="8">
        <v>293.755</v>
      </c>
      <c r="P9" s="8">
        <v>289.54399999999998</v>
      </c>
      <c r="Q9" s="8">
        <v>98.477000000000004</v>
      </c>
      <c r="R9" s="8">
        <v>-0.99023300000000003</v>
      </c>
      <c r="S9" s="8">
        <v>-1.3377399999999999</v>
      </c>
      <c r="T9" s="7">
        <f>C9-D9</f>
        <v>1.4319919758360697</v>
      </c>
      <c r="U9" s="8">
        <f>D9/C9</f>
        <v>0.90382441163205141</v>
      </c>
      <c r="V9" s="8">
        <v>15.005143519128019</v>
      </c>
      <c r="W9" s="8">
        <v>8.715816838727811</v>
      </c>
      <c r="X9" s="8">
        <v>0.43885583222142738</v>
      </c>
      <c r="Y9" s="8">
        <v>80.795384043125665</v>
      </c>
      <c r="Z9" s="8">
        <v>22.381875369966799</v>
      </c>
      <c r="AA9" s="7">
        <v>17.60228761867511</v>
      </c>
      <c r="AB9" s="7">
        <v>13.137167953609691</v>
      </c>
      <c r="AC9" s="7">
        <v>0.45263271492607943</v>
      </c>
      <c r="AD9" s="7">
        <v>75.498462983353349</v>
      </c>
      <c r="AE9" s="7">
        <v>27.627858265113169</v>
      </c>
      <c r="AF9" s="8">
        <v>19.94216110745252</v>
      </c>
      <c r="AG9" s="8">
        <v>15.162108166388141</v>
      </c>
      <c r="AH9" s="8">
        <v>0.47789841048778331</v>
      </c>
      <c r="AI9" s="8">
        <v>68.847618147034623</v>
      </c>
      <c r="AJ9" s="8">
        <v>32.241275359120642</v>
      </c>
      <c r="AK9" s="8">
        <v>20.242673389997691</v>
      </c>
      <c r="AL9" s="8">
        <v>17.961304343334909</v>
      </c>
      <c r="AM9" s="8">
        <v>0.46447857459950193</v>
      </c>
      <c r="AN9" s="8">
        <v>70.429107471699055</v>
      </c>
      <c r="AO9" s="8">
        <v>32.980161904270759</v>
      </c>
      <c r="AP9" s="8">
        <v>20.10605352464566</v>
      </c>
      <c r="AQ9" s="8">
        <v>16.310242329863581</v>
      </c>
      <c r="AR9" s="8">
        <v>0.44332478681190107</v>
      </c>
      <c r="AS9" s="8">
        <v>67.860148303893993</v>
      </c>
      <c r="AT9" s="8">
        <v>31.83618342297623</v>
      </c>
      <c r="AU9" s="8">
        <v>18.44965716731252</v>
      </c>
      <c r="AV9" s="8">
        <v>18.306634690160859</v>
      </c>
      <c r="AW9" s="8">
        <v>0.4835021737421038</v>
      </c>
      <c r="AX9" s="8">
        <v>67.429670546477638</v>
      </c>
      <c r="AY9" s="8">
        <v>31.783421449710449</v>
      </c>
      <c r="AZ9" s="8">
        <v>20.102558646920851</v>
      </c>
      <c r="BA9" s="8">
        <v>20.84322587827414</v>
      </c>
      <c r="BB9" s="8">
        <v>0.47005713762701939</v>
      </c>
      <c r="BC9" s="8">
        <v>67.010917714349503</v>
      </c>
      <c r="BD9" s="8">
        <v>34.442182506305898</v>
      </c>
      <c r="BE9" s="8">
        <v>20.335865548154281</v>
      </c>
      <c r="BF9" s="8">
        <v>22.57262528080701</v>
      </c>
      <c r="BG9" s="8">
        <v>0.59140948656659476</v>
      </c>
      <c r="BH9" s="8">
        <v>67.947541853421313</v>
      </c>
      <c r="BI9" s="8">
        <v>38.05395773252117</v>
      </c>
    </row>
    <row r="10" spans="1:61" x14ac:dyDescent="0.15">
      <c r="A10" s="7">
        <v>2021</v>
      </c>
      <c r="B10" s="7">
        <v>19</v>
      </c>
      <c r="C10" s="7">
        <v>149.04828790107655</v>
      </c>
      <c r="D10" s="7">
        <v>35.401387498414316</v>
      </c>
      <c r="E10" s="8">
        <v>13.480235462388441</v>
      </c>
      <c r="F10" s="8">
        <v>8.1534451640485379</v>
      </c>
      <c r="G10" s="8">
        <v>0.4216927119498971</v>
      </c>
      <c r="H10" s="8">
        <v>77.694064060179187</v>
      </c>
      <c r="I10" s="8">
        <v>20.38689922942725</v>
      </c>
      <c r="J10" s="8">
        <v>18.04535033045299</v>
      </c>
      <c r="K10" s="8">
        <v>14.987475972749751</v>
      </c>
      <c r="L10" s="8">
        <v>0.48763530412610528</v>
      </c>
      <c r="M10" s="8">
        <v>68.365248505283546</v>
      </c>
      <c r="N10" s="8">
        <v>28.637524765382899</v>
      </c>
      <c r="O10" s="8">
        <v>293.904</v>
      </c>
      <c r="P10" s="8">
        <v>289.029</v>
      </c>
      <c r="Q10" s="8">
        <v>96.514399999999995</v>
      </c>
      <c r="R10" s="8">
        <v>-0.61662099999999997</v>
      </c>
      <c r="S10" s="8">
        <v>-0.465368</v>
      </c>
      <c r="T10" s="7">
        <f>C10-D10</f>
        <v>113.64690040266223</v>
      </c>
      <c r="U10" s="8">
        <f>D10/C10</f>
        <v>0.237516230457543</v>
      </c>
      <c r="V10" s="8">
        <v>12.167498031471311</v>
      </c>
      <c r="W10" s="8">
        <v>6.8835275870809678</v>
      </c>
      <c r="X10" s="8">
        <v>0.4198457102103193</v>
      </c>
      <c r="Y10" s="8">
        <v>79.839855681360149</v>
      </c>
      <c r="Z10" s="8">
        <v>18.447733186649558</v>
      </c>
      <c r="AA10" s="7">
        <v>15.106424180962151</v>
      </c>
      <c r="AB10" s="7">
        <v>10.935501779915359</v>
      </c>
      <c r="AC10" s="7">
        <v>0.45374050716821229</v>
      </c>
      <c r="AD10" s="7">
        <v>74.102552093321847</v>
      </c>
      <c r="AE10" s="7">
        <v>23.542628976016228</v>
      </c>
      <c r="AF10" s="8">
        <v>18.051218583186252</v>
      </c>
      <c r="AG10" s="8">
        <v>13.525145649979279</v>
      </c>
      <c r="AH10" s="8">
        <v>0.48809360599180629</v>
      </c>
      <c r="AI10" s="8">
        <v>65.916820002137754</v>
      </c>
      <c r="AJ10" s="8">
        <v>28.307245805010051</v>
      </c>
      <c r="AK10" s="8">
        <v>18.044466341653091</v>
      </c>
      <c r="AL10" s="8">
        <v>15.20776021847797</v>
      </c>
      <c r="AM10" s="8">
        <v>0.48756626590729119</v>
      </c>
      <c r="AN10" s="8">
        <v>68.73407777568606</v>
      </c>
      <c r="AO10" s="8">
        <v>28.687277718277819</v>
      </c>
      <c r="AP10" s="8">
        <v>18.240512068497189</v>
      </c>
      <c r="AQ10" s="8">
        <v>15.232308902156801</v>
      </c>
      <c r="AR10" s="8">
        <v>0.47819501488222832</v>
      </c>
      <c r="AS10" s="8">
        <v>66.780218431259655</v>
      </c>
      <c r="AT10" s="8">
        <v>28.310601790600529</v>
      </c>
      <c r="AU10" s="8">
        <v>17.854996784021381</v>
      </c>
      <c r="AV10" s="8">
        <v>16.439875920957611</v>
      </c>
      <c r="AW10" s="8">
        <v>0.52045339525088974</v>
      </c>
      <c r="AX10" s="8">
        <v>66.979030702751118</v>
      </c>
      <c r="AY10" s="8">
        <v>29.799759520205122</v>
      </c>
      <c r="AZ10" s="8">
        <v>17.950230866430921</v>
      </c>
      <c r="BA10" s="8">
        <v>17.543539356005422</v>
      </c>
      <c r="BB10" s="8">
        <v>0.50239664010680241</v>
      </c>
      <c r="BC10" s="8">
        <v>68.099548355018499</v>
      </c>
      <c r="BD10" s="8">
        <v>30.331326469426831</v>
      </c>
      <c r="BE10" s="8">
        <v>18.55713132440545</v>
      </c>
      <c r="BF10" s="8">
        <v>19.106328671011941</v>
      </c>
      <c r="BG10" s="8">
        <v>0.59846817337942504</v>
      </c>
      <c r="BH10" s="8">
        <v>66.917756548135856</v>
      </c>
      <c r="BI10" s="8">
        <v>33.585369923059282</v>
      </c>
    </row>
    <row r="11" spans="1:61" x14ac:dyDescent="0.15">
      <c r="A11" s="7">
        <v>2022</v>
      </c>
      <c r="B11" s="7">
        <v>19</v>
      </c>
      <c r="C11" s="7">
        <v>183.55448020319656</v>
      </c>
      <c r="D11" s="7">
        <v>172.52936614701974</v>
      </c>
      <c r="E11" s="8">
        <v>12.874121566914109</v>
      </c>
      <c r="F11" s="8">
        <v>7.5646444015321208</v>
      </c>
      <c r="G11" s="8">
        <v>0.42713980216775882</v>
      </c>
      <c r="H11" s="8">
        <v>73.610018658540355</v>
      </c>
      <c r="I11" s="8">
        <v>18.714735965014452</v>
      </c>
      <c r="J11" s="8">
        <v>17.1155263544177</v>
      </c>
      <c r="K11" s="8">
        <v>14.101662739739719</v>
      </c>
      <c r="L11" s="8">
        <v>0.50555755369631084</v>
      </c>
      <c r="M11" s="8">
        <v>66.816834266475695</v>
      </c>
      <c r="N11" s="8">
        <v>25.421847157686599</v>
      </c>
      <c r="O11" s="8">
        <v>293.23200000000003</v>
      </c>
      <c r="P11" s="8">
        <v>288.755</v>
      </c>
      <c r="Q11" s="8">
        <v>96.526300000000006</v>
      </c>
      <c r="R11" s="8">
        <v>-0.76639500000000005</v>
      </c>
      <c r="S11" s="8">
        <v>-0.62623799999999996</v>
      </c>
      <c r="T11" s="7">
        <f>C11-D11</f>
        <v>11.025114056176818</v>
      </c>
      <c r="U11" s="8">
        <f>D11/C11</f>
        <v>0.93993546742105172</v>
      </c>
      <c r="V11" s="8">
        <v>11.784540540376021</v>
      </c>
      <c r="W11" s="8">
        <v>6.5650365507942823</v>
      </c>
      <c r="X11" s="8">
        <v>0.42895077220838695</v>
      </c>
      <c r="Y11" s="8">
        <v>74.743558434374336</v>
      </c>
      <c r="Z11" s="8">
        <v>17.50628403389338</v>
      </c>
      <c r="AA11" s="7">
        <v>14.45003344739686</v>
      </c>
      <c r="AB11" s="7">
        <v>10.333349645267001</v>
      </c>
      <c r="AC11" s="7">
        <v>0.46725416295234889</v>
      </c>
      <c r="AD11" s="7">
        <v>70.780196350425015</v>
      </c>
      <c r="AE11" s="7">
        <v>21.46406559578999</v>
      </c>
      <c r="AF11" s="8">
        <v>17.241164337776091</v>
      </c>
      <c r="AG11" s="8">
        <v>12.82733446942053</v>
      </c>
      <c r="AH11" s="8">
        <v>0.49065035826056608</v>
      </c>
      <c r="AI11" s="8">
        <v>64.603845657114832</v>
      </c>
      <c r="AJ11" s="8">
        <v>25.30125525062445</v>
      </c>
      <c r="AK11" s="8">
        <v>17.09751159721025</v>
      </c>
      <c r="AL11" s="8">
        <v>14.284383870553439</v>
      </c>
      <c r="AM11" s="8">
        <v>0.50769504030060497</v>
      </c>
      <c r="AN11" s="8">
        <v>67.134146367759485</v>
      </c>
      <c r="AO11" s="8">
        <v>25.43913837702042</v>
      </c>
      <c r="AP11" s="8">
        <v>17.992611682027938</v>
      </c>
      <c r="AQ11" s="8">
        <v>15.05207615587204</v>
      </c>
      <c r="AR11" s="8">
        <v>0.51483547569531984</v>
      </c>
      <c r="AS11" s="8">
        <v>64.342123677372527</v>
      </c>
      <c r="AT11" s="8">
        <v>25.986855523347799</v>
      </c>
      <c r="AU11" s="8">
        <v>17.03729885293949</v>
      </c>
      <c r="AV11" s="8">
        <v>15.69431922667675</v>
      </c>
      <c r="AW11" s="8">
        <v>0.54326815897882375</v>
      </c>
      <c r="AX11" s="8">
        <v>66.719825041932609</v>
      </c>
      <c r="AY11" s="8">
        <v>27.730112002028509</v>
      </c>
      <c r="AZ11" s="8">
        <v>17.003250533088011</v>
      </c>
      <c r="BA11" s="8">
        <v>16.148581864035481</v>
      </c>
      <c r="BB11" s="8">
        <v>0.5269389153788846</v>
      </c>
      <c r="BC11" s="8">
        <v>68.114703668201969</v>
      </c>
      <c r="BD11" s="8">
        <v>27.080273851091871</v>
      </c>
      <c r="BE11" s="8">
        <v>17.98193668812392</v>
      </c>
      <c r="BF11" s="8">
        <v>18.406906999084189</v>
      </c>
      <c r="BG11" s="8">
        <v>0.6087210532772509</v>
      </c>
      <c r="BH11" s="8">
        <v>65.768520392613794</v>
      </c>
      <c r="BI11" s="8">
        <v>31.946034216575281</v>
      </c>
    </row>
    <row r="12" spans="1:61" x14ac:dyDescent="0.15">
      <c r="A12" s="7">
        <v>2019</v>
      </c>
      <c r="B12" s="7">
        <v>106</v>
      </c>
      <c r="C12" s="7">
        <v>21.546030963250264</v>
      </c>
      <c r="D12" s="7">
        <v>5.2348036455680198</v>
      </c>
      <c r="E12" s="8">
        <v>17.03922408587729</v>
      </c>
      <c r="F12" s="8">
        <v>10.57632697356914</v>
      </c>
      <c r="G12" s="8">
        <v>0.43000274667578348</v>
      </c>
      <c r="H12" s="8">
        <v>84.35670863846336</v>
      </c>
      <c r="I12" s="8">
        <v>25.771769301310972</v>
      </c>
      <c r="J12" s="8">
        <v>21.622147334025271</v>
      </c>
      <c r="K12" s="8">
        <v>17.921269176265511</v>
      </c>
      <c r="L12" s="8">
        <v>0.49795525912859762</v>
      </c>
      <c r="M12" s="8">
        <v>73.26092694521536</v>
      </c>
      <c r="N12" s="8">
        <v>35.843144160589517</v>
      </c>
      <c r="O12" s="8">
        <v>293.45999999999998</v>
      </c>
      <c r="P12" s="8">
        <v>289.77199999999999</v>
      </c>
      <c r="Q12" s="8">
        <v>98.387500000000003</v>
      </c>
      <c r="R12" s="8">
        <v>-1.1842299999999999</v>
      </c>
      <c r="S12" s="8">
        <v>-1.61832</v>
      </c>
      <c r="T12" s="7">
        <f>C12-D12</f>
        <v>16.311227317682246</v>
      </c>
      <c r="U12" s="8">
        <f>D12/C12</f>
        <v>0.24295907002531936</v>
      </c>
      <c r="V12" s="8">
        <v>16.998317187675006</v>
      </c>
      <c r="W12" s="8">
        <v>9.4847941428415474</v>
      </c>
      <c r="X12" s="8">
        <v>0.44452154398179822</v>
      </c>
      <c r="Y12" s="8">
        <v>84.203759565950904</v>
      </c>
      <c r="Z12" s="8">
        <v>25.840891965438402</v>
      </c>
      <c r="AA12" s="7">
        <v>19.310232260850139</v>
      </c>
      <c r="AB12" s="7">
        <v>13.703031659553529</v>
      </c>
      <c r="AC12" s="7">
        <v>0.47123840155519792</v>
      </c>
      <c r="AD12" s="7">
        <v>78.732343255583132</v>
      </c>
      <c r="AE12" s="7">
        <v>30.84201806301396</v>
      </c>
      <c r="AF12" s="8">
        <v>21.139313407061799</v>
      </c>
      <c r="AG12" s="8">
        <v>15.0119259566506</v>
      </c>
      <c r="AH12" s="8">
        <v>0.50930409741572746</v>
      </c>
      <c r="AI12" s="8">
        <v>74.657115801458616</v>
      </c>
      <c r="AJ12" s="8">
        <v>34.572553205328227</v>
      </c>
      <c r="AK12" s="8">
        <v>21.70511823885364</v>
      </c>
      <c r="AL12" s="8">
        <v>18.421215070510829</v>
      </c>
      <c r="AM12" s="8">
        <v>0.49600505776773651</v>
      </c>
      <c r="AN12" s="8">
        <v>73.021003762015866</v>
      </c>
      <c r="AO12" s="8">
        <v>36.061484412459897</v>
      </c>
      <c r="AP12" s="8">
        <v>21.14877387617824</v>
      </c>
      <c r="AQ12" s="8">
        <v>15.254992034928399</v>
      </c>
      <c r="AR12" s="8">
        <v>0.47196014393504199</v>
      </c>
      <c r="AS12" s="8">
        <v>72.655796229653689</v>
      </c>
      <c r="AT12" s="8">
        <v>34.523121902068787</v>
      </c>
      <c r="AU12" s="8">
        <v>20.303784656329231</v>
      </c>
      <c r="AV12" s="8">
        <v>19.113139336900868</v>
      </c>
      <c r="AW12" s="8">
        <v>0.49739914034828192</v>
      </c>
      <c r="AX12" s="8">
        <v>69.093863569435896</v>
      </c>
      <c r="AY12" s="8">
        <v>34.633567590391877</v>
      </c>
      <c r="AZ12" s="8">
        <v>22.388209049527919</v>
      </c>
      <c r="BA12" s="8">
        <v>21.54664499192096</v>
      </c>
      <c r="BB12" s="8">
        <v>0.50935526141945975</v>
      </c>
      <c r="BC12" s="8">
        <v>68.932900477295604</v>
      </c>
      <c r="BD12" s="8">
        <v>38.270284978979753</v>
      </c>
      <c r="BE12" s="8">
        <v>23.00294867225702</v>
      </c>
      <c r="BF12" s="8">
        <v>24.773565802283819</v>
      </c>
      <c r="BG12" s="8">
        <v>0.59331757310947519</v>
      </c>
      <c r="BH12" s="8">
        <v>65.843625630731722</v>
      </c>
      <c r="BI12" s="8">
        <v>41.778100996718607</v>
      </c>
    </row>
    <row r="13" spans="1:61" x14ac:dyDescent="0.15">
      <c r="A13" s="7">
        <v>2021</v>
      </c>
      <c r="B13" s="7">
        <v>92</v>
      </c>
      <c r="C13" s="7">
        <v>27.84259212946974</v>
      </c>
      <c r="D13" s="7">
        <v>3.8117821112489167</v>
      </c>
      <c r="E13" s="8">
        <v>12.583102326137871</v>
      </c>
      <c r="F13" s="8">
        <v>8.207817001005564</v>
      </c>
      <c r="G13" s="8">
        <v>0.43068698950291168</v>
      </c>
      <c r="H13" s="8">
        <v>79.618782399937572</v>
      </c>
      <c r="I13" s="8">
        <v>18.432541899682501</v>
      </c>
      <c r="J13" s="8">
        <v>16.131037498476491</v>
      </c>
      <c r="K13" s="8">
        <v>12.66386264578767</v>
      </c>
      <c r="L13" s="8">
        <v>0.47250532140433338</v>
      </c>
      <c r="M13" s="8">
        <v>67.397441230864104</v>
      </c>
      <c r="N13" s="8">
        <v>25.46951592339704</v>
      </c>
      <c r="O13" s="8">
        <v>292.35899999999998</v>
      </c>
      <c r="P13" s="8">
        <v>288.149</v>
      </c>
      <c r="Q13" s="8">
        <v>96.243800000000007</v>
      </c>
      <c r="R13" s="8">
        <v>-0.56788799999999995</v>
      </c>
      <c r="S13" s="8">
        <v>-0.54808999999999997</v>
      </c>
      <c r="T13" s="7">
        <f>C13-D13</f>
        <v>24.030810018220823</v>
      </c>
      <c r="U13" s="8">
        <f>D13/C13</f>
        <v>0.13690471395493276</v>
      </c>
      <c r="V13" s="8">
        <v>11.219056067088008</v>
      </c>
      <c r="W13" s="8">
        <v>6.681045375882416</v>
      </c>
      <c r="X13" s="8">
        <v>0.44380501749732187</v>
      </c>
      <c r="Y13" s="8">
        <v>86.107907232042095</v>
      </c>
      <c r="Z13" s="8">
        <v>16.086497574890643</v>
      </c>
      <c r="AA13" s="7">
        <v>13.67504678278225</v>
      </c>
      <c r="AB13" s="7">
        <v>9.6724540108350432</v>
      </c>
      <c r="AC13" s="7">
        <v>0.45815516945082763</v>
      </c>
      <c r="AD13" s="7">
        <v>76.752674231453099</v>
      </c>
      <c r="AE13" s="7">
        <v>20.778006749143842</v>
      </c>
      <c r="AF13" s="8">
        <v>15.884111795115439</v>
      </c>
      <c r="AG13" s="8">
        <v>12.277922098544179</v>
      </c>
      <c r="AH13" s="8">
        <v>0.47988641823864331</v>
      </c>
      <c r="AI13" s="8">
        <v>64.99639336125324</v>
      </c>
      <c r="AJ13" s="8">
        <v>25.27926335491448</v>
      </c>
      <c r="AK13" s="8">
        <v>16.171159170767559</v>
      </c>
      <c r="AL13" s="8">
        <v>12.72657211648904</v>
      </c>
      <c r="AM13" s="8">
        <v>0.47130600539832929</v>
      </c>
      <c r="AN13" s="8">
        <v>67.787575001745012</v>
      </c>
      <c r="AO13" s="8">
        <v>25.50042907298532</v>
      </c>
      <c r="AP13" s="8">
        <v>16.925821703505299</v>
      </c>
      <c r="AQ13" s="8">
        <v>13.037508361081031</v>
      </c>
      <c r="AR13" s="8">
        <v>0.47333801533086872</v>
      </c>
      <c r="AS13" s="8">
        <v>65.81229070160613</v>
      </c>
      <c r="AT13" s="8">
        <v>25.466013497458299</v>
      </c>
      <c r="AU13" s="8">
        <v>17.35448125203224</v>
      </c>
      <c r="AV13" s="8">
        <v>14.451883230721339</v>
      </c>
      <c r="AW13" s="8">
        <v>0.47651861580027682</v>
      </c>
      <c r="AX13" s="8">
        <v>60.617309422974941</v>
      </c>
      <c r="AY13" s="8">
        <v>27.63313015956205</v>
      </c>
      <c r="AZ13" s="8">
        <v>18.533158676637289</v>
      </c>
      <c r="BA13" s="8">
        <v>17.719408351886042</v>
      </c>
      <c r="BB13" s="8">
        <v>0.51652172832150367</v>
      </c>
      <c r="BC13" s="8">
        <v>60.256903221897673</v>
      </c>
      <c r="BD13" s="8">
        <v>32.664513659245998</v>
      </c>
      <c r="BE13" s="8">
        <v>19.937498581327539</v>
      </c>
      <c r="BF13" s="8">
        <v>21.457658357595179</v>
      </c>
      <c r="BG13" s="8">
        <v>0.58653262113548554</v>
      </c>
      <c r="BH13" s="8">
        <v>61.304990057079188</v>
      </c>
      <c r="BI13" s="8">
        <v>34.052680499879017</v>
      </c>
    </row>
    <row r="14" spans="1:61" x14ac:dyDescent="0.15">
      <c r="A14" s="7">
        <v>2020</v>
      </c>
      <c r="B14" s="7">
        <v>19</v>
      </c>
      <c r="C14" s="7">
        <v>169.71715967602566</v>
      </c>
      <c r="D14" s="7">
        <v>140.5743494186998</v>
      </c>
      <c r="E14" s="8">
        <v>16.06530563200403</v>
      </c>
      <c r="F14" s="8">
        <v>9.6710223479097728</v>
      </c>
      <c r="G14" s="8">
        <v>0.43552881326229742</v>
      </c>
      <c r="H14" s="8">
        <v>78.971514207370092</v>
      </c>
      <c r="I14" s="8">
        <v>24.29140160163255</v>
      </c>
      <c r="J14" s="8">
        <v>20.745000508832842</v>
      </c>
      <c r="K14" s="8">
        <v>16.816447014952178</v>
      </c>
      <c r="L14" s="8">
        <v>0.50407690053296705</v>
      </c>
      <c r="M14" s="8">
        <v>70.254147167618981</v>
      </c>
      <c r="N14" s="8">
        <v>33.885338580939802</v>
      </c>
      <c r="O14" s="8">
        <v>293.77300000000002</v>
      </c>
      <c r="P14" s="8">
        <v>288.99299999999999</v>
      </c>
      <c r="Q14" s="8">
        <v>96.591399999999993</v>
      </c>
      <c r="R14" s="8">
        <v>-0.61543999999999999</v>
      </c>
      <c r="S14" s="8">
        <v>-0.381826</v>
      </c>
      <c r="T14" s="7">
        <f>C14-D14</f>
        <v>29.142810257325863</v>
      </c>
      <c r="U14" s="8">
        <f>D14/C14</f>
        <v>0.82828601236930444</v>
      </c>
      <c r="V14" s="8">
        <v>14.96736787373958</v>
      </c>
      <c r="W14" s="8">
        <v>8.1903701400670421</v>
      </c>
      <c r="X14" s="8">
        <v>0.43270229970344298</v>
      </c>
      <c r="Y14" s="8">
        <v>80.511838644595059</v>
      </c>
      <c r="Z14" s="8">
        <v>22.19746806806122</v>
      </c>
      <c r="AA14" s="7">
        <v>17.856184191286211</v>
      </c>
      <c r="AB14" s="7">
        <v>12.50340857750961</v>
      </c>
      <c r="AC14" s="7">
        <v>0.46838960011820502</v>
      </c>
      <c r="AD14" s="7">
        <v>75.38299290610702</v>
      </c>
      <c r="AE14" s="7">
        <v>28.041403324500511</v>
      </c>
      <c r="AF14" s="8">
        <v>20.152405530352929</v>
      </c>
      <c r="AG14" s="8">
        <v>15.1377089423616</v>
      </c>
      <c r="AH14" s="8">
        <v>0.48875545884294608</v>
      </c>
      <c r="AI14" s="8">
        <v>68.823968928498942</v>
      </c>
      <c r="AJ14" s="8">
        <v>33.001687457050707</v>
      </c>
      <c r="AK14" s="8">
        <v>20.835878001924389</v>
      </c>
      <c r="AL14" s="8">
        <v>17.073890147504031</v>
      </c>
      <c r="AM14" s="8">
        <v>0.50642652255458631</v>
      </c>
      <c r="AN14" s="8">
        <v>70.473472369089166</v>
      </c>
      <c r="AO14" s="8">
        <v>34.020851033496463</v>
      </c>
      <c r="AP14" s="8">
        <v>21.262544117517781</v>
      </c>
      <c r="AQ14" s="8">
        <v>16.603927840392071</v>
      </c>
      <c r="AR14" s="8">
        <v>0.49672352116667362</v>
      </c>
      <c r="AS14" s="8">
        <v>68.351973462254023</v>
      </c>
      <c r="AT14" s="8">
        <v>34.103991844144083</v>
      </c>
      <c r="AU14" s="8">
        <v>20.36418177973497</v>
      </c>
      <c r="AV14" s="8">
        <v>18.220623354042988</v>
      </c>
      <c r="AW14" s="8">
        <v>0.54528394015492032</v>
      </c>
      <c r="AX14" s="8">
        <v>67.221228996252464</v>
      </c>
      <c r="AY14" s="8">
        <v>34.590876087215221</v>
      </c>
      <c r="AZ14" s="8">
        <v>20.933873226251048</v>
      </c>
      <c r="BA14" s="8">
        <v>20.125437347804429</v>
      </c>
      <c r="BB14" s="8">
        <v>0.52928075162630794</v>
      </c>
      <c r="BC14" s="8">
        <v>69.080948091832482</v>
      </c>
      <c r="BD14" s="8">
        <v>36.255601434586048</v>
      </c>
      <c r="BE14" s="8">
        <v>20.524079393565959</v>
      </c>
      <c r="BF14" s="8">
        <v>20.781781433473579</v>
      </c>
      <c r="BG14" s="8">
        <v>0.66196207081399172</v>
      </c>
      <c r="BH14" s="8">
        <v>65.901792299934115</v>
      </c>
      <c r="BI14" s="8">
        <v>37.615120002755162</v>
      </c>
    </row>
    <row r="15" spans="1:61" x14ac:dyDescent="0.15">
      <c r="A15" s="7">
        <v>2022</v>
      </c>
      <c r="B15" s="7">
        <v>31</v>
      </c>
      <c r="C15" s="7">
        <v>24.235410307170167</v>
      </c>
      <c r="D15" s="7">
        <v>22.02118498483647</v>
      </c>
      <c r="E15" s="8">
        <v>13.982264492340081</v>
      </c>
      <c r="F15" s="8">
        <v>8.2850046888714743</v>
      </c>
      <c r="G15" s="8">
        <v>0.43791809590439579</v>
      </c>
      <c r="H15" s="8">
        <v>72.827115394955541</v>
      </c>
      <c r="I15" s="8">
        <v>20.369370590188499</v>
      </c>
      <c r="J15" s="8">
        <v>18.182653942452621</v>
      </c>
      <c r="K15" s="8">
        <v>15.23396415399845</v>
      </c>
      <c r="L15" s="8">
        <v>0.58646130199113233</v>
      </c>
      <c r="M15" s="8">
        <v>65.685865887950129</v>
      </c>
      <c r="N15" s="8">
        <v>26.783048368519701</v>
      </c>
      <c r="O15" s="8">
        <v>293.92700000000002</v>
      </c>
      <c r="P15" s="8">
        <v>289.35300000000001</v>
      </c>
      <c r="Q15" s="8">
        <v>97.809100000000001</v>
      </c>
      <c r="R15" s="8">
        <v>-0.69120199999999998</v>
      </c>
      <c r="S15" s="8">
        <v>-0.58993600000000002</v>
      </c>
      <c r="T15" s="7">
        <f>C15-D15</f>
        <v>2.2142253223336965</v>
      </c>
      <c r="U15" s="8">
        <f>D15/C15</f>
        <v>0.90863677180333902</v>
      </c>
      <c r="V15" s="8">
        <v>15.388019739095196</v>
      </c>
      <c r="W15" s="8">
        <v>12.033913282569511</v>
      </c>
      <c r="X15" s="8">
        <v>0.5426126872776772</v>
      </c>
      <c r="Y15" s="8">
        <v>70.55926337348636</v>
      </c>
      <c r="Z15" s="8">
        <v>24.776453320208539</v>
      </c>
      <c r="AA15" s="7">
        <v>16.785336840773908</v>
      </c>
      <c r="AB15" s="7">
        <v>13.63393871828398</v>
      </c>
      <c r="AC15" s="7">
        <v>0.56453699463440477</v>
      </c>
      <c r="AD15" s="7">
        <v>68.122564630718244</v>
      </c>
      <c r="AE15" s="7">
        <v>25.77975084436412</v>
      </c>
      <c r="AF15" s="8">
        <v>17.991898504717049</v>
      </c>
      <c r="AG15" s="8">
        <v>14.03857619625996</v>
      </c>
      <c r="AH15" s="8">
        <v>0.54561900396683904</v>
      </c>
      <c r="AI15" s="8">
        <v>63.761549146475097</v>
      </c>
      <c r="AJ15" s="8">
        <v>26.37805029225591</v>
      </c>
      <c r="AK15" s="8">
        <v>18.19389715754842</v>
      </c>
      <c r="AL15" s="8">
        <v>15.30442088168777</v>
      </c>
      <c r="AM15" s="8">
        <v>0.58886856621984995</v>
      </c>
      <c r="AN15" s="8">
        <v>65.799286020522473</v>
      </c>
      <c r="AO15" s="8">
        <v>26.8069191453577</v>
      </c>
      <c r="AP15" s="8">
        <v>19.358384458127979</v>
      </c>
      <c r="AQ15" s="8">
        <v>15.843727443897491</v>
      </c>
      <c r="AR15" s="8">
        <v>0.5807070549591884</v>
      </c>
      <c r="AS15" s="8">
        <v>64.285293472260477</v>
      </c>
      <c r="AT15" s="8">
        <v>27.343482032902148</v>
      </c>
      <c r="AU15" s="8">
        <v>18.092186533688501</v>
      </c>
      <c r="AV15" s="8">
        <v>16.39641351650776</v>
      </c>
      <c r="AW15" s="8">
        <v>0.61053865565653642</v>
      </c>
      <c r="AX15" s="8">
        <v>70.218207992901796</v>
      </c>
      <c r="AY15" s="8">
        <v>30.613440718719719</v>
      </c>
      <c r="AZ15" s="8">
        <v>17.455247326448919</v>
      </c>
      <c r="BA15" s="8">
        <v>15.27544651087141</v>
      </c>
      <c r="BB15" s="8">
        <v>0.58662110733480988</v>
      </c>
      <c r="BC15" s="8">
        <v>69.561623041778915</v>
      </c>
      <c r="BD15" s="8">
        <v>27.362639373304319</v>
      </c>
      <c r="BE15" s="8">
        <v>18.304538992960889</v>
      </c>
      <c r="BF15" s="8">
        <v>17.328605784234892</v>
      </c>
      <c r="BG15" s="8">
        <v>0.65009574545883653</v>
      </c>
      <c r="BH15" s="8">
        <v>68.403224137251811</v>
      </c>
      <c r="BI15" s="8">
        <v>31.477204813401659</v>
      </c>
    </row>
    <row r="16" spans="1:61" x14ac:dyDescent="0.15">
      <c r="A16" s="7">
        <v>2022</v>
      </c>
      <c r="B16" s="7">
        <v>92</v>
      </c>
      <c r="C16" s="7">
        <v>24.982261545465644</v>
      </c>
      <c r="D16" s="7">
        <v>19.126749743074804</v>
      </c>
      <c r="E16" s="8">
        <v>12.54309185742421</v>
      </c>
      <c r="F16" s="8">
        <v>9.0886302671101991</v>
      </c>
      <c r="G16" s="8">
        <v>0.44050888771777508</v>
      </c>
      <c r="H16" s="8">
        <v>71.643538944342225</v>
      </c>
      <c r="I16" s="8">
        <v>18.08879225915959</v>
      </c>
      <c r="J16" s="8">
        <v>15.636774395104389</v>
      </c>
      <c r="K16" s="8">
        <v>13.937932771726731</v>
      </c>
      <c r="L16" s="8">
        <v>0.49452548677773228</v>
      </c>
      <c r="M16" s="8">
        <v>62.382415857608017</v>
      </c>
      <c r="N16" s="8">
        <v>24.424717741000482</v>
      </c>
      <c r="O16" s="8">
        <v>291.88900000000001</v>
      </c>
      <c r="P16" s="8">
        <v>287.38499999999999</v>
      </c>
      <c r="Q16" s="8">
        <v>96.261499999999998</v>
      </c>
      <c r="R16" s="8">
        <v>-0.66952999999999996</v>
      </c>
      <c r="S16" s="8">
        <v>-0.69439600000000001</v>
      </c>
      <c r="T16" s="7">
        <f>C16-D16</f>
        <v>5.8555118023908399</v>
      </c>
      <c r="U16" s="8">
        <f>D16/C16</f>
        <v>0.76561322153583677</v>
      </c>
      <c r="V16" s="8">
        <v>11.29957945533647</v>
      </c>
      <c r="W16" s="8">
        <v>7.2341419420622497</v>
      </c>
      <c r="X16" s="8">
        <v>0.43871389042926529</v>
      </c>
      <c r="Y16" s="8">
        <v>76.682543876690488</v>
      </c>
      <c r="Z16" s="8">
        <v>15.663844484308779</v>
      </c>
      <c r="AA16" s="7">
        <v>13.46817692522043</v>
      </c>
      <c r="AB16" s="7">
        <v>10.58603735689449</v>
      </c>
      <c r="AC16" s="7">
        <v>0.46661968860349878</v>
      </c>
      <c r="AD16" s="7">
        <v>69.532479867149249</v>
      </c>
      <c r="AE16" s="7">
        <v>20.04428111265463</v>
      </c>
      <c r="AF16" s="8">
        <v>15.26613767761779</v>
      </c>
      <c r="AG16" s="8">
        <v>13.95454419475767</v>
      </c>
      <c r="AH16" s="8">
        <v>0.5014379032185976</v>
      </c>
      <c r="AI16" s="8">
        <v>61.496283941674719</v>
      </c>
      <c r="AJ16" s="8">
        <v>24.46563813744077</v>
      </c>
      <c r="AK16" s="8">
        <v>15.69307718388835</v>
      </c>
      <c r="AL16" s="8">
        <v>13.935409358912549</v>
      </c>
      <c r="AM16" s="8">
        <v>0.49347543343845168</v>
      </c>
      <c r="AN16" s="8">
        <v>62.517026638849167</v>
      </c>
      <c r="AO16" s="8">
        <v>24.418501593681469</v>
      </c>
      <c r="AP16" s="8">
        <v>16.764350093357361</v>
      </c>
      <c r="AQ16" s="8">
        <v>15.07216205979174</v>
      </c>
      <c r="AR16" s="8">
        <v>0.49369392399579959</v>
      </c>
      <c r="AS16" s="8">
        <v>60.566152071409967</v>
      </c>
      <c r="AT16" s="8">
        <v>25.52923417470555</v>
      </c>
      <c r="AU16" s="8">
        <v>16.264621442517068</v>
      </c>
      <c r="AV16" s="8">
        <v>14.872778538434989</v>
      </c>
      <c r="AW16" s="8">
        <v>0.49385791193674439</v>
      </c>
      <c r="AX16" s="8">
        <v>59.683329540636507</v>
      </c>
      <c r="AY16" s="8">
        <v>25.501753194997669</v>
      </c>
      <c r="AZ16" s="8">
        <v>16.92368983252447</v>
      </c>
      <c r="BA16" s="8">
        <v>17.817124457339609</v>
      </c>
      <c r="BB16" s="8">
        <v>0.51614408681011714</v>
      </c>
      <c r="BC16" s="8">
        <v>59.136360470010906</v>
      </c>
      <c r="BD16" s="8">
        <v>28.950312458120472</v>
      </c>
      <c r="BE16" s="8">
        <v>19.55948198221186</v>
      </c>
      <c r="BF16" s="8">
        <v>20.880262044626999</v>
      </c>
      <c r="BG16" s="8">
        <v>0.5861820083188557</v>
      </c>
      <c r="BH16" s="8">
        <v>59.209422931174792</v>
      </c>
      <c r="BI16" s="8">
        <v>37.18301911663135</v>
      </c>
    </row>
    <row r="17" spans="1:61" x14ac:dyDescent="0.15">
      <c r="A17" s="7">
        <v>2022</v>
      </c>
      <c r="B17" s="7">
        <v>21</v>
      </c>
      <c r="C17" s="7">
        <v>130.31878127887109</v>
      </c>
      <c r="D17" s="7">
        <v>10.017217246263966</v>
      </c>
      <c r="E17" s="8">
        <v>24.810015259982791</v>
      </c>
      <c r="F17" s="8">
        <v>21.430912054698851</v>
      </c>
      <c r="G17" s="8">
        <v>0.44244226566020312</v>
      </c>
      <c r="H17" s="8">
        <v>72.79807242931264</v>
      </c>
      <c r="I17" s="8">
        <v>35.130791725115202</v>
      </c>
      <c r="J17" s="8">
        <v>32.846104070841633</v>
      </c>
      <c r="K17" s="8">
        <v>25.87462776842991</v>
      </c>
      <c r="L17" s="8">
        <v>0.54418158014020157</v>
      </c>
      <c r="M17" s="8">
        <v>64.335040297185856</v>
      </c>
      <c r="N17" s="8">
        <v>46.994645227131663</v>
      </c>
      <c r="O17" s="8">
        <v>290.45</v>
      </c>
      <c r="P17" s="8">
        <v>284.59800000000001</v>
      </c>
      <c r="Q17" s="8">
        <v>101.05800000000001</v>
      </c>
      <c r="R17" s="8">
        <v>-0.86260300000000001</v>
      </c>
      <c r="S17" s="8">
        <v>-0.13652</v>
      </c>
      <c r="T17" s="7">
        <f>C17-D17</f>
        <v>120.30156403260712</v>
      </c>
      <c r="U17" s="8">
        <f>D17/C17</f>
        <v>7.6867026747495237E-2</v>
      </c>
      <c r="V17" s="8">
        <v>29.125624078107187</v>
      </c>
      <c r="W17" s="8">
        <v>26.375589961261888</v>
      </c>
      <c r="X17" s="8">
        <v>0.56927954255317637</v>
      </c>
      <c r="Y17" s="8">
        <v>64.429424046934258</v>
      </c>
      <c r="Z17" s="8">
        <v>42.244963251148683</v>
      </c>
      <c r="AA17" s="7">
        <v>30.98586407447441</v>
      </c>
      <c r="AB17" s="7">
        <v>26.125108864845899</v>
      </c>
      <c r="AC17" s="7">
        <v>0.55673056134668897</v>
      </c>
      <c r="AD17" s="7">
        <v>64.382232172060057</v>
      </c>
      <c r="AE17" s="7">
        <v>44.619804239140173</v>
      </c>
      <c r="AF17" s="8">
        <v>33.053917088660569</v>
      </c>
      <c r="AG17" s="8">
        <v>25.730081048102871</v>
      </c>
      <c r="AH17" s="8">
        <v>0.5192942966985965</v>
      </c>
      <c r="AI17" s="8">
        <v>64.190973311728342</v>
      </c>
      <c r="AJ17" s="8">
        <v>46.811706810483088</v>
      </c>
      <c r="AK17" s="8">
        <v>32.832651981773459</v>
      </c>
      <c r="AL17" s="8">
        <v>25.883984522769751</v>
      </c>
      <c r="AM17" s="8">
        <v>0.54579257620308153</v>
      </c>
      <c r="AN17" s="8">
        <v>64.344365997474014</v>
      </c>
      <c r="AO17" s="8">
        <v>47.00648714108187</v>
      </c>
      <c r="AP17" s="8">
        <v>31.041404324127861</v>
      </c>
      <c r="AQ17" s="8">
        <v>26.515857457675679</v>
      </c>
      <c r="AR17" s="8">
        <v>0.52047583680794651</v>
      </c>
      <c r="AS17" s="8">
        <v>63.321309677997853</v>
      </c>
      <c r="AT17" s="8">
        <v>44.413712031079939</v>
      </c>
      <c r="AU17" s="8">
        <v>33.110907762446942</v>
      </c>
      <c r="AV17" s="8">
        <v>25.479014785149321</v>
      </c>
      <c r="AW17" s="8">
        <v>0.49362076061241139</v>
      </c>
      <c r="AX17" s="8">
        <v>68.12754007704882</v>
      </c>
      <c r="AY17" s="8">
        <v>48.895060398882293</v>
      </c>
      <c r="AZ17" s="8">
        <v>33.098847068390519</v>
      </c>
      <c r="BA17" s="8">
        <v>24.954897680536021</v>
      </c>
      <c r="BB17" s="8">
        <v>0.54338479984469801</v>
      </c>
      <c r="BC17" s="8">
        <v>66.082205922960256</v>
      </c>
      <c r="BD17" s="8">
        <v>47.272391579932147</v>
      </c>
      <c r="BE17" s="8">
        <v>36.348010113989297</v>
      </c>
      <c r="BF17" s="8">
        <v>24.904829276065371</v>
      </c>
      <c r="BG17" s="8">
        <v>0.47416879426236352</v>
      </c>
      <c r="BH17" s="8">
        <v>64.775297476920429</v>
      </c>
      <c r="BI17" s="8">
        <v>56.241493369011202</v>
      </c>
    </row>
    <row r="18" spans="1:61" x14ac:dyDescent="0.15">
      <c r="A18" s="7">
        <v>2020</v>
      </c>
      <c r="B18" s="7">
        <v>92</v>
      </c>
      <c r="C18" s="7">
        <v>3.3395377545116429</v>
      </c>
      <c r="D18" s="7">
        <v>1.8983316705219324</v>
      </c>
      <c r="E18" s="8">
        <v>15.917409209436901</v>
      </c>
      <c r="F18" s="8">
        <v>11.146884486015381</v>
      </c>
      <c r="G18" s="8">
        <v>0.44351332446659048</v>
      </c>
      <c r="H18" s="8">
        <v>76.994321337364269</v>
      </c>
      <c r="I18" s="8">
        <v>23.184962199450869</v>
      </c>
      <c r="J18" s="8">
        <v>18.62393693861863</v>
      </c>
      <c r="K18" s="8">
        <v>14.383276740626259</v>
      </c>
      <c r="L18" s="8">
        <v>0.47853289171167268</v>
      </c>
      <c r="M18" s="8">
        <v>68.086612877578503</v>
      </c>
      <c r="N18" s="8">
        <v>29.502631583492551</v>
      </c>
      <c r="O18" s="8">
        <v>292.18099999999998</v>
      </c>
      <c r="P18" s="8">
        <v>287.83499999999998</v>
      </c>
      <c r="Q18" s="8">
        <v>96.314899999999994</v>
      </c>
      <c r="R18" s="8">
        <v>-0.51138799999999995</v>
      </c>
      <c r="S18" s="8">
        <v>-0.45204499999999997</v>
      </c>
      <c r="T18" s="7">
        <f>C18-D18</f>
        <v>1.4412060839897105</v>
      </c>
      <c r="U18" s="8">
        <f>D18/C18</f>
        <v>0.5684414461125129</v>
      </c>
      <c r="V18" s="8">
        <v>15.197162036746949</v>
      </c>
      <c r="W18" s="8">
        <v>10.417276388019159</v>
      </c>
      <c r="X18" s="8">
        <v>0.45472052323233769</v>
      </c>
      <c r="Y18" s="8">
        <v>81.451278423204784</v>
      </c>
      <c r="Z18" s="8">
        <v>21.475515174147226</v>
      </c>
      <c r="AA18" s="7">
        <v>16.91054948768279</v>
      </c>
      <c r="AB18" s="7">
        <v>12.400276564322709</v>
      </c>
      <c r="AC18" s="7">
        <v>0.46662670747200519</v>
      </c>
      <c r="AD18" s="7">
        <v>74.768945650391643</v>
      </c>
      <c r="AE18" s="7">
        <v>25.489073378819889</v>
      </c>
      <c r="AF18" s="8">
        <v>18.49980557460837</v>
      </c>
      <c r="AG18" s="8">
        <v>14.430722512052331</v>
      </c>
      <c r="AH18" s="8">
        <v>0.48911962746631071</v>
      </c>
      <c r="AI18" s="8">
        <v>65.354384256602586</v>
      </c>
      <c r="AJ18" s="8">
        <v>29.324535080326491</v>
      </c>
      <c r="AK18" s="8">
        <v>18.645743933418689</v>
      </c>
      <c r="AL18" s="8">
        <v>14.374941621625339</v>
      </c>
      <c r="AM18" s="8">
        <v>0.47667304836433111</v>
      </c>
      <c r="AN18" s="8">
        <v>68.566601926319194</v>
      </c>
      <c r="AO18" s="8">
        <v>29.533918998638729</v>
      </c>
      <c r="AP18" s="8">
        <v>19.524715478905449</v>
      </c>
      <c r="AQ18" s="8">
        <v>15.27144925331878</v>
      </c>
      <c r="AR18" s="8">
        <v>0.47416288810377982</v>
      </c>
      <c r="AS18" s="8">
        <v>65.691672216624212</v>
      </c>
      <c r="AT18" s="8">
        <v>30.421380487968161</v>
      </c>
      <c r="AU18" s="8">
        <v>19.75095353686828</v>
      </c>
      <c r="AV18" s="8">
        <v>15.72989674226808</v>
      </c>
      <c r="AW18" s="8">
        <v>0.47663237730390512</v>
      </c>
      <c r="AX18" s="8">
        <v>61.637230302175503</v>
      </c>
      <c r="AY18" s="8">
        <v>30.466686990142811</v>
      </c>
      <c r="AZ18" s="8">
        <v>20.80736973182831</v>
      </c>
      <c r="BA18" s="8">
        <v>18.73836301760095</v>
      </c>
      <c r="BB18" s="8">
        <v>0.53658082728974699</v>
      </c>
      <c r="BC18" s="8">
        <v>64.509869006212867</v>
      </c>
      <c r="BD18" s="8">
        <v>36.687635897079808</v>
      </c>
      <c r="BE18" s="8">
        <v>23.82565650835717</v>
      </c>
      <c r="BF18" s="8">
        <v>24.798999446103888</v>
      </c>
      <c r="BG18" s="8">
        <v>0.62069528015608932</v>
      </c>
      <c r="BH18" s="8">
        <v>63.050956557120919</v>
      </c>
      <c r="BI18" s="8">
        <v>40.122830940566459</v>
      </c>
    </row>
    <row r="19" spans="1:61" x14ac:dyDescent="0.15">
      <c r="A19" s="7">
        <v>2022</v>
      </c>
      <c r="B19" s="7">
        <v>63</v>
      </c>
      <c r="C19" s="7">
        <v>6.6691464880554046</v>
      </c>
      <c r="D19" s="7">
        <v>0.98190437239820572</v>
      </c>
      <c r="E19" s="8">
        <v>22.393228481312949</v>
      </c>
      <c r="F19" s="8">
        <v>18.82668545470759</v>
      </c>
      <c r="G19" s="8">
        <v>0.44663538332817521</v>
      </c>
      <c r="H19" s="8">
        <v>72.094637109687838</v>
      </c>
      <c r="I19" s="8">
        <v>31.16440386902844</v>
      </c>
      <c r="J19" s="8">
        <v>29.02698839487077</v>
      </c>
      <c r="K19" s="8">
        <v>30.841548050503881</v>
      </c>
      <c r="L19" s="8">
        <v>0.64272559347397862</v>
      </c>
      <c r="M19" s="8">
        <v>60.277596838436672</v>
      </c>
      <c r="N19" s="8">
        <v>47.452827404836917</v>
      </c>
      <c r="O19" s="8">
        <v>290.93799999999999</v>
      </c>
      <c r="P19" s="8">
        <v>285.52699999999999</v>
      </c>
      <c r="Q19" s="8">
        <v>101.29900000000001</v>
      </c>
      <c r="R19" s="8">
        <v>-0.84143100000000004</v>
      </c>
      <c r="S19" s="8">
        <v>-0.37471900000000002</v>
      </c>
      <c r="T19" s="7">
        <f>C19-D19</f>
        <v>5.6872421156571988</v>
      </c>
      <c r="U19" s="8">
        <f>D19/C19</f>
        <v>0.1472308899132474</v>
      </c>
      <c r="V19" s="8">
        <v>26.750610394534753</v>
      </c>
      <c r="W19" s="8">
        <v>26.30922526596332</v>
      </c>
      <c r="X19" s="8">
        <v>0.57743553859755781</v>
      </c>
      <c r="Y19" s="8">
        <v>65.541833815493675</v>
      </c>
      <c r="Z19" s="8">
        <v>41.06508945538436</v>
      </c>
      <c r="AA19" s="7">
        <v>27.888799394702762</v>
      </c>
      <c r="AB19" s="7">
        <v>28.575386658233601</v>
      </c>
      <c r="AC19" s="7">
        <v>0.61008056603576821</v>
      </c>
      <c r="AD19" s="7">
        <v>62.909715326965177</v>
      </c>
      <c r="AE19" s="7">
        <v>44.258958430110638</v>
      </c>
      <c r="AF19" s="8">
        <v>28.259947068988591</v>
      </c>
      <c r="AG19" s="8">
        <v>31.51027841649438</v>
      </c>
      <c r="AH19" s="8">
        <v>0.63424805096853143</v>
      </c>
      <c r="AI19" s="8">
        <v>59.079113097486797</v>
      </c>
      <c r="AJ19" s="8">
        <v>46.979783910148228</v>
      </c>
      <c r="AK19" s="8">
        <v>29.10696282928366</v>
      </c>
      <c r="AL19" s="8">
        <v>30.771823863566102</v>
      </c>
      <c r="AM19" s="8">
        <v>0.64360949196054906</v>
      </c>
      <c r="AN19" s="8">
        <v>60.402554980979083</v>
      </c>
      <c r="AO19" s="8">
        <v>47.502148588277592</v>
      </c>
      <c r="AP19" s="8">
        <v>28.313562634446029</v>
      </c>
      <c r="AQ19" s="8">
        <v>30.393953848196659</v>
      </c>
      <c r="AR19" s="8">
        <v>0.61426289774242104</v>
      </c>
      <c r="AS19" s="8">
        <v>61.182505783586549</v>
      </c>
      <c r="AT19" s="8">
        <v>45.545567389905067</v>
      </c>
      <c r="AU19" s="8">
        <v>30.862469726127809</v>
      </c>
      <c r="AV19" s="8">
        <v>27.151775563794629</v>
      </c>
      <c r="AW19" s="8">
        <v>0.56263637343093809</v>
      </c>
      <c r="AX19" s="8">
        <v>66.711892441010704</v>
      </c>
      <c r="AY19" s="8">
        <v>43.779075112208233</v>
      </c>
      <c r="AZ19" s="8">
        <v>30.31792872486513</v>
      </c>
      <c r="BA19" s="8">
        <v>29.74337500346136</v>
      </c>
      <c r="BB19" s="8">
        <v>0.6357166691345838</v>
      </c>
      <c r="BC19" s="8">
        <v>61.810120700560041</v>
      </c>
      <c r="BD19" s="8">
        <v>49.132470060294743</v>
      </c>
      <c r="BE19" s="8">
        <v>32.997229845922341</v>
      </c>
      <c r="BF19" s="8">
        <v>28.812033071897741</v>
      </c>
      <c r="BG19" s="8">
        <v>0.51855759887384389</v>
      </c>
      <c r="BH19" s="8">
        <v>60.979673837920068</v>
      </c>
      <c r="BI19" s="8">
        <v>49.68278397108692</v>
      </c>
    </row>
    <row r="20" spans="1:61" x14ac:dyDescent="0.15">
      <c r="A20" s="7">
        <v>2021</v>
      </c>
      <c r="B20" s="7">
        <v>31</v>
      </c>
      <c r="C20" s="7">
        <v>37.846188308619027</v>
      </c>
      <c r="D20" s="7">
        <v>27.402671181059649</v>
      </c>
      <c r="E20" s="8">
        <v>15.79181512657901</v>
      </c>
      <c r="F20" s="8">
        <v>9.6404402877690636</v>
      </c>
      <c r="G20" s="8">
        <v>0.44695457111075182</v>
      </c>
      <c r="H20" s="8">
        <v>74.215852195775327</v>
      </c>
      <c r="I20" s="8">
        <v>23.391542835588211</v>
      </c>
      <c r="J20" s="8">
        <v>20.439582008174149</v>
      </c>
      <c r="K20" s="8">
        <v>17.077730256415091</v>
      </c>
      <c r="L20" s="8">
        <v>0.59067004676918433</v>
      </c>
      <c r="M20" s="8">
        <v>65.479931493764155</v>
      </c>
      <c r="N20" s="8">
        <v>31.898317046935599</v>
      </c>
      <c r="O20" s="8">
        <v>294.64</v>
      </c>
      <c r="P20" s="8">
        <v>289.48200000000003</v>
      </c>
      <c r="Q20" s="8">
        <v>97.794200000000004</v>
      </c>
      <c r="R20" s="8">
        <v>-0.57625800000000005</v>
      </c>
      <c r="S20" s="8">
        <v>-0.410022</v>
      </c>
      <c r="T20" s="7">
        <f>C20-D20</f>
        <v>10.443517127559378</v>
      </c>
      <c r="U20" s="8">
        <f>D20/C20</f>
        <v>0.72405366050612319</v>
      </c>
      <c r="V20" s="8">
        <v>17.533007577283534</v>
      </c>
      <c r="W20" s="8">
        <v>13.191039779716789</v>
      </c>
      <c r="X20" s="8">
        <v>0.54157825509916324</v>
      </c>
      <c r="Y20" s="8">
        <v>72.271810990604678</v>
      </c>
      <c r="Z20" s="8">
        <v>28.336021251548122</v>
      </c>
      <c r="AA20" s="7">
        <v>18.986294792728842</v>
      </c>
      <c r="AB20" s="7">
        <v>15.13438501806594</v>
      </c>
      <c r="AC20" s="7">
        <v>0.56612415093417379</v>
      </c>
      <c r="AD20" s="7">
        <v>68.875871242184417</v>
      </c>
      <c r="AE20" s="7">
        <v>30.11716914924186</v>
      </c>
      <c r="AF20" s="8">
        <v>20.04750903150747</v>
      </c>
      <c r="AG20" s="8">
        <v>16.01947607788572</v>
      </c>
      <c r="AH20" s="8">
        <v>0.57738326269617124</v>
      </c>
      <c r="AI20" s="8">
        <v>63.505856306492113</v>
      </c>
      <c r="AJ20" s="8">
        <v>31.549155573524359</v>
      </c>
      <c r="AK20" s="8">
        <v>20.46390757233036</v>
      </c>
      <c r="AL20" s="8">
        <v>17.143388007510971</v>
      </c>
      <c r="AM20" s="8">
        <v>0.59149440482911952</v>
      </c>
      <c r="AN20" s="8">
        <v>65.602409949243139</v>
      </c>
      <c r="AO20" s="8">
        <v>31.919980232943871</v>
      </c>
      <c r="AP20" s="8">
        <v>21.316626670317341</v>
      </c>
      <c r="AQ20" s="8">
        <v>16.888842268011381</v>
      </c>
      <c r="AR20" s="8">
        <v>0.57211546025272142</v>
      </c>
      <c r="AS20" s="8">
        <v>65.53568455188271</v>
      </c>
      <c r="AT20" s="8">
        <v>32.006900116171067</v>
      </c>
      <c r="AU20" s="8">
        <v>19.299680188200409</v>
      </c>
      <c r="AV20" s="8">
        <v>18.00546811844071</v>
      </c>
      <c r="AW20" s="8">
        <v>0.5932803175382817</v>
      </c>
      <c r="AX20" s="8">
        <v>68.334821823241896</v>
      </c>
      <c r="AY20" s="8">
        <v>33.378020220357932</v>
      </c>
      <c r="AZ20" s="8">
        <v>19.536488658090079</v>
      </c>
      <c r="BA20" s="8">
        <v>17.458336870567919</v>
      </c>
      <c r="BB20" s="8">
        <v>0.58312533091186969</v>
      </c>
      <c r="BC20" s="8">
        <v>67.87543647886568</v>
      </c>
      <c r="BD20" s="8">
        <v>32.013762336068901</v>
      </c>
      <c r="BE20" s="8">
        <v>18.954039845028721</v>
      </c>
      <c r="BF20" s="8">
        <v>19.05350604141589</v>
      </c>
      <c r="BG20" s="8">
        <v>0.63059193615328379</v>
      </c>
      <c r="BH20" s="8">
        <v>66.825430482118762</v>
      </c>
      <c r="BI20" s="8">
        <v>34.297761431009903</v>
      </c>
    </row>
    <row r="21" spans="1:61" x14ac:dyDescent="0.15">
      <c r="A21" s="7">
        <v>2022</v>
      </c>
      <c r="B21" s="7">
        <v>133</v>
      </c>
      <c r="C21" s="7">
        <v>12.021618497205386</v>
      </c>
      <c r="D21" s="7">
        <v>9.2770151371565994</v>
      </c>
      <c r="E21" s="8">
        <v>24.322863550607551</v>
      </c>
      <c r="F21" s="8">
        <v>21.920110334833652</v>
      </c>
      <c r="G21" s="8">
        <v>0.44764365047863702</v>
      </c>
      <c r="H21" s="8">
        <v>74.795775648776271</v>
      </c>
      <c r="I21" s="8">
        <v>34.614912493171417</v>
      </c>
      <c r="J21" s="8">
        <v>29.80872592458087</v>
      </c>
      <c r="K21" s="8">
        <v>29.599471079950099</v>
      </c>
      <c r="L21" s="8">
        <v>0.60586365127094155</v>
      </c>
      <c r="M21" s="8">
        <v>61.981429277176048</v>
      </c>
      <c r="N21" s="8">
        <v>46.768388795970459</v>
      </c>
      <c r="O21" s="8">
        <v>290.46899999999999</v>
      </c>
      <c r="P21" s="8">
        <v>285.012</v>
      </c>
      <c r="Q21" s="8">
        <v>101.333</v>
      </c>
      <c r="R21" s="8">
        <v>-0.93711500000000003</v>
      </c>
      <c r="S21" s="8">
        <v>-0.309332</v>
      </c>
      <c r="T21" s="7">
        <f>C21-D21</f>
        <v>2.7446033600487869</v>
      </c>
      <c r="U21" s="8">
        <f>D21/C21</f>
        <v>0.77169435540756737</v>
      </c>
      <c r="V21" s="8">
        <v>27.266038835659849</v>
      </c>
      <c r="W21" s="8">
        <v>27.785053813347062</v>
      </c>
      <c r="X21" s="8">
        <v>0.58211126561209114</v>
      </c>
      <c r="Y21" s="8">
        <v>66.357167403243594</v>
      </c>
      <c r="Z21" s="8">
        <v>42.46930086423378</v>
      </c>
      <c r="AA21" s="7">
        <v>28.537382380120359</v>
      </c>
      <c r="AB21" s="7">
        <v>28.692262446648581</v>
      </c>
      <c r="AC21" s="7">
        <v>0.59398745844151635</v>
      </c>
      <c r="AD21" s="7">
        <v>64.169298340209821</v>
      </c>
      <c r="AE21" s="7">
        <v>44.61884483010212</v>
      </c>
      <c r="AF21" s="8">
        <v>29.58866827282856</v>
      </c>
      <c r="AG21" s="8">
        <v>29.950220239040931</v>
      </c>
      <c r="AH21" s="8">
        <v>0.59289539834636373</v>
      </c>
      <c r="AI21" s="8">
        <v>60.825034634820668</v>
      </c>
      <c r="AJ21" s="8">
        <v>46.787926364118853</v>
      </c>
      <c r="AK21" s="8">
        <v>29.827741648944311</v>
      </c>
      <c r="AL21" s="8">
        <v>29.569161980144351</v>
      </c>
      <c r="AM21" s="8">
        <v>0.60698426998665289</v>
      </c>
      <c r="AN21" s="8">
        <v>62.081356189961348</v>
      </c>
      <c r="AO21" s="8">
        <v>46.766700506525943</v>
      </c>
      <c r="AP21" s="8">
        <v>28.556256600440499</v>
      </c>
      <c r="AQ21" s="8">
        <v>29.832241179370651</v>
      </c>
      <c r="AR21" s="8">
        <v>0.58726171571441554</v>
      </c>
      <c r="AS21" s="8">
        <v>62.547421740566747</v>
      </c>
      <c r="AT21" s="8">
        <v>44.924858242365111</v>
      </c>
      <c r="AU21" s="8">
        <v>33.014748402698501</v>
      </c>
      <c r="AV21" s="8">
        <v>25.984811343541939</v>
      </c>
      <c r="AW21" s="8">
        <v>0.51740489546322777</v>
      </c>
      <c r="AX21" s="8">
        <v>67.608986695307678</v>
      </c>
      <c r="AY21" s="8">
        <v>50.536154753868018</v>
      </c>
      <c r="AZ21" s="8">
        <v>30.589579055634641</v>
      </c>
      <c r="BA21" s="8">
        <v>28.88283182679811</v>
      </c>
      <c r="BB21" s="8">
        <v>0.61953716382345903</v>
      </c>
      <c r="BC21" s="8">
        <v>63.452384998193203</v>
      </c>
      <c r="BD21" s="8">
        <v>48.139661048938862</v>
      </c>
      <c r="BE21" s="8">
        <v>36.580171214180673</v>
      </c>
      <c r="BF21" s="8">
        <v>29.705164102473312</v>
      </c>
      <c r="BG21" s="8">
        <v>0.44580317524140223</v>
      </c>
      <c r="BH21" s="8">
        <v>62.310446271660638</v>
      </c>
      <c r="BI21" s="8">
        <v>67.171347285997811</v>
      </c>
    </row>
    <row r="22" spans="1:61" x14ac:dyDescent="0.15">
      <c r="A22" s="7">
        <v>2022</v>
      </c>
      <c r="B22" s="7">
        <v>90</v>
      </c>
      <c r="C22" s="7">
        <v>11.441644678665789</v>
      </c>
      <c r="D22" s="7">
        <v>5.6254584937436514</v>
      </c>
      <c r="E22" s="8">
        <v>25.494203417205629</v>
      </c>
      <c r="F22" s="8">
        <v>22.4578351710202</v>
      </c>
      <c r="G22" s="8">
        <v>0.44778734611559812</v>
      </c>
      <c r="H22" s="8">
        <v>76.309681938817931</v>
      </c>
      <c r="I22" s="8">
        <v>36.247152438106568</v>
      </c>
      <c r="J22" s="8">
        <v>31.877071066095329</v>
      </c>
      <c r="K22" s="8">
        <v>24.203347913149159</v>
      </c>
      <c r="L22" s="8">
        <v>0.51994441729342677</v>
      </c>
      <c r="M22" s="8">
        <v>69.570870904112198</v>
      </c>
      <c r="N22" s="8">
        <v>45.473682059267489</v>
      </c>
      <c r="O22" s="8">
        <v>289.92099999999999</v>
      </c>
      <c r="P22" s="8">
        <v>284.12599999999998</v>
      </c>
      <c r="Q22" s="8">
        <v>101.24</v>
      </c>
      <c r="R22" s="8">
        <v>-0.93908199999999997</v>
      </c>
      <c r="S22" s="8">
        <v>-0.130328</v>
      </c>
      <c r="T22" s="7">
        <f>C22-D22</f>
        <v>5.8161861849221372</v>
      </c>
      <c r="U22" s="8">
        <f>D22/C22</f>
        <v>0.49166519776942041</v>
      </c>
      <c r="V22" s="8">
        <v>27.340145718085072</v>
      </c>
      <c r="W22" s="8">
        <v>24.07005465086182</v>
      </c>
      <c r="X22" s="8">
        <v>0.51698987389460671</v>
      </c>
      <c r="Y22" s="8">
        <v>71.093077800937223</v>
      </c>
      <c r="Z22" s="8">
        <v>38.660434983515557</v>
      </c>
      <c r="AA22" s="7">
        <v>29.608608392090201</v>
      </c>
      <c r="AB22" s="7">
        <v>24.13670128200549</v>
      </c>
      <c r="AC22" s="7">
        <v>0.51846714559401674</v>
      </c>
      <c r="AD22" s="7">
        <v>70.331974352524711</v>
      </c>
      <c r="AE22" s="7">
        <v>42.067058521391523</v>
      </c>
      <c r="AF22" s="8">
        <v>32.239594184203973</v>
      </c>
      <c r="AG22" s="8">
        <v>25.04802581672951</v>
      </c>
      <c r="AH22" s="8">
        <v>0.51252323859152282</v>
      </c>
      <c r="AI22" s="8">
        <v>67.974323877285698</v>
      </c>
      <c r="AJ22" s="8">
        <v>45.508085198886832</v>
      </c>
      <c r="AK22" s="8">
        <v>31.833749148029469</v>
      </c>
      <c r="AL22" s="8">
        <v>24.102407958969518</v>
      </c>
      <c r="AM22" s="8">
        <v>0.52083125644827388</v>
      </c>
      <c r="AN22" s="8">
        <v>69.761660059422653</v>
      </c>
      <c r="AO22" s="8">
        <v>45.469570845605944</v>
      </c>
      <c r="AP22" s="8">
        <v>29.329552396756199</v>
      </c>
      <c r="AQ22" s="8">
        <v>24.017656468630719</v>
      </c>
      <c r="AR22" s="8">
        <v>0.50678768649146977</v>
      </c>
      <c r="AS22" s="8">
        <v>70.008303768013803</v>
      </c>
      <c r="AT22" s="8">
        <v>41.463862495434583</v>
      </c>
      <c r="AU22" s="8">
        <v>25.714625329378261</v>
      </c>
      <c r="AV22" s="8">
        <v>19.41751122803856</v>
      </c>
      <c r="AW22" s="8">
        <v>0.47197612961229463</v>
      </c>
      <c r="AX22" s="8">
        <v>72.605440144306769</v>
      </c>
      <c r="AY22" s="8">
        <v>37.773720953130898</v>
      </c>
      <c r="AZ22" s="8">
        <v>31.495213761471941</v>
      </c>
      <c r="BA22" s="8">
        <v>23.487816451527561</v>
      </c>
      <c r="BB22" s="8">
        <v>0.51577573113235042</v>
      </c>
      <c r="BC22" s="8">
        <v>70.510536311129385</v>
      </c>
      <c r="BD22" s="8">
        <v>45.265049298248726</v>
      </c>
      <c r="BE22" s="8">
        <v>31.419997813415112</v>
      </c>
      <c r="BF22" s="8">
        <v>27.283663128208278</v>
      </c>
      <c r="BG22" s="8">
        <v>0.57116810784427974</v>
      </c>
      <c r="BH22" s="8">
        <v>69.389079792469346</v>
      </c>
      <c r="BI22" s="8">
        <v>51.453415422374299</v>
      </c>
    </row>
    <row r="23" spans="1:61" x14ac:dyDescent="0.15">
      <c r="A23" s="7">
        <v>2022</v>
      </c>
      <c r="B23" s="7">
        <v>52</v>
      </c>
      <c r="C23" s="7">
        <v>18.121419373952175</v>
      </c>
      <c r="D23" s="7">
        <v>8.0907013052922885</v>
      </c>
      <c r="E23" s="8">
        <v>21.65086782413718</v>
      </c>
      <c r="F23" s="8">
        <v>12.13707891352767</v>
      </c>
      <c r="G23" s="8">
        <v>0.44822246097730362</v>
      </c>
      <c r="H23" s="8">
        <v>70.900690983595283</v>
      </c>
      <c r="I23" s="8">
        <v>36.390954567603018</v>
      </c>
      <c r="J23" s="8">
        <v>28.156943232357619</v>
      </c>
      <c r="K23" s="8">
        <v>17.46083665865838</v>
      </c>
      <c r="L23" s="8">
        <v>0.47295593824753729</v>
      </c>
      <c r="M23" s="8">
        <v>62.072585965262697</v>
      </c>
      <c r="N23" s="8">
        <v>40.086738465618033</v>
      </c>
      <c r="O23" s="8">
        <v>288.12900000000002</v>
      </c>
      <c r="P23" s="8">
        <v>283.41500000000002</v>
      </c>
      <c r="Q23" s="8">
        <v>92.771199999999993</v>
      </c>
      <c r="R23" s="8">
        <v>-0.287684</v>
      </c>
      <c r="S23" s="8">
        <v>-1.02068E-2</v>
      </c>
      <c r="T23" s="7">
        <f>C23-D23</f>
        <v>10.030718068659887</v>
      </c>
      <c r="U23" s="8">
        <f>D23/C23</f>
        <v>0.44647172157617554</v>
      </c>
      <c r="V23" s="8">
        <v>18.773866738706921</v>
      </c>
      <c r="W23" s="8">
        <v>9.5603587967989192</v>
      </c>
      <c r="X23" s="8">
        <v>0.44656038097880674</v>
      </c>
      <c r="Y23" s="8">
        <v>71.522960781080599</v>
      </c>
      <c r="Z23" s="8">
        <v>33.09715735810682</v>
      </c>
      <c r="AA23" s="7">
        <v>23.46540498553227</v>
      </c>
      <c r="AB23" s="7">
        <v>13.51059772772865</v>
      </c>
      <c r="AC23" s="7">
        <v>0.45975815961317201</v>
      </c>
      <c r="AD23" s="7">
        <v>66.797773373171651</v>
      </c>
      <c r="AE23" s="7">
        <v>36.591947911862427</v>
      </c>
      <c r="AF23" s="8">
        <v>28.088614223645479</v>
      </c>
      <c r="AG23" s="8">
        <v>17.022384062293749</v>
      </c>
      <c r="AH23" s="8">
        <v>0.46150038642865437</v>
      </c>
      <c r="AI23" s="8">
        <v>62.970265807664859</v>
      </c>
      <c r="AJ23" s="8">
        <v>39.785180814469783</v>
      </c>
      <c r="AK23" s="8">
        <v>28.165265815973459</v>
      </c>
      <c r="AL23" s="8">
        <v>17.514240893018041</v>
      </c>
      <c r="AM23" s="8">
        <v>0.47435124296035519</v>
      </c>
      <c r="AN23" s="8">
        <v>61.963247110661179</v>
      </c>
      <c r="AO23" s="8">
        <v>40.123468674558282</v>
      </c>
      <c r="AP23" s="8">
        <v>26.965892149312872</v>
      </c>
      <c r="AQ23" s="8">
        <v>16.85349348707301</v>
      </c>
      <c r="AR23" s="8">
        <v>0.45864134710976528</v>
      </c>
      <c r="AS23" s="8">
        <v>55.767685585270897</v>
      </c>
      <c r="AT23" s="8">
        <v>35.917918770376417</v>
      </c>
      <c r="AU23" s="8">
        <v>21.89602497887843</v>
      </c>
      <c r="AV23" s="8">
        <v>13.030710144117259</v>
      </c>
      <c r="AW23" s="8">
        <v>0.44245941433248542</v>
      </c>
      <c r="AX23" s="8">
        <v>61.485023010746751</v>
      </c>
      <c r="AY23" s="8">
        <v>33.398222037457451</v>
      </c>
      <c r="AZ23" s="8">
        <v>31.768742423420491</v>
      </c>
      <c r="BA23" s="8">
        <v>20.620891385174389</v>
      </c>
      <c r="BB23" s="8">
        <v>0.5408863583626361</v>
      </c>
      <c r="BC23" s="8">
        <v>63.448633679529777</v>
      </c>
      <c r="BD23" s="8">
        <v>43.691589076111001</v>
      </c>
      <c r="BE23" s="8">
        <v>28.823727574246551</v>
      </c>
      <c r="BF23" s="8">
        <v>25.293137351993199</v>
      </c>
      <c r="BG23" s="8">
        <v>0.54714788712171636</v>
      </c>
      <c r="BH23" s="8">
        <v>59.825594506136582</v>
      </c>
      <c r="BI23" s="8">
        <v>54.886253697562942</v>
      </c>
    </row>
    <row r="24" spans="1:61" x14ac:dyDescent="0.15">
      <c r="A24" s="7">
        <v>2022</v>
      </c>
      <c r="B24" s="7">
        <v>59</v>
      </c>
      <c r="C24" s="7">
        <v>3.4565620999284801</v>
      </c>
      <c r="D24" s="7">
        <v>6.2302210774413856E-2</v>
      </c>
      <c r="E24" s="8">
        <v>25.687765450789279</v>
      </c>
      <c r="F24" s="8">
        <v>23.513449969597779</v>
      </c>
      <c r="G24" s="8">
        <v>0.44879025474989848</v>
      </c>
      <c r="H24" s="8">
        <v>77.491284703482492</v>
      </c>
      <c r="I24" s="8">
        <v>36.321978765746458</v>
      </c>
      <c r="J24" s="8">
        <v>31.125216816234531</v>
      </c>
      <c r="K24" s="8">
        <v>23.044566779260681</v>
      </c>
      <c r="L24" s="8">
        <v>0.51996784789068229</v>
      </c>
      <c r="M24" s="8">
        <v>74.580863926864339</v>
      </c>
      <c r="N24" s="8">
        <v>45.946114684700852</v>
      </c>
      <c r="O24" s="8">
        <v>289.476</v>
      </c>
      <c r="P24" s="8">
        <v>283.54300000000001</v>
      </c>
      <c r="Q24" s="8">
        <v>101.568</v>
      </c>
      <c r="R24" s="8">
        <v>-0.81815000000000004</v>
      </c>
      <c r="S24" s="8">
        <v>-0.10589800000000001</v>
      </c>
      <c r="T24" s="7">
        <f>C24-D24</f>
        <v>3.3942598891540663</v>
      </c>
      <c r="U24" s="8">
        <f>D24/C24</f>
        <v>1.8024328501346165E-2</v>
      </c>
      <c r="V24" s="8">
        <v>28.121622894439387</v>
      </c>
      <c r="W24" s="8">
        <v>28.990354520701938</v>
      </c>
      <c r="X24" s="8">
        <v>0.6466506866285141</v>
      </c>
      <c r="Y24" s="8">
        <v>69.936182104142546</v>
      </c>
      <c r="Z24" s="8">
        <v>43.457808090116409</v>
      </c>
      <c r="AA24" s="7">
        <v>29.623419855336959</v>
      </c>
      <c r="AB24" s="7">
        <v>26.017460649981309</v>
      </c>
      <c r="AC24" s="7">
        <v>0.5833092672595982</v>
      </c>
      <c r="AD24" s="7">
        <v>72.258523015503442</v>
      </c>
      <c r="AE24" s="7">
        <v>44.70196138740863</v>
      </c>
      <c r="AF24" s="8">
        <v>31.604601453452808</v>
      </c>
      <c r="AG24" s="8">
        <v>23.70938843112404</v>
      </c>
      <c r="AH24" s="8">
        <v>0.52389139555613073</v>
      </c>
      <c r="AI24" s="8">
        <v>72.492274222941703</v>
      </c>
      <c r="AJ24" s="8">
        <v>45.051737370319501</v>
      </c>
      <c r="AK24" s="8">
        <v>31.087618105538759</v>
      </c>
      <c r="AL24" s="8">
        <v>22.992424021625109</v>
      </c>
      <c r="AM24" s="8">
        <v>0.51966011935263334</v>
      </c>
      <c r="AN24" s="8">
        <v>74.744674516406008</v>
      </c>
      <c r="AO24" s="8">
        <v>46.016261767618253</v>
      </c>
      <c r="AP24" s="8">
        <v>28.344014654543521</v>
      </c>
      <c r="AQ24" s="8">
        <v>25.77553319574395</v>
      </c>
      <c r="AR24" s="8">
        <v>0.5203541830577143</v>
      </c>
      <c r="AS24" s="8">
        <v>72.984061108929822</v>
      </c>
      <c r="AT24" s="8">
        <v>42.728091831466237</v>
      </c>
      <c r="AU24" s="8">
        <v>29.26527283543296</v>
      </c>
      <c r="AV24" s="8">
        <v>25.345087855342911</v>
      </c>
      <c r="AW24" s="8">
        <v>0.50691629593631427</v>
      </c>
      <c r="AX24" s="8">
        <v>66.313501331426863</v>
      </c>
      <c r="AY24" s="8">
        <v>45.796585287294043</v>
      </c>
      <c r="AZ24" s="8">
        <v>31.16090399691754</v>
      </c>
      <c r="BA24" s="8">
        <v>22.829259274969669</v>
      </c>
      <c r="BB24" s="8">
        <v>0.52022406918511155</v>
      </c>
      <c r="BC24" s="8">
        <v>74.554820386782353</v>
      </c>
      <c r="BD24" s="8">
        <v>47.28952361857791</v>
      </c>
      <c r="BE24" s="8">
        <v>34.938396951530898</v>
      </c>
      <c r="BF24" s="8">
        <v>31.22981105111273</v>
      </c>
      <c r="BG24" s="8">
        <v>0.75793482632300035</v>
      </c>
      <c r="BH24" s="8">
        <v>65.480316750429481</v>
      </c>
      <c r="BI24" s="8">
        <v>54.517241469118737</v>
      </c>
    </row>
    <row r="25" spans="1:61" x14ac:dyDescent="0.15">
      <c r="A25" s="7">
        <v>2022</v>
      </c>
      <c r="B25" s="7">
        <v>65</v>
      </c>
      <c r="C25" s="7">
        <v>90.739641349637935</v>
      </c>
      <c r="D25" s="7">
        <v>28.807537214371362</v>
      </c>
      <c r="E25" s="8">
        <v>21.95137020234387</v>
      </c>
      <c r="F25" s="8">
        <v>12.42266794186693</v>
      </c>
      <c r="G25" s="8">
        <v>0.45579572754806758</v>
      </c>
      <c r="H25" s="8">
        <v>55.059984655490297</v>
      </c>
      <c r="I25" s="8">
        <v>33.269007257531641</v>
      </c>
      <c r="J25" s="8">
        <v>24.41556867707801</v>
      </c>
      <c r="K25" s="8">
        <v>15.162191095859781</v>
      </c>
      <c r="L25" s="8">
        <v>0.49734770825180991</v>
      </c>
      <c r="M25" s="8">
        <v>52.198668268495538</v>
      </c>
      <c r="N25" s="8">
        <v>35.328022703452618</v>
      </c>
      <c r="O25" s="8">
        <v>289.62799999999999</v>
      </c>
      <c r="P25" s="8">
        <v>285.00299999999999</v>
      </c>
      <c r="Q25" s="8">
        <v>91.454399999999993</v>
      </c>
      <c r="R25" s="8">
        <v>-0.50750600000000001</v>
      </c>
      <c r="S25" s="8">
        <v>0.34243400000000002</v>
      </c>
      <c r="T25" s="7">
        <f>C25-D25</f>
        <v>61.93210413526657</v>
      </c>
      <c r="U25" s="8">
        <f>D25/C25</f>
        <v>0.3174746647209038</v>
      </c>
      <c r="V25" s="8">
        <v>21.339195132765692</v>
      </c>
      <c r="W25" s="8">
        <v>11.1609559138612</v>
      </c>
      <c r="X25" s="8">
        <v>0.42783600665592586</v>
      </c>
      <c r="Y25" s="8">
        <v>54.996554152811399</v>
      </c>
      <c r="Z25" s="8">
        <v>32.781658699197337</v>
      </c>
      <c r="AA25" s="7">
        <v>22.877381904921851</v>
      </c>
      <c r="AB25" s="7">
        <v>13.16157350486049</v>
      </c>
      <c r="AC25" s="7">
        <v>0.46259185745386788</v>
      </c>
      <c r="AD25" s="7">
        <v>53.597611210653469</v>
      </c>
      <c r="AE25" s="7">
        <v>34.054840701324977</v>
      </c>
      <c r="AF25" s="8">
        <v>24.153998358498111</v>
      </c>
      <c r="AG25" s="8">
        <v>15.70332819066835</v>
      </c>
      <c r="AH25" s="8">
        <v>0.50745017286399641</v>
      </c>
      <c r="AI25" s="8">
        <v>51.829824108772222</v>
      </c>
      <c r="AJ25" s="8">
        <v>35.696324047581882</v>
      </c>
      <c r="AK25" s="8">
        <v>24.47083073437792</v>
      </c>
      <c r="AL25" s="8">
        <v>15.047864863041109</v>
      </c>
      <c r="AM25" s="8">
        <v>0.49521335684183321</v>
      </c>
      <c r="AN25" s="8">
        <v>52.276594109623183</v>
      </c>
      <c r="AO25" s="8">
        <v>35.250211543174927</v>
      </c>
      <c r="AP25" s="8">
        <v>24.392476886742191</v>
      </c>
      <c r="AQ25" s="8">
        <v>14.37724328471047</v>
      </c>
      <c r="AR25" s="8">
        <v>0.47019178085460628</v>
      </c>
      <c r="AS25" s="8">
        <v>50.956883770136223</v>
      </c>
      <c r="AT25" s="8">
        <v>35.439866543035528</v>
      </c>
      <c r="AU25" s="8">
        <v>23.76872971726339</v>
      </c>
      <c r="AV25" s="8">
        <v>16.168425437492619</v>
      </c>
      <c r="AW25" s="8">
        <v>0.52446009235436586</v>
      </c>
      <c r="AX25" s="8">
        <v>57.069849751924217</v>
      </c>
      <c r="AY25" s="8">
        <v>35.424261941242172</v>
      </c>
      <c r="AZ25" s="8">
        <v>24.801480264864999</v>
      </c>
      <c r="BA25" s="8">
        <v>15.642048407596491</v>
      </c>
      <c r="BB25" s="8">
        <v>0.55640956371107042</v>
      </c>
      <c r="BC25" s="8">
        <v>55.524596338254689</v>
      </c>
      <c r="BD25" s="8">
        <v>33.691089494950361</v>
      </c>
      <c r="BE25" s="8">
        <v>24.85716871559492</v>
      </c>
      <c r="BF25" s="8">
        <v>25.319931168276788</v>
      </c>
      <c r="BG25" s="8">
        <v>0.49448587039355302</v>
      </c>
      <c r="BH25" s="8">
        <v>62.195919165864439</v>
      </c>
      <c r="BI25" s="8">
        <v>48.121926263662459</v>
      </c>
    </row>
    <row r="26" spans="1:61" x14ac:dyDescent="0.15">
      <c r="A26" s="7">
        <v>2022</v>
      </c>
      <c r="B26" s="7">
        <v>98</v>
      </c>
      <c r="C26" s="7">
        <v>125.48624902322443</v>
      </c>
      <c r="D26" s="7">
        <v>115.19413219487366</v>
      </c>
      <c r="E26" s="8">
        <v>23.304219049085489</v>
      </c>
      <c r="F26" s="8">
        <v>17.39611830667927</v>
      </c>
      <c r="G26" s="8">
        <v>0.45605472726221208</v>
      </c>
      <c r="H26" s="8">
        <v>76.271195839272579</v>
      </c>
      <c r="I26" s="8">
        <v>53.610251899022792</v>
      </c>
      <c r="J26" s="8">
        <v>30.817238289193341</v>
      </c>
      <c r="K26" s="8">
        <v>23.382067867294449</v>
      </c>
      <c r="L26" s="8">
        <v>0.47622659525049482</v>
      </c>
      <c r="M26" s="8">
        <v>65.742223588192985</v>
      </c>
      <c r="N26" s="8">
        <v>80.438572607070668</v>
      </c>
      <c r="O26" s="8">
        <v>279.911</v>
      </c>
      <c r="P26" s="8">
        <v>267.89</v>
      </c>
      <c r="Q26" s="8">
        <v>86.146199999999993</v>
      </c>
      <c r="R26" s="8">
        <v>1.16754</v>
      </c>
      <c r="S26" s="8">
        <v>0.155914</v>
      </c>
      <c r="T26" s="7">
        <f>C26-D26</f>
        <v>10.292116828350771</v>
      </c>
      <c r="U26" s="8">
        <f>D26/C26</f>
        <v>0.91798211430763266</v>
      </c>
      <c r="V26" s="8">
        <v>27.005319613066781</v>
      </c>
      <c r="W26" s="8">
        <v>20.368818440095371</v>
      </c>
      <c r="X26" s="8">
        <v>0.3967646040295254</v>
      </c>
      <c r="Y26" s="8">
        <v>68.066828550338641</v>
      </c>
      <c r="Z26" s="8">
        <v>79.13238796886084</v>
      </c>
      <c r="AA26" s="7">
        <v>28.911278951130061</v>
      </c>
      <c r="AB26" s="7">
        <v>21.87544315369491</v>
      </c>
      <c r="AC26" s="7">
        <v>0.43649559964001011</v>
      </c>
      <c r="AD26" s="7">
        <v>66.904526069265813</v>
      </c>
      <c r="AE26" s="7">
        <v>79.785480287965754</v>
      </c>
      <c r="AF26" s="8">
        <v>32.09208682307564</v>
      </c>
      <c r="AG26" s="8">
        <v>24.418658302069151</v>
      </c>
      <c r="AH26" s="8">
        <v>0.51957062218472805</v>
      </c>
      <c r="AI26" s="8">
        <v>65.107338000380381</v>
      </c>
      <c r="AJ26" s="8">
        <v>79.149881684070721</v>
      </c>
      <c r="AK26" s="8">
        <v>30.631730016137041</v>
      </c>
      <c r="AL26" s="8">
        <v>23.231229476449592</v>
      </c>
      <c r="AM26" s="8">
        <v>0.46991943375626688</v>
      </c>
      <c r="AN26" s="8">
        <v>65.834608311439098</v>
      </c>
      <c r="AO26" s="8">
        <v>80.626095141140695</v>
      </c>
      <c r="AP26" s="8">
        <v>27.085234389369742</v>
      </c>
      <c r="AQ26" s="8">
        <v>21.936690356858911</v>
      </c>
      <c r="AR26" s="8">
        <v>0.39868478820887338</v>
      </c>
      <c r="AS26" s="8">
        <v>67.247032846935852</v>
      </c>
      <c r="AT26" s="8">
        <v>79.814237182734743</v>
      </c>
      <c r="AU26" s="8">
        <v>30.41204510355205</v>
      </c>
      <c r="AV26" s="8">
        <v>22.067157486919289</v>
      </c>
      <c r="AW26" s="8">
        <v>0.45455704377092448</v>
      </c>
      <c r="AX26" s="8">
        <v>66.011631650736646</v>
      </c>
      <c r="AY26" s="8">
        <v>81.936340885174332</v>
      </c>
      <c r="AZ26" s="8">
        <v>32.25950960888607</v>
      </c>
      <c r="BA26" s="8">
        <v>23.62707155882552</v>
      </c>
      <c r="BB26" s="8">
        <v>0.50246833553296899</v>
      </c>
      <c r="BC26" s="8">
        <v>64.87684132229333</v>
      </c>
      <c r="BD26" s="8">
        <v>83.893615096822543</v>
      </c>
      <c r="BE26" s="8">
        <v>32.170345913701503</v>
      </c>
      <c r="BF26" s="8">
        <v>26.41361999388009</v>
      </c>
      <c r="BG26" s="8">
        <v>0.51480772814774844</v>
      </c>
      <c r="BH26" s="8">
        <v>66.760112254345188</v>
      </c>
      <c r="BI26" s="8">
        <v>84.908988811869278</v>
      </c>
    </row>
    <row r="27" spans="1:61" x14ac:dyDescent="0.15">
      <c r="A27" s="7">
        <v>2022</v>
      </c>
      <c r="B27" s="7">
        <v>23</v>
      </c>
      <c r="C27" s="7">
        <v>79.835624455231567</v>
      </c>
      <c r="D27" s="7">
        <v>5.2030215650023219</v>
      </c>
      <c r="E27" s="8">
        <v>23.639982466365321</v>
      </c>
      <c r="F27" s="8">
        <v>26.557954916947828</v>
      </c>
      <c r="G27" s="8">
        <v>0.45769672528040878</v>
      </c>
      <c r="H27" s="8">
        <v>72.836044798597271</v>
      </c>
      <c r="I27" s="8">
        <v>32.429124041496692</v>
      </c>
      <c r="J27" s="8">
        <v>23.98817371243436</v>
      </c>
      <c r="K27" s="8">
        <v>27.4751504856774</v>
      </c>
      <c r="L27" s="8">
        <v>0.58901645324539442</v>
      </c>
      <c r="M27" s="8">
        <v>70.75262499055593</v>
      </c>
      <c r="N27" s="8">
        <v>37.802144737598859</v>
      </c>
      <c r="O27" s="8">
        <v>290.00200000000001</v>
      </c>
      <c r="P27" s="8">
        <v>285.25599999999997</v>
      </c>
      <c r="Q27" s="8">
        <v>101.654</v>
      </c>
      <c r="R27" s="8">
        <v>-1.1046899999999999</v>
      </c>
      <c r="S27" s="8">
        <v>-0.56217200000000001</v>
      </c>
      <c r="T27" s="7">
        <f>C27-D27</f>
        <v>74.632602890229251</v>
      </c>
      <c r="U27" s="8">
        <f>D27/C27</f>
        <v>6.5171677437306896E-2</v>
      </c>
      <c r="V27" s="8">
        <v>24.37241737148522</v>
      </c>
      <c r="W27" s="8">
        <v>25.251011561120318</v>
      </c>
      <c r="X27" s="8">
        <v>0.62008488574515253</v>
      </c>
      <c r="Y27" s="8">
        <v>71.625026495568633</v>
      </c>
      <c r="Z27" s="8">
        <v>37.187404103503802</v>
      </c>
      <c r="AA27" s="7">
        <v>24.18029554195979</v>
      </c>
      <c r="AB27" s="7">
        <v>26.363081023398859</v>
      </c>
      <c r="AC27" s="7">
        <v>0.60455066949527347</v>
      </c>
      <c r="AD27" s="7">
        <v>71.188825743062282</v>
      </c>
      <c r="AE27" s="7">
        <v>37.49477442055133</v>
      </c>
      <c r="AF27" s="8">
        <v>23.097487657495591</v>
      </c>
      <c r="AG27" s="8">
        <v>28.764419485338479</v>
      </c>
      <c r="AH27" s="8">
        <v>0.58198850887454279</v>
      </c>
      <c r="AI27" s="8">
        <v>70.399534265243759</v>
      </c>
      <c r="AJ27" s="8">
        <v>36.593072136068002</v>
      </c>
      <c r="AK27" s="8">
        <v>24.036200003110221</v>
      </c>
      <c r="AL27" s="8">
        <v>27.405632379500979</v>
      </c>
      <c r="AM27" s="8">
        <v>0.58939540394001544</v>
      </c>
      <c r="AN27" s="8">
        <v>70.771663840119999</v>
      </c>
      <c r="AO27" s="8">
        <v>37.867338609095277</v>
      </c>
      <c r="AP27" s="8">
        <v>23.472889314293621</v>
      </c>
      <c r="AQ27" s="8">
        <v>26.067626875834009</v>
      </c>
      <c r="AR27" s="8">
        <v>0.57909890419973598</v>
      </c>
      <c r="AS27" s="8">
        <v>72.154622318536667</v>
      </c>
      <c r="AT27" s="8">
        <v>35.67784283157021</v>
      </c>
      <c r="AU27" s="8">
        <v>32.551916433414164</v>
      </c>
      <c r="AV27" s="8">
        <v>32.233966150327817</v>
      </c>
      <c r="AW27" s="8">
        <v>0.52174790222676026</v>
      </c>
      <c r="AX27" s="8">
        <v>59.585254052594308</v>
      </c>
      <c r="AY27" s="8">
        <v>50.0885185019552</v>
      </c>
      <c r="AZ27" s="8">
        <v>25.65484897330634</v>
      </c>
      <c r="BA27" s="8">
        <v>27.122389068516959</v>
      </c>
      <c r="BB27" s="8">
        <v>0.59513587096855192</v>
      </c>
      <c r="BC27" s="8">
        <v>70.001512826731386</v>
      </c>
      <c r="BD27" s="8">
        <v>40.655968475973268</v>
      </c>
      <c r="BE27" s="8">
        <v>32.265075033167427</v>
      </c>
      <c r="BF27" s="8">
        <v>28.771321051171739</v>
      </c>
      <c r="BG27" s="8">
        <v>0.5069411688547043</v>
      </c>
      <c r="BH27" s="8">
        <v>59.35105269773846</v>
      </c>
      <c r="BI27" s="8">
        <v>53.345172925856673</v>
      </c>
    </row>
    <row r="28" spans="1:61" x14ac:dyDescent="0.15">
      <c r="A28" s="7">
        <v>2022</v>
      </c>
      <c r="B28" s="7">
        <v>110</v>
      </c>
      <c r="C28" s="7">
        <v>12.372581098318767</v>
      </c>
      <c r="D28" s="7">
        <v>1.3329658477166137</v>
      </c>
      <c r="E28" s="8">
        <v>22.548680959576561</v>
      </c>
      <c r="F28" s="8">
        <v>12.6045850153131</v>
      </c>
      <c r="G28" s="8">
        <v>0.46123646456005762</v>
      </c>
      <c r="H28" s="8">
        <v>66.79493207304499</v>
      </c>
      <c r="I28" s="8">
        <v>35.580605291991873</v>
      </c>
      <c r="J28" s="8">
        <v>33.039867331068777</v>
      </c>
      <c r="K28" s="8">
        <v>18.280608283953839</v>
      </c>
      <c r="L28" s="8">
        <v>0.50991143487426371</v>
      </c>
      <c r="M28" s="8">
        <v>62.544121046132638</v>
      </c>
      <c r="N28" s="8">
        <v>39.793417757328662</v>
      </c>
      <c r="O28" s="8">
        <v>291.39400000000001</v>
      </c>
      <c r="P28" s="8">
        <v>285.65600000000001</v>
      </c>
      <c r="Q28" s="8">
        <v>100.628</v>
      </c>
      <c r="R28" s="8">
        <v>-0.41447200000000001</v>
      </c>
      <c r="S28" s="8">
        <v>-0.51171</v>
      </c>
      <c r="T28" s="7">
        <f>C28-D28</f>
        <v>11.039615250602154</v>
      </c>
      <c r="U28" s="8">
        <f>D28/C28</f>
        <v>0.10773547064466138</v>
      </c>
      <c r="V28" s="8">
        <v>29.235297729862801</v>
      </c>
      <c r="W28" s="8">
        <v>16.518052876221439</v>
      </c>
      <c r="X28" s="8">
        <v>0.58639210324939572</v>
      </c>
      <c r="Y28" s="8">
        <v>57.326871984975277</v>
      </c>
      <c r="Z28" s="8">
        <v>38.42249692864042</v>
      </c>
      <c r="AA28" s="7">
        <v>31.137582530465789</v>
      </c>
      <c r="AB28" s="7">
        <v>17.399330580087639</v>
      </c>
      <c r="AC28" s="7">
        <v>0.54815176906182972</v>
      </c>
      <c r="AD28" s="7">
        <v>59.935496515553957</v>
      </c>
      <c r="AE28" s="7">
        <v>39.107957342984541</v>
      </c>
      <c r="AF28" s="8">
        <v>33.884812301356007</v>
      </c>
      <c r="AG28" s="8">
        <v>18.249872039675179</v>
      </c>
      <c r="AH28" s="8">
        <v>0.54157816809713244</v>
      </c>
      <c r="AI28" s="8">
        <v>62.402217175120612</v>
      </c>
      <c r="AJ28" s="8">
        <v>41.467140382228813</v>
      </c>
      <c r="AK28" s="8">
        <v>32.861735583422551</v>
      </c>
      <c r="AL28" s="8">
        <v>18.28708811530614</v>
      </c>
      <c r="AM28" s="8">
        <v>0.5032354373482727</v>
      </c>
      <c r="AN28" s="8">
        <v>62.574037295628187</v>
      </c>
      <c r="AO28" s="8">
        <v>39.440562664118119</v>
      </c>
      <c r="AP28" s="8">
        <v>31.444602974845949</v>
      </c>
      <c r="AQ28" s="8">
        <v>18.13283334252964</v>
      </c>
      <c r="AR28" s="8">
        <v>0.52079769786323682</v>
      </c>
      <c r="AS28" s="8">
        <v>58.923334375150667</v>
      </c>
      <c r="AT28" s="8">
        <v>38.766654738925872</v>
      </c>
      <c r="AU28" s="8">
        <v>28.448208235662719</v>
      </c>
      <c r="AV28" s="8">
        <v>20.777770327201178</v>
      </c>
      <c r="AW28" s="8">
        <v>0.50895417071561755</v>
      </c>
      <c r="AX28" s="8">
        <v>62.562803167589237</v>
      </c>
      <c r="AY28" s="8">
        <v>47.276125259281997</v>
      </c>
      <c r="AZ28" s="8">
        <v>32.448843001369021</v>
      </c>
      <c r="BA28" s="8">
        <v>19.236204629545689</v>
      </c>
      <c r="BB28" s="8">
        <v>0.52446683068639044</v>
      </c>
      <c r="BC28" s="8">
        <v>64.326976714025321</v>
      </c>
      <c r="BD28" s="8">
        <v>40.93972110088049</v>
      </c>
      <c r="BE28" s="8">
        <v>31.383504196465811</v>
      </c>
      <c r="BF28" s="8">
        <v>29.130021564010409</v>
      </c>
      <c r="BG28" s="8">
        <v>0.5455109265366832</v>
      </c>
      <c r="BH28" s="8">
        <v>59.330409082910613</v>
      </c>
      <c r="BI28" s="8">
        <v>58.859783316538149</v>
      </c>
    </row>
    <row r="29" spans="1:61" x14ac:dyDescent="0.15">
      <c r="A29" s="7">
        <v>2022</v>
      </c>
      <c r="B29" s="7">
        <v>68</v>
      </c>
      <c r="C29" s="7">
        <v>59.821869714783666</v>
      </c>
      <c r="D29" s="7">
        <v>16.656414878736857</v>
      </c>
      <c r="E29" s="8">
        <v>20.825704879986539</v>
      </c>
      <c r="F29" s="8">
        <v>11.22690460565814</v>
      </c>
      <c r="G29" s="8">
        <v>0.46155671907503371</v>
      </c>
      <c r="H29" s="8">
        <v>65.422631473053642</v>
      </c>
      <c r="I29" s="8">
        <v>33.237876546852718</v>
      </c>
      <c r="J29" s="8">
        <v>30.33835554699154</v>
      </c>
      <c r="K29" s="8">
        <v>18.364075418313259</v>
      </c>
      <c r="L29" s="8">
        <v>0.4983314245164806</v>
      </c>
      <c r="M29" s="8">
        <v>57.128938716903548</v>
      </c>
      <c r="N29" s="8">
        <v>36.776274587178833</v>
      </c>
      <c r="O29" s="8">
        <v>290.36700000000002</v>
      </c>
      <c r="P29" s="8">
        <v>285.09399999999999</v>
      </c>
      <c r="Q29" s="8">
        <v>97.650399999999991</v>
      </c>
      <c r="R29" s="8">
        <v>-0.35012599999999999</v>
      </c>
      <c r="S29" s="8">
        <v>-0.52876000000000001</v>
      </c>
      <c r="T29" s="7">
        <f>C29-D29</f>
        <v>43.165454836046806</v>
      </c>
      <c r="U29" s="8">
        <f>D29/C29</f>
        <v>0.27843353874010707</v>
      </c>
      <c r="V29" s="8">
        <v>21.465368051823997</v>
      </c>
      <c r="W29" s="8">
        <v>10.751344096813362</v>
      </c>
      <c r="X29" s="8">
        <v>0.50224820805300163</v>
      </c>
      <c r="Y29" s="8">
        <v>61.907123095182058</v>
      </c>
      <c r="Z29" s="8">
        <v>32.701114020001</v>
      </c>
      <c r="AA29" s="7">
        <v>25.901861799407769</v>
      </c>
      <c r="AB29" s="7">
        <v>14.557709757563311</v>
      </c>
      <c r="AC29" s="7">
        <v>0.50028981628474112</v>
      </c>
      <c r="AD29" s="7">
        <v>59.518030906042803</v>
      </c>
      <c r="AE29" s="7">
        <v>34.738694303589917</v>
      </c>
      <c r="AF29" s="8">
        <v>31.36974372376006</v>
      </c>
      <c r="AG29" s="8">
        <v>19.01499555608854</v>
      </c>
      <c r="AH29" s="8">
        <v>0.50464571136401692</v>
      </c>
      <c r="AI29" s="8">
        <v>58.154919166097187</v>
      </c>
      <c r="AJ29" s="8">
        <v>37.281640412639632</v>
      </c>
      <c r="AK29" s="8">
        <v>30.230585622584499</v>
      </c>
      <c r="AL29" s="8">
        <v>18.296060663419659</v>
      </c>
      <c r="AM29" s="8">
        <v>0.49767164361965532</v>
      </c>
      <c r="AN29" s="8">
        <v>57.021733846862141</v>
      </c>
      <c r="AO29" s="8">
        <v>36.723468826908771</v>
      </c>
      <c r="AP29" s="8">
        <v>29.328518536820919</v>
      </c>
      <c r="AQ29" s="8">
        <v>17.21446500472387</v>
      </c>
      <c r="AR29" s="8">
        <v>0.49618164232110412</v>
      </c>
      <c r="AS29" s="8">
        <v>54.404940823055497</v>
      </c>
      <c r="AT29" s="8">
        <v>35.515863800191127</v>
      </c>
      <c r="AU29" s="8">
        <v>26.16178500448169</v>
      </c>
      <c r="AV29" s="8">
        <v>18.60548617880545</v>
      </c>
      <c r="AW29" s="8">
        <v>0.48856348445375353</v>
      </c>
      <c r="AX29" s="8">
        <v>60.346185524944673</v>
      </c>
      <c r="AY29" s="8">
        <v>41.173975171497048</v>
      </c>
      <c r="AZ29" s="8">
        <v>31.19496069360174</v>
      </c>
      <c r="BA29" s="8">
        <v>19.345673724260621</v>
      </c>
      <c r="BB29" s="8">
        <v>0.53650433339643078</v>
      </c>
      <c r="BC29" s="8">
        <v>58.867915759475871</v>
      </c>
      <c r="BD29" s="8">
        <v>37.214086212817222</v>
      </c>
      <c r="BE29" s="8">
        <v>30.32687728156727</v>
      </c>
      <c r="BF29" s="8">
        <v>26.267651128068032</v>
      </c>
      <c r="BG29" s="8">
        <v>0.59389926722159903</v>
      </c>
      <c r="BH29" s="8">
        <v>65.928340368220745</v>
      </c>
      <c r="BI29" s="8">
        <v>56.756727795968949</v>
      </c>
    </row>
    <row r="30" spans="1:61" x14ac:dyDescent="0.15">
      <c r="A30" s="7">
        <v>2022</v>
      </c>
      <c r="B30" s="7">
        <v>45</v>
      </c>
      <c r="C30" s="7">
        <v>68.067594741199983</v>
      </c>
      <c r="D30" s="7">
        <v>46.887166354211885</v>
      </c>
      <c r="E30" s="8">
        <v>23.197569316429249</v>
      </c>
      <c r="F30" s="8">
        <v>13.49469729910677</v>
      </c>
      <c r="G30" s="8">
        <v>0.46385379009332828</v>
      </c>
      <c r="H30" s="8">
        <v>70.897499304361389</v>
      </c>
      <c r="I30" s="8">
        <v>36.96913449470366</v>
      </c>
      <c r="J30" s="8">
        <v>29.583135671309691</v>
      </c>
      <c r="K30" s="8">
        <v>17.278398482633179</v>
      </c>
      <c r="L30" s="8">
        <v>0.50194824679266858</v>
      </c>
      <c r="M30" s="8">
        <v>68.556064148476693</v>
      </c>
      <c r="N30" s="8">
        <v>42.541829926775058</v>
      </c>
      <c r="O30" s="8">
        <v>289.24900000000002</v>
      </c>
      <c r="P30" s="8">
        <v>283.447</v>
      </c>
      <c r="Q30" s="8">
        <v>97.073100000000011</v>
      </c>
      <c r="R30" s="8">
        <v>-0.416632</v>
      </c>
      <c r="S30" s="8">
        <v>-6.06299E-2</v>
      </c>
      <c r="T30" s="7">
        <f>C30-D30</f>
        <v>21.180428386988098</v>
      </c>
      <c r="U30" s="8">
        <f>D30/C30</f>
        <v>0.68883242506925257</v>
      </c>
      <c r="V30" s="8">
        <v>22.027936049809448</v>
      </c>
      <c r="W30" s="8">
        <v>15.159158865079021</v>
      </c>
      <c r="X30" s="8">
        <v>0.47530201452343346</v>
      </c>
      <c r="Y30" s="8">
        <v>60.63205692863751</v>
      </c>
      <c r="Z30" s="8">
        <v>33.976216928980342</v>
      </c>
      <c r="AA30" s="7">
        <v>25.805535860559569</v>
      </c>
      <c r="AB30" s="7">
        <v>16.2187786738561</v>
      </c>
      <c r="AC30" s="7">
        <v>0.48862513065805102</v>
      </c>
      <c r="AD30" s="7">
        <v>64.594060538557102</v>
      </c>
      <c r="AE30" s="7">
        <v>38.2590234278777</v>
      </c>
      <c r="AF30" s="8">
        <v>28.765164804066849</v>
      </c>
      <c r="AG30" s="8">
        <v>17.36638928207649</v>
      </c>
      <c r="AH30" s="8">
        <v>0.48949607187898508</v>
      </c>
      <c r="AI30" s="8">
        <v>66.849569829436604</v>
      </c>
      <c r="AJ30" s="8">
        <v>41.265122588292158</v>
      </c>
      <c r="AK30" s="8">
        <v>29.712681736655689</v>
      </c>
      <c r="AL30" s="8">
        <v>17.264462947382441</v>
      </c>
      <c r="AM30" s="8">
        <v>0.50392035891752374</v>
      </c>
      <c r="AN30" s="8">
        <v>68.826330038644812</v>
      </c>
      <c r="AO30" s="8">
        <v>42.744028341073523</v>
      </c>
      <c r="AP30" s="8">
        <v>27.077439389182391</v>
      </c>
      <c r="AQ30" s="8">
        <v>18.29689387534528</v>
      </c>
      <c r="AR30" s="8">
        <v>0.49781215203877921</v>
      </c>
      <c r="AS30" s="8">
        <v>58.467694253314789</v>
      </c>
      <c r="AT30" s="8">
        <v>38.151662516450912</v>
      </c>
      <c r="AU30" s="8">
        <v>25.564094517986099</v>
      </c>
      <c r="AV30" s="8">
        <v>16.200676585822759</v>
      </c>
      <c r="AW30" s="8">
        <v>0.45557643258496588</v>
      </c>
      <c r="AX30" s="8">
        <v>69.017732241399173</v>
      </c>
      <c r="AY30" s="8">
        <v>39.51294401091566</v>
      </c>
      <c r="AZ30" s="8">
        <v>30.287880879135589</v>
      </c>
      <c r="BA30" s="8">
        <v>18.08307891387101</v>
      </c>
      <c r="BB30" s="8">
        <v>0.50992371906280531</v>
      </c>
      <c r="BC30" s="8">
        <v>68.163219909535229</v>
      </c>
      <c r="BD30" s="8">
        <v>43.81771666176293</v>
      </c>
      <c r="BE30" s="8">
        <v>31.284936360779849</v>
      </c>
      <c r="BF30" s="8">
        <v>23.367788991377939</v>
      </c>
      <c r="BG30" s="8">
        <v>0.61134658503027139</v>
      </c>
      <c r="BH30" s="8">
        <v>62.911780500323097</v>
      </c>
      <c r="BI30" s="8">
        <v>65.927773526746961</v>
      </c>
    </row>
    <row r="31" spans="1:61" x14ac:dyDescent="0.15">
      <c r="A31" s="7">
        <v>2018</v>
      </c>
      <c r="B31" s="7">
        <v>106</v>
      </c>
      <c r="C31" s="7">
        <v>29.875366966619634</v>
      </c>
      <c r="D31" s="7">
        <v>11.134872530053212</v>
      </c>
      <c r="E31" s="8">
        <v>19.37736191252392</v>
      </c>
      <c r="F31" s="8">
        <v>11.657629556758931</v>
      </c>
      <c r="G31" s="8">
        <v>0.46615893855518897</v>
      </c>
      <c r="H31" s="8">
        <v>84.276936687584566</v>
      </c>
      <c r="I31" s="8">
        <v>29.602615127848559</v>
      </c>
      <c r="J31" s="8">
        <v>23.809913480620409</v>
      </c>
      <c r="K31" s="8">
        <v>19.140113416384288</v>
      </c>
      <c r="L31" s="8">
        <v>0.54837908130328172</v>
      </c>
      <c r="M31" s="8">
        <v>73.377449435267394</v>
      </c>
      <c r="N31" s="8">
        <v>39.921441349894451</v>
      </c>
      <c r="O31" s="8">
        <v>293.37</v>
      </c>
      <c r="P31" s="8">
        <v>289.46300000000002</v>
      </c>
      <c r="Q31" s="8">
        <v>98.37469999999999</v>
      </c>
      <c r="R31" s="8">
        <v>-1.0912599999999999</v>
      </c>
      <c r="S31" s="8">
        <v>-1.5535300000000001</v>
      </c>
      <c r="T31" s="7">
        <f>C31-D31</f>
        <v>18.740494436566422</v>
      </c>
      <c r="U31" s="8">
        <f>D31/C31</f>
        <v>0.37271082033885761</v>
      </c>
      <c r="V31" s="8">
        <v>19.799007019919614</v>
      </c>
      <c r="W31" s="8">
        <v>10.602006921043412</v>
      </c>
      <c r="X31" s="8">
        <v>0.47361781409233339</v>
      </c>
      <c r="Y31" s="8">
        <v>83.682042133341255</v>
      </c>
      <c r="Z31" s="8">
        <v>29.638304480775105</v>
      </c>
      <c r="AA31" s="7">
        <v>21.804460250270012</v>
      </c>
      <c r="AB31" s="7">
        <v>14.87106016871385</v>
      </c>
      <c r="AC31" s="7">
        <v>0.51099844769780756</v>
      </c>
      <c r="AD31" s="7">
        <v>78.529745784304325</v>
      </c>
      <c r="AE31" s="7">
        <v>34.779872915334778</v>
      </c>
      <c r="AF31" s="8">
        <v>23.57206492338959</v>
      </c>
      <c r="AG31" s="8">
        <v>17.204850456510329</v>
      </c>
      <c r="AH31" s="8">
        <v>0.55571175202005252</v>
      </c>
      <c r="AI31" s="8">
        <v>74.536725386875347</v>
      </c>
      <c r="AJ31" s="8">
        <v>38.926488243967697</v>
      </c>
      <c r="AK31" s="8">
        <v>23.851243940898961</v>
      </c>
      <c r="AL31" s="8">
        <v>19.476400126814141</v>
      </c>
      <c r="AM31" s="8">
        <v>0.54710489801907913</v>
      </c>
      <c r="AN31" s="8">
        <v>73.176004409795482</v>
      </c>
      <c r="AO31" s="8">
        <v>40.094332328516742</v>
      </c>
      <c r="AP31" s="8">
        <v>23.651151893598879</v>
      </c>
      <c r="AQ31" s="8">
        <v>16.834051095414988</v>
      </c>
      <c r="AR31" s="8">
        <v>0.52652245541859055</v>
      </c>
      <c r="AS31" s="8">
        <v>71.796737388481745</v>
      </c>
      <c r="AT31" s="8">
        <v>39.215165901199647</v>
      </c>
      <c r="AU31" s="8">
        <v>22.77822510058428</v>
      </c>
      <c r="AV31" s="8">
        <v>20.30875365772533</v>
      </c>
      <c r="AW31" s="8">
        <v>0.53980839826925175</v>
      </c>
      <c r="AX31" s="8">
        <v>68.10491495013413</v>
      </c>
      <c r="AY31" s="8">
        <v>37.275527409171943</v>
      </c>
      <c r="AZ31" s="8">
        <v>24.938366634505279</v>
      </c>
      <c r="BA31" s="8">
        <v>22.52217004991164</v>
      </c>
      <c r="BB31" s="8">
        <v>0.55949691752073782</v>
      </c>
      <c r="BC31" s="8">
        <v>70.157088240874216</v>
      </c>
      <c r="BD31" s="8">
        <v>43.06457872351119</v>
      </c>
      <c r="BE31" s="8">
        <v>26.702129838623112</v>
      </c>
      <c r="BF31" s="8">
        <v>26.30715822137142</v>
      </c>
      <c r="BG31" s="8">
        <v>0.65476198794432361</v>
      </c>
      <c r="BH31" s="8">
        <v>62.514233810571163</v>
      </c>
      <c r="BI31" s="8">
        <v>44.851583437707987</v>
      </c>
    </row>
    <row r="32" spans="1:61" x14ac:dyDescent="0.15">
      <c r="A32" s="7">
        <v>2021</v>
      </c>
      <c r="B32" s="7">
        <v>30</v>
      </c>
      <c r="C32" s="7">
        <v>165.20413977782931</v>
      </c>
      <c r="D32" s="7">
        <v>49.13126015040875</v>
      </c>
      <c r="E32" s="8">
        <v>13.696544175748031</v>
      </c>
      <c r="F32" s="8">
        <v>10.18404955257145</v>
      </c>
      <c r="G32" s="8">
        <v>0.46780670512887113</v>
      </c>
      <c r="H32" s="8">
        <v>76.417947261442151</v>
      </c>
      <c r="I32" s="8">
        <v>19.020490325134549</v>
      </c>
      <c r="J32" s="8">
        <v>17.718743224419939</v>
      </c>
      <c r="K32" s="8">
        <v>17.569561358005949</v>
      </c>
      <c r="L32" s="8">
        <v>0.56088733950955005</v>
      </c>
      <c r="M32" s="8">
        <v>64.03140333680291</v>
      </c>
      <c r="N32" s="8">
        <v>29.325059618604961</v>
      </c>
      <c r="O32" s="8">
        <v>292.072</v>
      </c>
      <c r="P32" s="8">
        <v>287.95999999999998</v>
      </c>
      <c r="Q32" s="8">
        <v>97.664299999999997</v>
      </c>
      <c r="R32" s="8">
        <v>-0.53042800000000001</v>
      </c>
      <c r="S32" s="8">
        <v>-0.63153199999999998</v>
      </c>
      <c r="T32" s="7">
        <f>C32-D32</f>
        <v>116.07287962742056</v>
      </c>
      <c r="U32" s="8">
        <f>D32/C32</f>
        <v>0.29739726992605453</v>
      </c>
      <c r="V32" s="8">
        <v>13.231994851744641</v>
      </c>
      <c r="W32" s="8">
        <v>8.6450903554037524</v>
      </c>
      <c r="X32" s="8">
        <v>0.47039864631880068</v>
      </c>
      <c r="Y32" s="8">
        <v>80.080244924165115</v>
      </c>
      <c r="Z32" s="8">
        <v>17.56657304215242</v>
      </c>
      <c r="AA32" s="7">
        <v>15.47536903808229</v>
      </c>
      <c r="AB32" s="7">
        <v>13.107325856704851</v>
      </c>
      <c r="AC32" s="7">
        <v>0.51564299291417537</v>
      </c>
      <c r="AD32" s="7">
        <v>72.055824130484012</v>
      </c>
      <c r="AE32" s="7">
        <v>23.44581633037869</v>
      </c>
      <c r="AF32" s="8">
        <v>17.598871619820109</v>
      </c>
      <c r="AG32" s="8">
        <v>17.905202877060692</v>
      </c>
      <c r="AH32" s="8">
        <v>0.56589330122436976</v>
      </c>
      <c r="AI32" s="8">
        <v>63.728514812438803</v>
      </c>
      <c r="AJ32" s="8">
        <v>28.473177354227971</v>
      </c>
      <c r="AK32" s="8">
        <v>17.730696894370219</v>
      </c>
      <c r="AL32" s="8">
        <v>17.536090979814361</v>
      </c>
      <c r="AM32" s="8">
        <v>0.56038814193625952</v>
      </c>
      <c r="AN32" s="8">
        <v>64.061607566270425</v>
      </c>
      <c r="AO32" s="8">
        <v>29.41000984062666</v>
      </c>
      <c r="AP32" s="8">
        <v>17.67676323450668</v>
      </c>
      <c r="AQ32" s="8">
        <v>16.53023820709512</v>
      </c>
      <c r="AR32" s="8">
        <v>0.54155606176755944</v>
      </c>
      <c r="AS32" s="8">
        <v>63.286052136266761</v>
      </c>
      <c r="AT32" s="8">
        <v>27.162472497723019</v>
      </c>
      <c r="AU32" s="8">
        <v>18.138666845379809</v>
      </c>
      <c r="AV32" s="8">
        <v>17.37407204484359</v>
      </c>
      <c r="AW32" s="8">
        <v>0.53172416673082534</v>
      </c>
      <c r="AX32" s="8">
        <v>64.11337474458476</v>
      </c>
      <c r="AY32" s="8">
        <v>28.19222001909802</v>
      </c>
      <c r="AZ32" s="8">
        <v>19.11507456711303</v>
      </c>
      <c r="BA32" s="8">
        <v>20.408745774766508</v>
      </c>
      <c r="BB32" s="8">
        <v>0.58243181141977673</v>
      </c>
      <c r="BC32" s="8">
        <v>61.504671533003112</v>
      </c>
      <c r="BD32" s="8">
        <v>34.212120054610743</v>
      </c>
      <c r="BE32" s="8">
        <v>19.518309351903699</v>
      </c>
      <c r="BF32" s="8">
        <v>21.871755956725099</v>
      </c>
      <c r="BG32" s="8">
        <v>0.5928839912285796</v>
      </c>
      <c r="BH32" s="8">
        <v>62.778518315353047</v>
      </c>
      <c r="BI32" s="8">
        <v>30.72315383171944</v>
      </c>
    </row>
    <row r="33" spans="1:61" x14ac:dyDescent="0.15">
      <c r="A33" s="7">
        <v>2022</v>
      </c>
      <c r="B33" s="7">
        <v>130</v>
      </c>
      <c r="C33" s="7">
        <v>51.235999638472933</v>
      </c>
      <c r="D33" s="7">
        <v>32.930439447605139</v>
      </c>
      <c r="E33" s="8">
        <v>18.348954739401918</v>
      </c>
      <c r="F33" s="8">
        <v>10.55905631996043</v>
      </c>
      <c r="G33" s="8">
        <v>0.4753826295569587</v>
      </c>
      <c r="H33" s="8">
        <v>55.635895641257619</v>
      </c>
      <c r="I33" s="8">
        <v>25.660746219793239</v>
      </c>
      <c r="J33" s="8">
        <v>22.905698678796409</v>
      </c>
      <c r="K33" s="8">
        <v>14.80002785414181</v>
      </c>
      <c r="L33" s="8">
        <v>0.51644567655544715</v>
      </c>
      <c r="M33" s="8">
        <v>52.697269580576453</v>
      </c>
      <c r="N33" s="8">
        <v>31.858314332953569</v>
      </c>
      <c r="O33" s="8">
        <v>290.69200000000001</v>
      </c>
      <c r="P33" s="8">
        <v>285.59300000000002</v>
      </c>
      <c r="Q33" s="8">
        <v>95.923400000000001</v>
      </c>
      <c r="R33" s="8">
        <v>-0.47014600000000001</v>
      </c>
      <c r="S33" s="8">
        <v>-0.37836599999999998</v>
      </c>
      <c r="T33" s="7">
        <f>C33-D33</f>
        <v>18.305560190867794</v>
      </c>
      <c r="U33" s="8">
        <f>D33/C33</f>
        <v>0.64272073698114762</v>
      </c>
      <c r="V33" s="8">
        <v>17.439131485035791</v>
      </c>
      <c r="W33" s="8">
        <v>8.2415587479501511</v>
      </c>
      <c r="X33" s="8">
        <v>0.4661714328223433</v>
      </c>
      <c r="Y33" s="8">
        <v>56.05872419254235</v>
      </c>
      <c r="Z33" s="8">
        <v>22.662891807477209</v>
      </c>
      <c r="AA33" s="7">
        <v>20.1724150819161</v>
      </c>
      <c r="AB33" s="7">
        <v>11.52079330104598</v>
      </c>
      <c r="AC33" s="7">
        <v>0.49130855468889523</v>
      </c>
      <c r="AD33" s="7">
        <v>54.377996886559401</v>
      </c>
      <c r="AE33" s="7">
        <v>27.260603070215389</v>
      </c>
      <c r="AF33" s="8">
        <v>24.380412236108729</v>
      </c>
      <c r="AG33" s="8">
        <v>16.98597747614599</v>
      </c>
      <c r="AH33" s="8">
        <v>0.53094010545806081</v>
      </c>
      <c r="AI33" s="8">
        <v>50.555771796039437</v>
      </c>
      <c r="AJ33" s="8">
        <v>35.549707595324783</v>
      </c>
      <c r="AK33" s="8">
        <v>22.741610264079359</v>
      </c>
      <c r="AL33" s="8">
        <v>14.556801631430661</v>
      </c>
      <c r="AM33" s="8">
        <v>0.51483291057179836</v>
      </c>
      <c r="AN33" s="8">
        <v>52.93554973663958</v>
      </c>
      <c r="AO33" s="8">
        <v>31.447580420922801</v>
      </c>
      <c r="AP33" s="8">
        <v>23.522779998476882</v>
      </c>
      <c r="AQ33" s="8">
        <v>13.18471516681192</v>
      </c>
      <c r="AR33" s="8">
        <v>0.51351888510852939</v>
      </c>
      <c r="AS33" s="8">
        <v>51.731706798403508</v>
      </c>
      <c r="AT33" s="8">
        <v>30.00441009307475</v>
      </c>
      <c r="AU33" s="8">
        <v>18.569397037338131</v>
      </c>
      <c r="AV33" s="8">
        <v>9.2911741263550471</v>
      </c>
      <c r="AW33" s="8">
        <v>0.48975579420421672</v>
      </c>
      <c r="AX33" s="8">
        <v>63.942105591546131</v>
      </c>
      <c r="AY33" s="8">
        <v>26.34046584094478</v>
      </c>
      <c r="AZ33" s="8">
        <v>23.506376865224588</v>
      </c>
      <c r="BA33" s="8">
        <v>16.660156331382691</v>
      </c>
      <c r="BB33" s="8">
        <v>0.55203874024931421</v>
      </c>
      <c r="BC33" s="8">
        <v>54.891389544561157</v>
      </c>
      <c r="BD33" s="8">
        <v>34.091298554161391</v>
      </c>
      <c r="BE33" s="8">
        <v>30.270750702017189</v>
      </c>
      <c r="BF33" s="8">
        <v>20.7309561319335</v>
      </c>
      <c r="BG33" s="8">
        <v>0.61194236622457188</v>
      </c>
      <c r="BH33" s="8">
        <v>59.090586269627899</v>
      </c>
      <c r="BI33" s="8">
        <v>49.806777825016603</v>
      </c>
    </row>
    <row r="34" spans="1:61" x14ac:dyDescent="0.15">
      <c r="A34" s="7">
        <v>2022</v>
      </c>
      <c r="B34" s="7">
        <v>30</v>
      </c>
      <c r="C34" s="7">
        <v>90.10715607874117</v>
      </c>
      <c r="D34" s="7">
        <v>19.529050216981155</v>
      </c>
      <c r="E34" s="8">
        <v>13.448462939915331</v>
      </c>
      <c r="F34" s="8">
        <v>10.28339232939865</v>
      </c>
      <c r="G34" s="8">
        <v>0.47610641727204928</v>
      </c>
      <c r="H34" s="8">
        <v>68.419351215228829</v>
      </c>
      <c r="I34" s="8">
        <v>17.934951193678369</v>
      </c>
      <c r="J34" s="8">
        <v>16.225771093697279</v>
      </c>
      <c r="K34" s="8">
        <v>17.407410931681401</v>
      </c>
      <c r="L34" s="8">
        <v>0.55141399764142285</v>
      </c>
      <c r="M34" s="8">
        <v>61.396040120336792</v>
      </c>
      <c r="N34" s="8">
        <v>26.318138887693291</v>
      </c>
      <c r="O34" s="8">
        <v>291.55799999999999</v>
      </c>
      <c r="P34" s="8">
        <v>287.17</v>
      </c>
      <c r="Q34" s="8">
        <v>97.691500000000005</v>
      </c>
      <c r="R34" s="8">
        <v>-0.56925099999999995</v>
      </c>
      <c r="S34" s="8">
        <v>-0.87235600000000002</v>
      </c>
      <c r="T34" s="7">
        <f>C34-D34</f>
        <v>70.578105861760008</v>
      </c>
      <c r="U34" s="8">
        <f>D34/C34</f>
        <v>0.21673140144291614</v>
      </c>
      <c r="V34" s="8">
        <v>13.285715137788102</v>
      </c>
      <c r="W34" s="8">
        <v>9.0844970785754988</v>
      </c>
      <c r="X34" s="8">
        <v>0.47761432475636678</v>
      </c>
      <c r="Y34" s="8">
        <v>70.566420424338659</v>
      </c>
      <c r="Z34" s="8">
        <v>17.087855182395426</v>
      </c>
      <c r="AA34" s="7">
        <v>14.755743115742691</v>
      </c>
      <c r="AB34" s="7">
        <v>13.24595400512845</v>
      </c>
      <c r="AC34" s="7">
        <v>0.51451416119889481</v>
      </c>
      <c r="AD34" s="7">
        <v>65.981230272337726</v>
      </c>
      <c r="AE34" s="7">
        <v>21.702997035044358</v>
      </c>
      <c r="AF34" s="8">
        <v>16.26911630473732</v>
      </c>
      <c r="AG34" s="8">
        <v>18.03248289140209</v>
      </c>
      <c r="AH34" s="8">
        <v>0.56529697248015676</v>
      </c>
      <c r="AI34" s="8">
        <v>61.279862392896952</v>
      </c>
      <c r="AJ34" s="8">
        <v>25.872750318635418</v>
      </c>
      <c r="AK34" s="8">
        <v>16.22189872800141</v>
      </c>
      <c r="AL34" s="8">
        <v>17.351568379385711</v>
      </c>
      <c r="AM34" s="8">
        <v>0.55017372324357872</v>
      </c>
      <c r="AN34" s="8">
        <v>61.406419182649991</v>
      </c>
      <c r="AO34" s="8">
        <v>26.357928921580971</v>
      </c>
      <c r="AP34" s="8">
        <v>16.889113113630589</v>
      </c>
      <c r="AQ34" s="8">
        <v>17.875644232808721</v>
      </c>
      <c r="AR34" s="8">
        <v>0.52060484343864277</v>
      </c>
      <c r="AS34" s="8">
        <v>60.00542436211682</v>
      </c>
      <c r="AT34" s="8">
        <v>26.77664381262688</v>
      </c>
      <c r="AU34" s="8">
        <v>17.061840450313689</v>
      </c>
      <c r="AV34" s="8">
        <v>18.44168609398799</v>
      </c>
      <c r="AW34" s="8">
        <v>0.53263789266872197</v>
      </c>
      <c r="AX34" s="8">
        <v>59.760063779302612</v>
      </c>
      <c r="AY34" s="8">
        <v>27.546774419840819</v>
      </c>
      <c r="AZ34" s="8">
        <v>16.55517830268354</v>
      </c>
      <c r="BA34" s="8">
        <v>19.03554717724808</v>
      </c>
      <c r="BB34" s="8">
        <v>0.55953009568274392</v>
      </c>
      <c r="BC34" s="8">
        <v>61.281609916441042</v>
      </c>
      <c r="BD34" s="8">
        <v>28.85578288866347</v>
      </c>
      <c r="BE34" s="8">
        <v>17.741390548646532</v>
      </c>
      <c r="BF34" s="8">
        <v>21.733483332981152</v>
      </c>
      <c r="BG34" s="8">
        <v>0.58676901283121474</v>
      </c>
      <c r="BH34" s="8">
        <v>58.545689872737789</v>
      </c>
      <c r="BI34" s="8">
        <v>29.387066068642941</v>
      </c>
    </row>
    <row r="35" spans="1:61" x14ac:dyDescent="0.15">
      <c r="A35" s="7">
        <v>2021</v>
      </c>
      <c r="B35" s="7">
        <v>96</v>
      </c>
      <c r="C35" s="7">
        <v>87.880206712410086</v>
      </c>
      <c r="D35" s="7">
        <v>33.483008044759977</v>
      </c>
      <c r="E35" s="8">
        <v>27.52664978306959</v>
      </c>
      <c r="F35" s="8">
        <v>22.1210836932629</v>
      </c>
      <c r="G35" s="8">
        <v>0.47636626730077503</v>
      </c>
      <c r="H35" s="8">
        <v>70.89952411409422</v>
      </c>
      <c r="I35" s="8">
        <v>43.085222868525832</v>
      </c>
      <c r="J35" s="8">
        <v>24.426048957468531</v>
      </c>
      <c r="K35" s="8">
        <v>19.676379293667171</v>
      </c>
      <c r="L35" s="8">
        <v>0.52432041145853625</v>
      </c>
      <c r="M35" s="8">
        <v>81.471176325263983</v>
      </c>
      <c r="N35" s="8">
        <v>44.145639129090441</v>
      </c>
      <c r="O35" s="8">
        <v>286.642</v>
      </c>
      <c r="P35" s="8">
        <v>280.95</v>
      </c>
      <c r="Q35" s="8">
        <v>100.93300000000001</v>
      </c>
      <c r="R35" s="8">
        <v>0.57611999999999997</v>
      </c>
      <c r="S35" s="8">
        <v>-7.1618399999999999E-2</v>
      </c>
      <c r="T35" s="7">
        <f>C35-D35</f>
        <v>54.397198667650109</v>
      </c>
      <c r="U35" s="8">
        <f>D35/C35</f>
        <v>0.38100738832276371</v>
      </c>
      <c r="V35" s="8">
        <v>28.720082531639569</v>
      </c>
      <c r="W35" s="8">
        <v>23.477550356047669</v>
      </c>
      <c r="X35" s="8">
        <v>0.55252518873271939</v>
      </c>
      <c r="Y35" s="8">
        <v>70.573115836458115</v>
      </c>
      <c r="Z35" s="8">
        <v>49.599674454478517</v>
      </c>
      <c r="AA35" s="7">
        <v>26.57306574455405</v>
      </c>
      <c r="AB35" s="7">
        <v>21.57696482485742</v>
      </c>
      <c r="AC35" s="7">
        <v>0.53842280009562782</v>
      </c>
      <c r="AD35" s="7">
        <v>76.022146080861049</v>
      </c>
      <c r="AE35" s="7">
        <v>46.872656791784479</v>
      </c>
      <c r="AF35" s="8">
        <v>25.915370367474949</v>
      </c>
      <c r="AG35" s="8">
        <v>19.470809459094351</v>
      </c>
      <c r="AH35" s="8">
        <v>0.54175659446865199</v>
      </c>
      <c r="AI35" s="8">
        <v>81.730275026091249</v>
      </c>
      <c r="AJ35" s="8">
        <v>43.210489115648919</v>
      </c>
      <c r="AK35" s="8">
        <v>24.32150457322243</v>
      </c>
      <c r="AL35" s="8">
        <v>19.69080947081402</v>
      </c>
      <c r="AM35" s="8">
        <v>0.52309646140709143</v>
      </c>
      <c r="AN35" s="8">
        <v>81.452988636592508</v>
      </c>
      <c r="AO35" s="8">
        <v>44.211282905965007</v>
      </c>
      <c r="AP35" s="8">
        <v>26.21393477635192</v>
      </c>
      <c r="AQ35" s="8">
        <v>20.743304714110369</v>
      </c>
      <c r="AR35" s="8">
        <v>0.50023093773405569</v>
      </c>
      <c r="AS35" s="8">
        <v>76.582570475760818</v>
      </c>
      <c r="AT35" s="8">
        <v>47.301616769234542</v>
      </c>
      <c r="AU35" s="8">
        <v>28.69749813575967</v>
      </c>
      <c r="AV35" s="8">
        <v>20.911953773527671</v>
      </c>
      <c r="AW35" s="8">
        <v>0.54563379969562675</v>
      </c>
      <c r="AX35" s="8">
        <v>73.053530319772932</v>
      </c>
      <c r="AY35" s="8">
        <v>50.429966544087748</v>
      </c>
      <c r="AZ35" s="8">
        <v>25.22091344811486</v>
      </c>
      <c r="BA35" s="8">
        <v>20.595776897766061</v>
      </c>
      <c r="BB35" s="8">
        <v>0.56085691031256169</v>
      </c>
      <c r="BC35" s="8">
        <v>80.602510512998833</v>
      </c>
      <c r="BD35" s="8">
        <v>46.077168979281851</v>
      </c>
      <c r="BE35" s="8">
        <v>27.66367707747381</v>
      </c>
      <c r="BF35" s="8">
        <v>24.50385828518338</v>
      </c>
      <c r="BG35" s="8">
        <v>0.59068038189040861</v>
      </c>
      <c r="BH35" s="8">
        <v>74.618609737724583</v>
      </c>
      <c r="BI35" s="8">
        <v>53.111288795539693</v>
      </c>
    </row>
    <row r="36" spans="1:61" x14ac:dyDescent="0.15">
      <c r="A36" s="7">
        <v>2022</v>
      </c>
      <c r="B36" s="7">
        <v>129</v>
      </c>
      <c r="C36" s="7">
        <v>36.801670636073695</v>
      </c>
      <c r="D36" s="7">
        <v>24.60104938836027</v>
      </c>
      <c r="E36" s="8">
        <v>21.705195276918719</v>
      </c>
      <c r="F36" s="8">
        <v>14.29560136966434</v>
      </c>
      <c r="G36" s="8">
        <v>0.47680527692202812</v>
      </c>
      <c r="H36" s="8">
        <v>56.319261390456397</v>
      </c>
      <c r="I36" s="8">
        <v>36.758301093733607</v>
      </c>
      <c r="J36" s="8">
        <v>28.00013245791737</v>
      </c>
      <c r="K36" s="8">
        <v>25.774554923554639</v>
      </c>
      <c r="L36" s="8">
        <v>0.60023627766137488</v>
      </c>
      <c r="M36" s="8">
        <v>51.404090751104327</v>
      </c>
      <c r="N36" s="8">
        <v>44.781542759885284</v>
      </c>
      <c r="O36" s="8">
        <v>291.18299999999999</v>
      </c>
      <c r="P36" s="8">
        <v>286.39400000000001</v>
      </c>
      <c r="Q36" s="8">
        <v>94.105999999999995</v>
      </c>
      <c r="R36" s="8">
        <v>-8.5529900000000006E-2</v>
      </c>
      <c r="S36" s="8">
        <v>9.3870700000000001E-2</v>
      </c>
      <c r="T36" s="7">
        <f>C36-D36</f>
        <v>12.200621247713425</v>
      </c>
      <c r="U36" s="8">
        <f>D36/C36</f>
        <v>0.66847642955224584</v>
      </c>
      <c r="V36" s="8">
        <v>21.498226816759431</v>
      </c>
      <c r="W36" s="8">
        <v>13.732645328902521</v>
      </c>
      <c r="X36" s="8">
        <v>0.46044254267885132</v>
      </c>
      <c r="Y36" s="8">
        <v>55.474992488713859</v>
      </c>
      <c r="Z36" s="8">
        <v>36.660591704727793</v>
      </c>
      <c r="AA36" s="7">
        <v>24.749179637338401</v>
      </c>
      <c r="AB36" s="7">
        <v>19.75360012622858</v>
      </c>
      <c r="AC36" s="7">
        <v>0.5303394101701131</v>
      </c>
      <c r="AD36" s="7">
        <v>53.439541619909093</v>
      </c>
      <c r="AE36" s="7">
        <v>40.721067232306538</v>
      </c>
      <c r="AF36" s="8">
        <v>27.9429793358089</v>
      </c>
      <c r="AG36" s="8">
        <v>27.68961676054202</v>
      </c>
      <c r="AH36" s="8">
        <v>0.63997749006040361</v>
      </c>
      <c r="AI36" s="8">
        <v>49.868144364037171</v>
      </c>
      <c r="AJ36" s="8">
        <v>45.400557222514642</v>
      </c>
      <c r="AK36" s="8">
        <v>28.00614916226008</v>
      </c>
      <c r="AL36" s="8">
        <v>25.57294982402362</v>
      </c>
      <c r="AM36" s="8">
        <v>0.59605258451557364</v>
      </c>
      <c r="AN36" s="8">
        <v>51.565785072539967</v>
      </c>
      <c r="AO36" s="8">
        <v>44.716376993464984</v>
      </c>
      <c r="AP36" s="8">
        <v>27.246357795132951</v>
      </c>
      <c r="AQ36" s="8">
        <v>24.615962991180041</v>
      </c>
      <c r="AR36" s="8">
        <v>0.56810445687801048</v>
      </c>
      <c r="AS36" s="8">
        <v>50.778158834882419</v>
      </c>
      <c r="AT36" s="8">
        <v>44.297113531016528</v>
      </c>
      <c r="AU36" s="8">
        <v>24.295519276286839</v>
      </c>
      <c r="AV36" s="8">
        <v>18.993018963657981</v>
      </c>
      <c r="AW36" s="8">
        <v>0.53819314498309789</v>
      </c>
      <c r="AX36" s="8">
        <v>58.17740835729257</v>
      </c>
      <c r="AY36" s="8">
        <v>39.332078098609777</v>
      </c>
      <c r="AZ36" s="8">
        <v>31.472366564056191</v>
      </c>
      <c r="BA36" s="8">
        <v>30.437545941358579</v>
      </c>
      <c r="BB36" s="8">
        <v>0.70190332345869344</v>
      </c>
      <c r="BC36" s="8">
        <v>51.550391690299527</v>
      </c>
      <c r="BD36" s="8">
        <v>45.940581927375881</v>
      </c>
      <c r="BE36" s="8">
        <v>24.376693314363479</v>
      </c>
      <c r="BF36" s="8">
        <v>19.540872262450652</v>
      </c>
      <c r="BG36" s="8">
        <v>0.71280305226987006</v>
      </c>
      <c r="BH36" s="8">
        <v>65.050564738036968</v>
      </c>
      <c r="BI36" s="8">
        <v>50.651907041363472</v>
      </c>
    </row>
    <row r="37" spans="1:61" x14ac:dyDescent="0.15">
      <c r="A37" s="7">
        <v>2022</v>
      </c>
      <c r="B37" s="7">
        <v>10</v>
      </c>
      <c r="C37" s="7">
        <v>134.00787151231586</v>
      </c>
      <c r="D37" s="7">
        <v>46.493850945548118</v>
      </c>
      <c r="E37" s="8">
        <v>23.496891789054391</v>
      </c>
      <c r="F37" s="8">
        <v>23.634593412373128</v>
      </c>
      <c r="G37" s="8">
        <v>0.47715195224854201</v>
      </c>
      <c r="H37" s="8">
        <v>74.278232781735639</v>
      </c>
      <c r="I37" s="8">
        <v>33.013106489241864</v>
      </c>
      <c r="J37" s="8">
        <v>28.509979316133499</v>
      </c>
      <c r="K37" s="8">
        <v>29.662189597836061</v>
      </c>
      <c r="L37" s="8">
        <v>0.60777272203545196</v>
      </c>
      <c r="M37" s="8">
        <v>64.150547159512001</v>
      </c>
      <c r="N37" s="8">
        <v>44.757289405071418</v>
      </c>
      <c r="O37" s="8">
        <v>290.27699999999999</v>
      </c>
      <c r="P37" s="8">
        <v>284.73</v>
      </c>
      <c r="Q37" s="8">
        <v>101.32</v>
      </c>
      <c r="R37" s="8">
        <v>-0.92341899999999999</v>
      </c>
      <c r="S37" s="8">
        <v>-0.29272300000000001</v>
      </c>
      <c r="T37" s="7">
        <f>C37-D37</f>
        <v>87.514020566767741</v>
      </c>
      <c r="U37" s="8">
        <f>D37/C37</f>
        <v>0.34694865623080318</v>
      </c>
      <c r="V37" s="8">
        <v>28.157310583975981</v>
      </c>
      <c r="W37" s="8">
        <v>27.860820842196098</v>
      </c>
      <c r="X37" s="8">
        <v>0.59942113869422198</v>
      </c>
      <c r="Y37" s="8">
        <v>67.877208400077336</v>
      </c>
      <c r="Z37" s="8">
        <v>41.969449409159822</v>
      </c>
      <c r="AA37" s="7">
        <v>28.33364495005474</v>
      </c>
      <c r="AB37" s="7">
        <v>28.76150522001608</v>
      </c>
      <c r="AC37" s="7">
        <v>0.60359693036483697</v>
      </c>
      <c r="AD37" s="7">
        <v>66.013877779794669</v>
      </c>
      <c r="AE37" s="7">
        <v>43.36336940711562</v>
      </c>
      <c r="AF37" s="8">
        <v>27.098672905584511</v>
      </c>
      <c r="AG37" s="8">
        <v>30.449440045651741</v>
      </c>
      <c r="AH37" s="8">
        <v>0.59088579705427791</v>
      </c>
      <c r="AI37" s="8">
        <v>63.96556520049716</v>
      </c>
      <c r="AJ37" s="8">
        <v>42.463763942769859</v>
      </c>
      <c r="AK37" s="8">
        <v>28.648222400791191</v>
      </c>
      <c r="AL37" s="8">
        <v>29.585075280568951</v>
      </c>
      <c r="AM37" s="8">
        <v>0.60942686360409437</v>
      </c>
      <c r="AN37" s="8">
        <v>64.16866687924761</v>
      </c>
      <c r="AO37" s="8">
        <v>44.981949360046173</v>
      </c>
      <c r="AP37" s="8">
        <v>27.746007760649182</v>
      </c>
      <c r="AQ37" s="8">
        <v>29.439622924565931</v>
      </c>
      <c r="AR37" s="8">
        <v>0.58327298964724295</v>
      </c>
      <c r="AS37" s="8">
        <v>65.561943187575181</v>
      </c>
      <c r="AT37" s="8">
        <v>42.414011843234377</v>
      </c>
      <c r="AU37" s="8">
        <v>34.654448358714092</v>
      </c>
      <c r="AV37" s="8">
        <v>27.67682694502421</v>
      </c>
      <c r="AW37" s="8">
        <v>0.5204815267430204</v>
      </c>
      <c r="AX37" s="8">
        <v>65.424120563260075</v>
      </c>
      <c r="AY37" s="8">
        <v>53.117914797191879</v>
      </c>
      <c r="AZ37" s="8">
        <v>30.06241547801455</v>
      </c>
      <c r="BA37" s="8">
        <v>28.729307666507719</v>
      </c>
      <c r="BB37" s="8">
        <v>0.61833983556911287</v>
      </c>
      <c r="BC37" s="8">
        <v>64.856451327347415</v>
      </c>
      <c r="BD37" s="8">
        <v>46.712896050831233</v>
      </c>
      <c r="BE37" s="8">
        <v>33.683620275105632</v>
      </c>
      <c r="BF37" s="8">
        <v>28.58084374177481</v>
      </c>
      <c r="BG37" s="8">
        <v>0.50679984775160702</v>
      </c>
      <c r="BH37" s="8">
        <v>61.626941249742437</v>
      </c>
      <c r="BI37" s="8">
        <v>55.214143629233909</v>
      </c>
    </row>
    <row r="38" spans="1:61" x14ac:dyDescent="0.15">
      <c r="A38" s="7">
        <v>2022</v>
      </c>
      <c r="B38" s="7">
        <v>121</v>
      </c>
      <c r="C38" s="7">
        <v>37.39254229552332</v>
      </c>
      <c r="D38" s="7">
        <v>24.124358293883688</v>
      </c>
      <c r="E38" s="8">
        <v>21.046202390248329</v>
      </c>
      <c r="F38" s="8">
        <v>14.45385675328369</v>
      </c>
      <c r="G38" s="8">
        <v>0.47835790086405011</v>
      </c>
      <c r="H38" s="8">
        <v>70.225768378365132</v>
      </c>
      <c r="I38" s="8">
        <v>30.945192311014829</v>
      </c>
      <c r="J38" s="8">
        <v>30.428257504236331</v>
      </c>
      <c r="K38" s="8">
        <v>24.830149464057971</v>
      </c>
      <c r="L38" s="8">
        <v>0.57391947304636726</v>
      </c>
      <c r="M38" s="8">
        <v>61.130410906579833</v>
      </c>
      <c r="N38" s="8">
        <v>44.638371521970953</v>
      </c>
      <c r="O38" s="8">
        <v>290.20100000000002</v>
      </c>
      <c r="P38" s="8">
        <v>284.97399999999999</v>
      </c>
      <c r="Q38" s="8">
        <v>98.715199999999996</v>
      </c>
      <c r="R38" s="8">
        <v>-0.65035299999999996</v>
      </c>
      <c r="S38" s="8">
        <v>-0.533084</v>
      </c>
      <c r="T38" s="7">
        <f>C38-D38</f>
        <v>13.268184001639632</v>
      </c>
      <c r="U38" s="8">
        <f>D38/C38</f>
        <v>0.64516496640486209</v>
      </c>
      <c r="V38" s="8">
        <v>23.198135283459546</v>
      </c>
      <c r="W38" s="8">
        <v>17.70819874550941</v>
      </c>
      <c r="X38" s="8">
        <v>0.58375652653479237</v>
      </c>
      <c r="Y38" s="8">
        <v>67.582498677165688</v>
      </c>
      <c r="Z38" s="8">
        <v>32.338779217776505</v>
      </c>
      <c r="AA38" s="7">
        <v>26.813196393847939</v>
      </c>
      <c r="AB38" s="7">
        <v>21.269174104783691</v>
      </c>
      <c r="AC38" s="7">
        <v>0.57883799979057982</v>
      </c>
      <c r="AD38" s="7">
        <v>64.356454791872764</v>
      </c>
      <c r="AE38" s="7">
        <v>38.488575369873729</v>
      </c>
      <c r="AF38" s="8">
        <v>29.515379904378509</v>
      </c>
      <c r="AG38" s="8">
        <v>25.410699877163861</v>
      </c>
      <c r="AH38" s="8">
        <v>0.57927362576593566</v>
      </c>
      <c r="AI38" s="8">
        <v>59.112666093429567</v>
      </c>
      <c r="AJ38" s="8">
        <v>43.973787777453083</v>
      </c>
      <c r="AK38" s="8">
        <v>30.52730359121842</v>
      </c>
      <c r="AL38" s="8">
        <v>24.767160464521851</v>
      </c>
      <c r="AM38" s="8">
        <v>0.57333855411916346</v>
      </c>
      <c r="AN38" s="8">
        <v>61.349333715401173</v>
      </c>
      <c r="AO38" s="8">
        <v>44.710478033705549</v>
      </c>
      <c r="AP38" s="8">
        <v>30.269703450470729</v>
      </c>
      <c r="AQ38" s="8">
        <v>26.519189976417049</v>
      </c>
      <c r="AR38" s="8">
        <v>0.59893668219539453</v>
      </c>
      <c r="AS38" s="8">
        <v>59.932012909804897</v>
      </c>
      <c r="AT38" s="8">
        <v>42.756098163996597</v>
      </c>
      <c r="AU38" s="8">
        <v>25.63979422974176</v>
      </c>
      <c r="AV38" s="8">
        <v>20.026279173988559</v>
      </c>
      <c r="AW38" s="8">
        <v>0.53196677913107404</v>
      </c>
      <c r="AX38" s="8">
        <v>64.338346319446018</v>
      </c>
      <c r="AY38" s="8">
        <v>33.762085054675659</v>
      </c>
      <c r="AZ38" s="8">
        <v>31.240625703497081</v>
      </c>
      <c r="BA38" s="8">
        <v>25.079378473413879</v>
      </c>
      <c r="BB38" s="8">
        <v>0.56210192359609945</v>
      </c>
      <c r="BC38" s="8">
        <v>62.305471131962548</v>
      </c>
      <c r="BD38" s="8">
        <v>46.83438282377827</v>
      </c>
      <c r="BE38" s="8">
        <v>29.195702844248469</v>
      </c>
      <c r="BF38" s="8">
        <v>24.068416619458219</v>
      </c>
      <c r="BG38" s="8">
        <v>0.58090815417901498</v>
      </c>
      <c r="BH38" s="8">
        <v>67.482331175958436</v>
      </c>
      <c r="BI38" s="8">
        <v>47.996803384191168</v>
      </c>
    </row>
    <row r="39" spans="1:61" x14ac:dyDescent="0.15">
      <c r="A39" s="7">
        <v>2020</v>
      </c>
      <c r="B39" s="7">
        <v>31</v>
      </c>
      <c r="C39" s="7">
        <v>113.77464860438313</v>
      </c>
      <c r="D39" s="7">
        <v>84.350968427291789</v>
      </c>
      <c r="E39" s="8">
        <v>17.83644714657737</v>
      </c>
      <c r="F39" s="8">
        <v>11.6701917400878</v>
      </c>
      <c r="G39" s="8">
        <v>0.47864951299884029</v>
      </c>
      <c r="H39" s="8">
        <v>76.456741926102069</v>
      </c>
      <c r="I39" s="8">
        <v>27.600215614725212</v>
      </c>
      <c r="J39" s="8">
        <v>22.723906814286831</v>
      </c>
      <c r="K39" s="8">
        <v>18.563831148382359</v>
      </c>
      <c r="L39" s="8">
        <v>0.60437805659235588</v>
      </c>
      <c r="M39" s="8">
        <v>68.588157217249389</v>
      </c>
      <c r="N39" s="8">
        <v>37.088098184402881</v>
      </c>
      <c r="O39" s="8">
        <v>294.52499999999998</v>
      </c>
      <c r="P39" s="8">
        <v>289.50700000000001</v>
      </c>
      <c r="Q39" s="8">
        <v>97.875100000000003</v>
      </c>
      <c r="R39" s="8">
        <v>-0.56714100000000001</v>
      </c>
      <c r="S39" s="8">
        <v>-0.34989500000000001</v>
      </c>
      <c r="T39" s="7">
        <f>C39-D39</f>
        <v>29.423680177091342</v>
      </c>
      <c r="U39" s="8">
        <f>D39/C39</f>
        <v>0.74138632342075361</v>
      </c>
      <c r="V39" s="8">
        <v>20.419165074152307</v>
      </c>
      <c r="W39" s="8">
        <v>15.157021924083981</v>
      </c>
      <c r="X39" s="8">
        <v>0.58162932648920085</v>
      </c>
      <c r="Y39" s="8">
        <v>73.190330187611707</v>
      </c>
      <c r="Z39" s="8">
        <v>33.642195708392194</v>
      </c>
      <c r="AA39" s="7">
        <v>21.571535944219569</v>
      </c>
      <c r="AB39" s="7">
        <v>16.86042653623317</v>
      </c>
      <c r="AC39" s="7">
        <v>0.59300369154077837</v>
      </c>
      <c r="AD39" s="7">
        <v>70.889243702430548</v>
      </c>
      <c r="AE39" s="7">
        <v>35.365146946397537</v>
      </c>
      <c r="AF39" s="8">
        <v>22.21043351911619</v>
      </c>
      <c r="AG39" s="8">
        <v>17.845855757999541</v>
      </c>
      <c r="AH39" s="8">
        <v>0.56433218920471451</v>
      </c>
      <c r="AI39" s="8">
        <v>67.208390805315346</v>
      </c>
      <c r="AJ39" s="8">
        <v>36.615823829721407</v>
      </c>
      <c r="AK39" s="8">
        <v>22.75608913580098</v>
      </c>
      <c r="AL39" s="8">
        <v>18.608830791148328</v>
      </c>
      <c r="AM39" s="8">
        <v>0.6068879611807797</v>
      </c>
      <c r="AN39" s="8">
        <v>68.674635105585395</v>
      </c>
      <c r="AO39" s="8">
        <v>37.117698331612473</v>
      </c>
      <c r="AP39" s="8">
        <v>24.123186362480851</v>
      </c>
      <c r="AQ39" s="8">
        <v>18.364206179897369</v>
      </c>
      <c r="AR39" s="8">
        <v>0.60335236351207389</v>
      </c>
      <c r="AS39" s="8">
        <v>68.669148071139034</v>
      </c>
      <c r="AT39" s="8">
        <v>37.859513400576752</v>
      </c>
      <c r="AU39" s="8">
        <v>21.293763789075051</v>
      </c>
      <c r="AV39" s="8">
        <v>20.105777884505741</v>
      </c>
      <c r="AW39" s="8">
        <v>0.63347465864539676</v>
      </c>
      <c r="AX39" s="8">
        <v>67.776756692201829</v>
      </c>
      <c r="AY39" s="8">
        <v>37.847125965881872</v>
      </c>
      <c r="AZ39" s="8">
        <v>22.150110301898401</v>
      </c>
      <c r="BA39" s="8">
        <v>19.271731371528709</v>
      </c>
      <c r="BB39" s="8">
        <v>0.60815532583533316</v>
      </c>
      <c r="BC39" s="8">
        <v>69.282779137186367</v>
      </c>
      <c r="BD39" s="8">
        <v>37.661995378083638</v>
      </c>
      <c r="BE39" s="8">
        <v>21.39286106327544</v>
      </c>
      <c r="BF39" s="8">
        <v>20.991429187494319</v>
      </c>
      <c r="BG39" s="8">
        <v>0.70135331048248151</v>
      </c>
      <c r="BH39" s="8">
        <v>66.072486506381267</v>
      </c>
      <c r="BI39" s="8">
        <v>39.342362541981153</v>
      </c>
    </row>
    <row r="40" spans="1:61" x14ac:dyDescent="0.15">
      <c r="A40" s="7">
        <v>2023</v>
      </c>
      <c r="B40" s="7">
        <v>39</v>
      </c>
      <c r="C40" s="9">
        <v>67.096136587984461</v>
      </c>
      <c r="D40" s="7">
        <v>5.3659584312078303</v>
      </c>
      <c r="E40" s="8">
        <v>28.062231423132381</v>
      </c>
      <c r="F40" s="8">
        <v>22.012938497690691</v>
      </c>
      <c r="G40" s="8">
        <v>0.47985106173324299</v>
      </c>
      <c r="H40" s="8">
        <v>72.903155872807005</v>
      </c>
      <c r="I40" s="8">
        <v>52.091433726929552</v>
      </c>
      <c r="J40" s="8">
        <v>27.155982446790269</v>
      </c>
      <c r="K40" s="8">
        <v>21.522819511971271</v>
      </c>
      <c r="L40" s="8">
        <v>0.45440607468994482</v>
      </c>
      <c r="M40" s="8">
        <v>79.141770962495542</v>
      </c>
      <c r="N40" s="8">
        <v>51.013534421623412</v>
      </c>
      <c r="O40" s="7">
        <v>289.15100000000001</v>
      </c>
      <c r="P40" s="7">
        <v>283.86</v>
      </c>
      <c r="Q40" s="7">
        <v>101.67700000000001</v>
      </c>
      <c r="R40" s="7">
        <v>-0.621757</v>
      </c>
      <c r="S40" s="7">
        <v>-0.12587999999999999</v>
      </c>
      <c r="T40" s="7">
        <f>C40-D40</f>
        <v>61.730178156776631</v>
      </c>
      <c r="U40" s="8">
        <f>D40/C40</f>
        <v>7.9974178903301607E-2</v>
      </c>
      <c r="V40" s="8">
        <v>28.66441791754761</v>
      </c>
      <c r="W40" s="8">
        <v>21.313510314160631</v>
      </c>
      <c r="X40" s="8">
        <v>0.48151221891519574</v>
      </c>
      <c r="Y40" s="8">
        <v>79.257488488119776</v>
      </c>
      <c r="Z40" s="8">
        <v>51.79055744641655</v>
      </c>
      <c r="AA40" s="7">
        <v>27.910200182168939</v>
      </c>
      <c r="AB40" s="7">
        <v>21.418164913065951</v>
      </c>
      <c r="AC40" s="7">
        <v>0.46795914680257028</v>
      </c>
      <c r="AD40" s="7">
        <v>79.199629725307659</v>
      </c>
      <c r="AE40" s="7">
        <v>51.402045934019981</v>
      </c>
      <c r="AF40" s="8">
        <v>27.01638600796829</v>
      </c>
      <c r="AG40" s="8">
        <v>20.881610316898641</v>
      </c>
      <c r="AH40" s="8">
        <v>0.46540517961555822</v>
      </c>
      <c r="AI40" s="8">
        <v>78.043930255533411</v>
      </c>
      <c r="AJ40" s="8">
        <v>49.997601871169763</v>
      </c>
      <c r="AK40" s="8">
        <v>27.162330423744891</v>
      </c>
      <c r="AL40" s="8">
        <v>21.55197771419882</v>
      </c>
      <c r="AM40" s="8">
        <v>0.45390590387485419</v>
      </c>
      <c r="AN40" s="8">
        <v>79.19169392304137</v>
      </c>
      <c r="AO40" s="8">
        <v>51.059732709145337</v>
      </c>
      <c r="AP40" s="8">
        <v>28.17030972804778</v>
      </c>
      <c r="AQ40" s="8">
        <v>21.756824260525359</v>
      </c>
      <c r="AR40" s="8">
        <v>0.46901707683596078</v>
      </c>
      <c r="AS40" s="8">
        <v>79.926565248578996</v>
      </c>
      <c r="AT40" s="8">
        <v>51.558782038487102</v>
      </c>
      <c r="AU40" s="8">
        <v>26.91606579026892</v>
      </c>
      <c r="AV40" s="8">
        <v>20.65477328409812</v>
      </c>
      <c r="AW40" s="8">
        <v>0.45180017735978151</v>
      </c>
      <c r="AX40" s="8">
        <v>75.671656657468588</v>
      </c>
      <c r="AY40" s="8">
        <v>46.476654549558248</v>
      </c>
      <c r="AZ40" s="8">
        <v>27.717923678479849</v>
      </c>
      <c r="BA40" s="8">
        <v>22.28476466306487</v>
      </c>
      <c r="BB40" s="8">
        <v>0.46917708672262021</v>
      </c>
      <c r="BC40" s="8">
        <v>78.541852385147735</v>
      </c>
      <c r="BD40" s="8">
        <v>52.604380947782381</v>
      </c>
      <c r="BE40" s="8">
        <v>19.41598403708613</v>
      </c>
      <c r="BF40" s="8">
        <v>11.701304062352319</v>
      </c>
      <c r="BG40" s="8">
        <v>0.43867830199684332</v>
      </c>
      <c r="BH40" s="8">
        <v>81.438377190150149</v>
      </c>
      <c r="BI40" s="8">
        <v>35.49507124203911</v>
      </c>
    </row>
    <row r="41" spans="1:61" x14ac:dyDescent="0.15">
      <c r="A41" s="7">
        <v>2021</v>
      </c>
      <c r="B41" s="7">
        <v>98</v>
      </c>
      <c r="C41" s="7">
        <v>68.688406168647774</v>
      </c>
      <c r="D41" s="7">
        <v>47.252607679722971</v>
      </c>
      <c r="E41" s="8">
        <v>24.71640011213702</v>
      </c>
      <c r="F41" s="8">
        <v>18.209989548846941</v>
      </c>
      <c r="G41" s="8">
        <v>0.4806672823871711</v>
      </c>
      <c r="H41" s="8">
        <v>75.801228248547247</v>
      </c>
      <c r="I41" s="8">
        <v>55.173733613898193</v>
      </c>
      <c r="J41" s="8">
        <v>32.951830051118087</v>
      </c>
      <c r="K41" s="8">
        <v>24.500442759593899</v>
      </c>
      <c r="L41" s="8">
        <v>0.58123521739194983</v>
      </c>
      <c r="M41" s="8">
        <v>67.906582102472356</v>
      </c>
      <c r="N41" s="8">
        <v>80.214723601599133</v>
      </c>
      <c r="O41" s="8">
        <v>280.31700000000001</v>
      </c>
      <c r="P41" s="8">
        <v>269.15300000000002</v>
      </c>
      <c r="Q41" s="8">
        <v>86.128899999999987</v>
      </c>
      <c r="R41" s="8">
        <v>1.3308500000000001</v>
      </c>
      <c r="S41" s="8">
        <v>0.18132499999999999</v>
      </c>
      <c r="T41" s="7">
        <f>C41-D41</f>
        <v>21.435798488924803</v>
      </c>
      <c r="U41" s="8">
        <f>D41/C41</f>
        <v>0.68792697800711256</v>
      </c>
      <c r="V41" s="8">
        <v>28.121038197362417</v>
      </c>
      <c r="W41" s="8">
        <v>22.585015444341</v>
      </c>
      <c r="X41" s="8">
        <v>0.51365593795244713</v>
      </c>
      <c r="Y41" s="8">
        <v>70.187169943411959</v>
      </c>
      <c r="Z41" s="8">
        <v>73.55709873382537</v>
      </c>
      <c r="AA41" s="7">
        <v>30.536434124240252</v>
      </c>
      <c r="AB41" s="7">
        <v>23.542729101967449</v>
      </c>
      <c r="AC41" s="7">
        <v>0.54744557767219848</v>
      </c>
      <c r="AD41" s="7">
        <v>69.046876022942158</v>
      </c>
      <c r="AE41" s="7">
        <v>76.885911167712251</v>
      </c>
      <c r="AF41" s="8">
        <v>34.44624280892122</v>
      </c>
      <c r="AG41" s="8">
        <v>24.532947719704669</v>
      </c>
      <c r="AH41" s="8">
        <v>0.58881026243013079</v>
      </c>
      <c r="AI41" s="8">
        <v>66.914195898170234</v>
      </c>
      <c r="AJ41" s="8">
        <v>80.69827118673544</v>
      </c>
      <c r="AK41" s="8">
        <v>32.727654831701003</v>
      </c>
      <c r="AL41" s="8">
        <v>24.4955667261641</v>
      </c>
      <c r="AM41" s="8">
        <v>0.58009889319057917</v>
      </c>
      <c r="AN41" s="8">
        <v>68.055448868989387</v>
      </c>
      <c r="AO41" s="8">
        <v>80.142187158484248</v>
      </c>
      <c r="AP41" s="8">
        <v>28.596041718258739</v>
      </c>
      <c r="AQ41" s="8">
        <v>23.071296827567789</v>
      </c>
      <c r="AR41" s="8">
        <v>0.53130252107074061</v>
      </c>
      <c r="AS41" s="8">
        <v>69.789570499313882</v>
      </c>
      <c r="AT41" s="8">
        <v>76.296375874592954</v>
      </c>
      <c r="AU41" s="8">
        <v>32.173602003916891</v>
      </c>
      <c r="AV41" s="8">
        <v>24.235617297847512</v>
      </c>
      <c r="AW41" s="8">
        <v>0.55955832652044901</v>
      </c>
      <c r="AX41" s="8">
        <v>68.053824034054912</v>
      </c>
      <c r="AY41" s="8">
        <v>78.968141669126865</v>
      </c>
      <c r="AZ41" s="8">
        <v>34.257970026136682</v>
      </c>
      <c r="BA41" s="8">
        <v>24.6972667485953</v>
      </c>
      <c r="BB41" s="8">
        <v>0.61278770804282778</v>
      </c>
      <c r="BC41" s="8">
        <v>67.528500300982884</v>
      </c>
      <c r="BD41" s="8">
        <v>82.610120020396934</v>
      </c>
      <c r="BE41" s="8">
        <v>31.93222362163792</v>
      </c>
      <c r="BF41" s="8">
        <v>28.36108828469105</v>
      </c>
      <c r="BG41" s="8">
        <v>0.62481248978643755</v>
      </c>
      <c r="BH41" s="8">
        <v>68.732259838840179</v>
      </c>
      <c r="BI41" s="8">
        <v>81.348624048095957</v>
      </c>
    </row>
    <row r="42" spans="1:61" x14ac:dyDescent="0.15">
      <c r="A42" s="7">
        <v>2021</v>
      </c>
      <c r="B42" s="7">
        <v>150</v>
      </c>
      <c r="C42" s="7">
        <v>28.573007397631379</v>
      </c>
      <c r="D42" s="7">
        <v>2.2568668898782507</v>
      </c>
      <c r="E42" s="8">
        <v>13.16517082216016</v>
      </c>
      <c r="F42" s="8">
        <v>8.2320575290866742</v>
      </c>
      <c r="G42" s="8">
        <v>0.48075209431647642</v>
      </c>
      <c r="H42" s="8">
        <v>75.701165056535928</v>
      </c>
      <c r="I42" s="8">
        <v>19.791621191229751</v>
      </c>
      <c r="J42" s="8">
        <v>17.920792172688</v>
      </c>
      <c r="K42" s="8">
        <v>12.879653222194129</v>
      </c>
      <c r="L42" s="8">
        <v>0.52524305999058296</v>
      </c>
      <c r="M42" s="8">
        <v>64.100363613151401</v>
      </c>
      <c r="N42" s="8">
        <v>29.704251489130922</v>
      </c>
      <c r="O42" s="8">
        <v>292.50900000000001</v>
      </c>
      <c r="P42" s="8">
        <v>287.76</v>
      </c>
      <c r="Q42" s="8">
        <v>95.726300000000009</v>
      </c>
      <c r="R42" s="8">
        <v>-0.172181</v>
      </c>
      <c r="S42" s="8">
        <v>-0.165939</v>
      </c>
      <c r="T42" s="7">
        <f>C42-D42</f>
        <v>26.316140507753129</v>
      </c>
      <c r="U42" s="8">
        <f>D42/C42</f>
        <v>7.8985976466213303E-2</v>
      </c>
      <c r="V42" s="8">
        <v>9.757664663000881</v>
      </c>
      <c r="W42" s="8">
        <v>4.8190380471088758</v>
      </c>
      <c r="X42" s="8">
        <v>0.45236153091507048</v>
      </c>
      <c r="Y42" s="8">
        <v>84.343792325664495</v>
      </c>
      <c r="Z42" s="8">
        <v>12.271081139251638</v>
      </c>
      <c r="AA42" s="7">
        <v>13.83922841784444</v>
      </c>
      <c r="AB42" s="7">
        <v>8.8493456346515025</v>
      </c>
      <c r="AC42" s="7">
        <v>0.48880229545282672</v>
      </c>
      <c r="AD42" s="7">
        <v>74.222077969407948</v>
      </c>
      <c r="AE42" s="7">
        <v>20.98766631419128</v>
      </c>
      <c r="AF42" s="8">
        <v>17.528817466564771</v>
      </c>
      <c r="AG42" s="8">
        <v>12.13805790217965</v>
      </c>
      <c r="AH42" s="8">
        <v>0.52546558771439522</v>
      </c>
      <c r="AI42" s="8">
        <v>61.849622824955233</v>
      </c>
      <c r="AJ42" s="8">
        <v>29.22256399780408</v>
      </c>
      <c r="AK42" s="8">
        <v>18.02362073233018</v>
      </c>
      <c r="AL42" s="8">
        <v>13.074199394187429</v>
      </c>
      <c r="AM42" s="8">
        <v>0.52518468325105694</v>
      </c>
      <c r="AN42" s="8">
        <v>64.69081098070518</v>
      </c>
      <c r="AO42" s="8">
        <v>29.830614823695729</v>
      </c>
      <c r="AP42" s="8">
        <v>19.017104748297712</v>
      </c>
      <c r="AQ42" s="8">
        <v>13.19966091135451</v>
      </c>
      <c r="AR42" s="8">
        <v>0.53642240629982629</v>
      </c>
      <c r="AS42" s="8">
        <v>62.245922865975523</v>
      </c>
      <c r="AT42" s="8">
        <v>29.441549170072019</v>
      </c>
      <c r="AU42" s="8">
        <v>19.764996881152229</v>
      </c>
      <c r="AV42" s="8">
        <v>16.81452577540475</v>
      </c>
      <c r="AW42" s="8">
        <v>0.52769064985273695</v>
      </c>
      <c r="AX42" s="8">
        <v>61.279535962876658</v>
      </c>
      <c r="AY42" s="8">
        <v>30.809015236230071</v>
      </c>
      <c r="AZ42" s="8">
        <v>21.382352723080011</v>
      </c>
      <c r="BA42" s="8">
        <v>17.865087603067561</v>
      </c>
      <c r="BB42" s="8">
        <v>0.55967112685225184</v>
      </c>
      <c r="BC42" s="8">
        <v>60.480557856292037</v>
      </c>
      <c r="BD42" s="8">
        <v>38.001510825384891</v>
      </c>
      <c r="BE42" s="8">
        <v>28.463508932297611</v>
      </c>
      <c r="BF42" s="8">
        <v>25.00351935635285</v>
      </c>
      <c r="BG42" s="8">
        <v>0.56655009419121483</v>
      </c>
      <c r="BH42" s="8">
        <v>59.579891475159762</v>
      </c>
      <c r="BI42" s="8">
        <v>46.539082308243152</v>
      </c>
    </row>
    <row r="43" spans="1:61" x14ac:dyDescent="0.15">
      <c r="A43" s="7">
        <v>2022</v>
      </c>
      <c r="B43" s="7">
        <v>4</v>
      </c>
      <c r="C43" s="7">
        <v>223.53961137853409</v>
      </c>
      <c r="D43" s="7">
        <v>141.60193114059672</v>
      </c>
      <c r="E43" s="8">
        <v>23.928025581351061</v>
      </c>
      <c r="F43" s="8">
        <v>13.868077666529249</v>
      </c>
      <c r="G43" s="8">
        <v>0.48131092180600887</v>
      </c>
      <c r="H43" s="8">
        <v>59.005422806128252</v>
      </c>
      <c r="I43" s="8">
        <v>37.468699040210502</v>
      </c>
      <c r="J43" s="8">
        <v>27.594749997110991</v>
      </c>
      <c r="K43" s="8">
        <v>23.793833156074339</v>
      </c>
      <c r="L43" s="8">
        <v>0.54898840533551785</v>
      </c>
      <c r="M43" s="8">
        <v>50.72072217052952</v>
      </c>
      <c r="N43" s="8">
        <v>42.518745639391582</v>
      </c>
      <c r="O43" s="8">
        <v>289.93099999999998</v>
      </c>
      <c r="P43" s="8">
        <v>285.05</v>
      </c>
      <c r="Q43" s="8">
        <v>93.157800000000009</v>
      </c>
      <c r="R43" s="8">
        <v>-0.57833900000000005</v>
      </c>
      <c r="S43" s="8">
        <v>-3.1061499999999999E-2</v>
      </c>
      <c r="T43" s="7">
        <f>C43-D43</f>
        <v>81.937680237937371</v>
      </c>
      <c r="U43" s="8">
        <f>D43/C43</f>
        <v>0.63345341913837816</v>
      </c>
      <c r="V43" s="8">
        <v>22.906747072786711</v>
      </c>
      <c r="W43" s="8">
        <v>12.14989323476102</v>
      </c>
      <c r="X43" s="8">
        <v>0.46516015769177299</v>
      </c>
      <c r="Y43" s="8">
        <v>58.249505988637615</v>
      </c>
      <c r="Z43" s="8">
        <v>36.906617489245562</v>
      </c>
      <c r="AA43" s="7">
        <v>25.250748534948851</v>
      </c>
      <c r="AB43" s="7">
        <v>17.971863195417679</v>
      </c>
      <c r="AC43" s="7">
        <v>0.50707428151364542</v>
      </c>
      <c r="AD43" s="7">
        <v>54.485114079583568</v>
      </c>
      <c r="AE43" s="7">
        <v>39.712681564318572</v>
      </c>
      <c r="AF43" s="8">
        <v>27.448463686352881</v>
      </c>
      <c r="AG43" s="8">
        <v>24.918056254148262</v>
      </c>
      <c r="AH43" s="8">
        <v>0.56284997931752379</v>
      </c>
      <c r="AI43" s="8">
        <v>50.72426427104763</v>
      </c>
      <c r="AJ43" s="8">
        <v>42.874234726247153</v>
      </c>
      <c r="AK43" s="8">
        <v>27.614206562185441</v>
      </c>
      <c r="AL43" s="8">
        <v>23.644307751048281</v>
      </c>
      <c r="AM43" s="8">
        <v>0.54714476996856132</v>
      </c>
      <c r="AN43" s="8">
        <v>50.720251059399047</v>
      </c>
      <c r="AO43" s="8">
        <v>42.471464410438458</v>
      </c>
      <c r="AP43" s="8">
        <v>26.605175253011211</v>
      </c>
      <c r="AQ43" s="8">
        <v>22.98711297035716</v>
      </c>
      <c r="AR43" s="8">
        <v>0.52682522039569657</v>
      </c>
      <c r="AS43" s="8">
        <v>48.628804097576392</v>
      </c>
      <c r="AT43" s="8">
        <v>42.473977433089317</v>
      </c>
      <c r="AU43" s="8">
        <v>24.561605528758051</v>
      </c>
      <c r="AV43" s="8">
        <v>17.224845938924581</v>
      </c>
      <c r="AW43" s="8">
        <v>0.48215161622439251</v>
      </c>
      <c r="AX43" s="8">
        <v>58.022096263066722</v>
      </c>
      <c r="AY43" s="8">
        <v>40.332805082998533</v>
      </c>
      <c r="AZ43" s="8">
        <v>30.036348181069862</v>
      </c>
      <c r="BA43" s="8">
        <v>28.983809156776729</v>
      </c>
      <c r="BB43" s="8">
        <v>0.62190469171920815</v>
      </c>
      <c r="BC43" s="8">
        <v>50.542017029915172</v>
      </c>
      <c r="BD43" s="8">
        <v>44.799624785804937</v>
      </c>
      <c r="BE43" s="8">
        <v>28.390687356868138</v>
      </c>
      <c r="BF43" s="8">
        <v>32.047164634031923</v>
      </c>
      <c r="BG43" s="8">
        <v>0.55094008266648475</v>
      </c>
      <c r="BH43" s="8">
        <v>55.034415837683468</v>
      </c>
      <c r="BI43" s="8">
        <v>54.445683586987151</v>
      </c>
    </row>
    <row r="44" spans="1:61" x14ac:dyDescent="0.15">
      <c r="A44" s="7">
        <v>2021</v>
      </c>
      <c r="B44" s="7">
        <v>107</v>
      </c>
      <c r="C44" s="7">
        <v>4.838444438717902</v>
      </c>
      <c r="D44" s="7">
        <v>1.4809066539428946</v>
      </c>
      <c r="E44" s="8">
        <v>13.59059641648459</v>
      </c>
      <c r="F44" s="8">
        <v>8.1628061910956511</v>
      </c>
      <c r="G44" s="8">
        <v>0.48151820146359348</v>
      </c>
      <c r="H44" s="8">
        <v>74.277772587326368</v>
      </c>
      <c r="I44" s="8">
        <v>21.264935601051661</v>
      </c>
      <c r="J44" s="8">
        <v>17.385372252822521</v>
      </c>
      <c r="K44" s="8">
        <v>12.135361806457819</v>
      </c>
      <c r="L44" s="8">
        <v>0.50263406867411675</v>
      </c>
      <c r="M44" s="8">
        <v>63.087883488920838</v>
      </c>
      <c r="N44" s="8">
        <v>30.010801192304779</v>
      </c>
      <c r="O44" s="8">
        <v>293.00099999999998</v>
      </c>
      <c r="P44" s="8">
        <v>288.30099999999999</v>
      </c>
      <c r="Q44" s="8">
        <v>95.675899999999999</v>
      </c>
      <c r="R44" s="8">
        <v>-0.12514400000000001</v>
      </c>
      <c r="S44" s="8">
        <v>-0.186083</v>
      </c>
      <c r="T44" s="7">
        <f>C44-D44</f>
        <v>3.3575377847750074</v>
      </c>
      <c r="U44" s="8">
        <f>D44/C44</f>
        <v>0.30607081939238046</v>
      </c>
      <c r="V44" s="8">
        <v>10.739106206265138</v>
      </c>
      <c r="W44" s="8">
        <v>5.1505135251849232</v>
      </c>
      <c r="X44" s="8">
        <v>0.46438179879592589</v>
      </c>
      <c r="Y44" s="8">
        <v>82.882657150798892</v>
      </c>
      <c r="Z44" s="8">
        <v>14.353355659791024</v>
      </c>
      <c r="AA44" s="7">
        <v>14.062239229543829</v>
      </c>
      <c r="AB44" s="7">
        <v>8.6429376658213712</v>
      </c>
      <c r="AC44" s="7">
        <v>0.48350793373502132</v>
      </c>
      <c r="AD44" s="7">
        <v>72.985270319859865</v>
      </c>
      <c r="AE44" s="7">
        <v>22.182078426047902</v>
      </c>
      <c r="AF44" s="8">
        <v>17.061784505314879</v>
      </c>
      <c r="AG44" s="8">
        <v>11.502067808933541</v>
      </c>
      <c r="AH44" s="8">
        <v>0.50877974026520612</v>
      </c>
      <c r="AI44" s="8">
        <v>61.34386840951273</v>
      </c>
      <c r="AJ44" s="8">
        <v>30.158072404396801</v>
      </c>
      <c r="AK44" s="8">
        <v>17.462088843321439</v>
      </c>
      <c r="AL44" s="8">
        <v>12.285503944557011</v>
      </c>
      <c r="AM44" s="8">
        <v>0.50117704511736627</v>
      </c>
      <c r="AN44" s="8">
        <v>63.501356779246002</v>
      </c>
      <c r="AO44" s="8">
        <v>29.975885947962659</v>
      </c>
      <c r="AP44" s="8">
        <v>17.634688580157679</v>
      </c>
      <c r="AQ44" s="8">
        <v>11.876014630836091</v>
      </c>
      <c r="AR44" s="8">
        <v>0.47221800839362932</v>
      </c>
      <c r="AS44" s="8">
        <v>62.41085052247201</v>
      </c>
      <c r="AT44" s="8">
        <v>28.678190293088299</v>
      </c>
      <c r="AU44" s="8">
        <v>19.32772005153258</v>
      </c>
      <c r="AV44" s="8">
        <v>17.081068227694331</v>
      </c>
      <c r="AW44" s="8">
        <v>0.51323598616939792</v>
      </c>
      <c r="AX44" s="8">
        <v>61.627272007196702</v>
      </c>
      <c r="AY44" s="8">
        <v>31.434889438565008</v>
      </c>
      <c r="AZ44" s="8">
        <v>19.729351420369241</v>
      </c>
      <c r="BA44" s="8">
        <v>17.034723044008459</v>
      </c>
      <c r="BB44" s="8">
        <v>0.57708997018129649</v>
      </c>
      <c r="BC44" s="8">
        <v>60.169736270759202</v>
      </c>
      <c r="BD44" s="8">
        <v>35.621347061930337</v>
      </c>
      <c r="BE44" s="8">
        <v>24.539910144909761</v>
      </c>
      <c r="BF44" s="8">
        <v>22.335264160897971</v>
      </c>
      <c r="BG44" s="8">
        <v>0.65515750897784808</v>
      </c>
      <c r="BH44" s="8">
        <v>59.102847500948769</v>
      </c>
      <c r="BI44" s="8">
        <v>43.759766991885293</v>
      </c>
    </row>
    <row r="45" spans="1:61" x14ac:dyDescent="0.15">
      <c r="A45" s="7">
        <v>2022</v>
      </c>
      <c r="B45" s="7">
        <v>47</v>
      </c>
      <c r="C45" s="7">
        <v>84.891439183563065</v>
      </c>
      <c r="D45" s="7">
        <v>48.123538922151489</v>
      </c>
      <c r="E45" s="8">
        <v>13.87737392013935</v>
      </c>
      <c r="F45" s="8">
        <v>7.8063793673693453</v>
      </c>
      <c r="G45" s="8">
        <v>0.48246667735594689</v>
      </c>
      <c r="H45" s="8">
        <v>69.508736079696547</v>
      </c>
      <c r="I45" s="8">
        <v>20.637172854887851</v>
      </c>
      <c r="J45" s="8">
        <v>17.46686112068188</v>
      </c>
      <c r="K45" s="8">
        <v>12.681193598362089</v>
      </c>
      <c r="L45" s="8">
        <v>0.54652516269975593</v>
      </c>
      <c r="M45" s="8">
        <v>64.648839155639379</v>
      </c>
      <c r="N45" s="8">
        <v>25.56268785381781</v>
      </c>
      <c r="O45" s="8">
        <v>293.97399999999999</v>
      </c>
      <c r="P45" s="8">
        <v>289.77600000000001</v>
      </c>
      <c r="Q45" s="8">
        <v>97.460800000000006</v>
      </c>
      <c r="R45" s="8">
        <v>-0.98250800000000005</v>
      </c>
      <c r="S45" s="8">
        <v>-0.67450200000000005</v>
      </c>
      <c r="T45" s="7">
        <f>C45-D45</f>
        <v>36.767900261411576</v>
      </c>
      <c r="U45" s="8">
        <f>D45/C45</f>
        <v>0.56688329689042793</v>
      </c>
      <c r="V45" s="8">
        <v>12.794963733172619</v>
      </c>
      <c r="W45" s="8">
        <v>8.3096886150949523</v>
      </c>
      <c r="X45" s="8">
        <v>0.52054866873293359</v>
      </c>
      <c r="Y45" s="8">
        <v>69.587159708292617</v>
      </c>
      <c r="Z45" s="8">
        <v>20.515953590652192</v>
      </c>
      <c r="AA45" s="7">
        <v>15.130912426927249</v>
      </c>
      <c r="AB45" s="7">
        <v>10.495441106728521</v>
      </c>
      <c r="AC45" s="7">
        <v>0.53353691571634476</v>
      </c>
      <c r="AD45" s="7">
        <v>67.117999431965998</v>
      </c>
      <c r="AE45" s="7">
        <v>23.039320722235001</v>
      </c>
      <c r="AF45" s="8">
        <v>18.221057282097309</v>
      </c>
      <c r="AG45" s="8">
        <v>11.81157589435681</v>
      </c>
      <c r="AH45" s="8">
        <v>0.51321515037074217</v>
      </c>
      <c r="AI45" s="8">
        <v>60.279634116428888</v>
      </c>
      <c r="AJ45" s="8">
        <v>26.216195003366259</v>
      </c>
      <c r="AK45" s="8">
        <v>17.342982791915261</v>
      </c>
      <c r="AL45" s="8">
        <v>12.82403016177798</v>
      </c>
      <c r="AM45" s="8">
        <v>0.5519964032995085</v>
      </c>
      <c r="AN45" s="8">
        <v>65.366490406051867</v>
      </c>
      <c r="AO45" s="8">
        <v>25.455347910093931</v>
      </c>
      <c r="AP45" s="8">
        <v>18.61732216674622</v>
      </c>
      <c r="AQ45" s="8">
        <v>13.803458184969481</v>
      </c>
      <c r="AR45" s="8">
        <v>0.56333969872133072</v>
      </c>
      <c r="AS45" s="8">
        <v>62.391710789617427</v>
      </c>
      <c r="AT45" s="8">
        <v>26.270698770747671</v>
      </c>
      <c r="AU45" s="8">
        <v>16.109514828043078</v>
      </c>
      <c r="AV45" s="8">
        <v>13.391947263241279</v>
      </c>
      <c r="AW45" s="8">
        <v>0.55411547776241987</v>
      </c>
      <c r="AX45" s="8">
        <v>69.005649883994877</v>
      </c>
      <c r="AY45" s="8">
        <v>26.695546689145111</v>
      </c>
      <c r="AZ45" s="8">
        <v>16.37361756177123</v>
      </c>
      <c r="BA45" s="8">
        <v>13.780615827187511</v>
      </c>
      <c r="BB45" s="8">
        <v>0.58036825742182718</v>
      </c>
      <c r="BC45" s="8">
        <v>68.721398920163367</v>
      </c>
      <c r="BD45" s="8">
        <v>26.663873304266069</v>
      </c>
      <c r="BE45" s="8">
        <v>17.801953482113088</v>
      </c>
      <c r="BF45" s="8">
        <v>16.00023783222062</v>
      </c>
      <c r="BG45" s="8">
        <v>0.63169025152639935</v>
      </c>
      <c r="BH45" s="8">
        <v>68.947142818273349</v>
      </c>
      <c r="BI45" s="8">
        <v>30.673476813309609</v>
      </c>
    </row>
    <row r="46" spans="1:61" x14ac:dyDescent="0.15">
      <c r="A46" s="7">
        <v>2019</v>
      </c>
      <c r="B46" s="7">
        <v>150</v>
      </c>
      <c r="C46" s="7">
        <v>4.826884119127886</v>
      </c>
      <c r="D46" s="7">
        <v>0.68731880169312776</v>
      </c>
      <c r="E46" s="8">
        <v>18.828124733895489</v>
      </c>
      <c r="F46" s="8">
        <v>11.28419011434913</v>
      </c>
      <c r="G46" s="8">
        <v>0.48271561208359998</v>
      </c>
      <c r="H46" s="8">
        <v>75.454346649180351</v>
      </c>
      <c r="I46" s="8">
        <v>27.456082317329631</v>
      </c>
      <c r="J46" s="8">
        <v>22.85280292481373</v>
      </c>
      <c r="K46" s="8">
        <v>14.018866633272619</v>
      </c>
      <c r="L46" s="8">
        <v>0.55836940096975218</v>
      </c>
      <c r="M46" s="8">
        <v>67.094552043648321</v>
      </c>
      <c r="N46" s="8">
        <v>34.753783516087907</v>
      </c>
      <c r="O46" s="8">
        <v>292.19400000000002</v>
      </c>
      <c r="P46" s="8">
        <v>287.19600000000003</v>
      </c>
      <c r="Q46" s="8">
        <v>95.705199999999991</v>
      </c>
      <c r="R46" s="8">
        <v>-0.24352599999999999</v>
      </c>
      <c r="S46" s="8">
        <v>-0.242566</v>
      </c>
      <c r="T46" s="7">
        <f>C46-D46</f>
        <v>4.1395653174347586</v>
      </c>
      <c r="U46" s="8">
        <f>D46/C46</f>
        <v>0.14239388904519867</v>
      </c>
      <c r="V46" s="8">
        <v>15.923051721782109</v>
      </c>
      <c r="W46" s="8">
        <v>9.2455805153531223</v>
      </c>
      <c r="X46" s="8">
        <v>0.4230409054206784</v>
      </c>
      <c r="Y46" s="8">
        <v>81.790830010940397</v>
      </c>
      <c r="Z46" s="8">
        <v>22.089146656746834</v>
      </c>
      <c r="AA46" s="7">
        <v>19.387927323297919</v>
      </c>
      <c r="AB46" s="7">
        <v>11.632223574312871</v>
      </c>
      <c r="AC46" s="7">
        <v>0.49070515319521529</v>
      </c>
      <c r="AD46" s="7">
        <v>74.442691027294359</v>
      </c>
      <c r="AE46" s="7">
        <v>28.421465086417371</v>
      </c>
      <c r="AF46" s="8">
        <v>22.392551849033911</v>
      </c>
      <c r="AG46" s="8">
        <v>13.2121483114248</v>
      </c>
      <c r="AH46" s="8">
        <v>0.54406005679092839</v>
      </c>
      <c r="AI46" s="8">
        <v>66.106319740559726</v>
      </c>
      <c r="AJ46" s="8">
        <v>32.998844817879167</v>
      </c>
      <c r="AK46" s="8">
        <v>23.017590295677461</v>
      </c>
      <c r="AL46" s="8">
        <v>14.307702441118741</v>
      </c>
      <c r="AM46" s="8">
        <v>0.56349268982251033</v>
      </c>
      <c r="AN46" s="8">
        <v>67.448376752808784</v>
      </c>
      <c r="AO46" s="8">
        <v>35.382118243203671</v>
      </c>
      <c r="AP46" s="8">
        <v>23.509180568124489</v>
      </c>
      <c r="AQ46" s="8">
        <v>13.573034272318029</v>
      </c>
      <c r="AR46" s="8">
        <v>0.52635793900076833</v>
      </c>
      <c r="AS46" s="8">
        <v>66.066579829039725</v>
      </c>
      <c r="AT46" s="8">
        <v>35.007884193392727</v>
      </c>
      <c r="AU46" s="8">
        <v>24.471393092122501</v>
      </c>
      <c r="AV46" s="8">
        <v>16.810424671213081</v>
      </c>
      <c r="AW46" s="8">
        <v>0.54805318668902769</v>
      </c>
      <c r="AX46" s="8">
        <v>63.033427197258632</v>
      </c>
      <c r="AY46" s="8">
        <v>37.553715052119728</v>
      </c>
      <c r="AZ46" s="8">
        <v>26.229783574502068</v>
      </c>
      <c r="BA46" s="8">
        <v>18.766173377117859</v>
      </c>
      <c r="BB46" s="8">
        <v>0.68335380052380457</v>
      </c>
      <c r="BC46" s="8">
        <v>64.695639614320115</v>
      </c>
      <c r="BD46" s="8">
        <v>41.931529053456003</v>
      </c>
      <c r="BE46" s="8">
        <v>34.813757362165077</v>
      </c>
      <c r="BF46" s="8">
        <v>25.275907016270381</v>
      </c>
      <c r="BG46" s="8">
        <v>0.666808254210006</v>
      </c>
      <c r="BH46" s="8">
        <v>60.680933378069923</v>
      </c>
      <c r="BI46" s="8">
        <v>57.367084864868538</v>
      </c>
    </row>
    <row r="47" spans="1:61" x14ac:dyDescent="0.15">
      <c r="A47" s="7">
        <v>2022</v>
      </c>
      <c r="B47" s="7">
        <v>79</v>
      </c>
      <c r="C47" s="7">
        <v>84.176809506720929</v>
      </c>
      <c r="D47" s="7">
        <v>12.231636464907879</v>
      </c>
      <c r="E47" s="8">
        <v>18.126914284496831</v>
      </c>
      <c r="F47" s="8">
        <v>9.2913984694858147</v>
      </c>
      <c r="G47" s="8">
        <v>0.48277020802775039</v>
      </c>
      <c r="H47" s="8">
        <v>59.081144155262159</v>
      </c>
      <c r="I47" s="8">
        <v>26.945435155979471</v>
      </c>
      <c r="J47" s="8">
        <v>20.648720912642709</v>
      </c>
      <c r="K47" s="8">
        <v>10.52220647881324</v>
      </c>
      <c r="L47" s="8">
        <v>0.54492458539042921</v>
      </c>
      <c r="M47" s="8">
        <v>58.82537364886339</v>
      </c>
      <c r="N47" s="8">
        <v>31.210365587246049</v>
      </c>
      <c r="O47" s="8">
        <v>287.74099999999999</v>
      </c>
      <c r="P47" s="8">
        <v>282.38299999999998</v>
      </c>
      <c r="Q47" s="8">
        <v>79.812300000000008</v>
      </c>
      <c r="R47" s="8">
        <v>5.6692199999999998E-2</v>
      </c>
      <c r="S47" s="8">
        <v>0.94664899999999996</v>
      </c>
      <c r="T47" s="7">
        <f>C47-D47</f>
        <v>71.94517304181305</v>
      </c>
      <c r="U47" s="8">
        <f>D47/C47</f>
        <v>0.14530886281608557</v>
      </c>
      <c r="V47" s="8">
        <v>17.754626079732233</v>
      </c>
      <c r="W47" s="8">
        <v>7.8109654373037376</v>
      </c>
      <c r="X47" s="8">
        <v>0.48310661334154914</v>
      </c>
      <c r="Y47" s="8">
        <v>58.623770176250972</v>
      </c>
      <c r="Z47" s="8">
        <v>26.090082619993392</v>
      </c>
      <c r="AA47" s="7">
        <v>19.201673496187471</v>
      </c>
      <c r="AB47" s="7">
        <v>9.166585958058489</v>
      </c>
      <c r="AC47" s="7">
        <v>0.51401559936598917</v>
      </c>
      <c r="AD47" s="7">
        <v>58.724571912557181</v>
      </c>
      <c r="AE47" s="7">
        <v>28.65022410361972</v>
      </c>
      <c r="AF47" s="8">
        <v>21.010052693293929</v>
      </c>
      <c r="AG47" s="8">
        <v>11.49098493582663</v>
      </c>
      <c r="AH47" s="8">
        <v>0.54151958760064456</v>
      </c>
      <c r="AI47" s="8">
        <v>59.303255422583362</v>
      </c>
      <c r="AJ47" s="8">
        <v>31.298428690608858</v>
      </c>
      <c r="AK47" s="8">
        <v>20.584037492187701</v>
      </c>
      <c r="AL47" s="8">
        <v>10.348781644302949</v>
      </c>
      <c r="AM47" s="8">
        <v>0.54553412741102902</v>
      </c>
      <c r="AN47" s="8">
        <v>58.7398261566345</v>
      </c>
      <c r="AO47" s="8">
        <v>31.194601065423139</v>
      </c>
      <c r="AP47" s="8">
        <v>20.323380354235521</v>
      </c>
      <c r="AQ47" s="8">
        <v>8.9814542200449683</v>
      </c>
      <c r="AR47" s="8">
        <v>0.54992667867878486</v>
      </c>
      <c r="AS47" s="8">
        <v>58.049617071597908</v>
      </c>
      <c r="AT47" s="8">
        <v>30.386935835005929</v>
      </c>
      <c r="AU47" s="8">
        <v>19.418011454006539</v>
      </c>
      <c r="AV47" s="8">
        <v>8.9689109956783764</v>
      </c>
      <c r="AW47" s="8">
        <v>0.50086933647990151</v>
      </c>
      <c r="AX47" s="8">
        <v>60.691282925692292</v>
      </c>
      <c r="AY47" s="8">
        <v>28.932850179594531</v>
      </c>
      <c r="AZ47" s="8">
        <v>22.397213739354651</v>
      </c>
      <c r="BA47" s="8">
        <v>14.181763860638791</v>
      </c>
      <c r="BB47" s="8">
        <v>0.57856022696374387</v>
      </c>
      <c r="BC47" s="8">
        <v>59.13985906753436</v>
      </c>
      <c r="BD47" s="8">
        <v>35.886824424208683</v>
      </c>
      <c r="BE47" s="8">
        <v>20.057932778717209</v>
      </c>
      <c r="BF47" s="8">
        <v>21.09951783286683</v>
      </c>
      <c r="BG47" s="8">
        <v>0.57071655102971053</v>
      </c>
      <c r="BH47" s="8">
        <v>59.252699207312773</v>
      </c>
      <c r="BI47" s="8">
        <v>37.753874313262422</v>
      </c>
    </row>
    <row r="48" spans="1:61" x14ac:dyDescent="0.15">
      <c r="A48" s="7">
        <v>2022</v>
      </c>
      <c r="B48" s="7">
        <v>57</v>
      </c>
      <c r="C48" s="7">
        <v>48.740382656236072</v>
      </c>
      <c r="D48" s="7">
        <v>28.818873327435774</v>
      </c>
      <c r="E48" s="8">
        <v>23.134848018725489</v>
      </c>
      <c r="F48" s="8">
        <v>24.07772048218769</v>
      </c>
      <c r="G48" s="8">
        <v>0.48290203627643941</v>
      </c>
      <c r="H48" s="8">
        <v>75.349091826979318</v>
      </c>
      <c r="I48" s="8">
        <v>32.872931715801677</v>
      </c>
      <c r="J48" s="8">
        <v>27.000871855438199</v>
      </c>
      <c r="K48" s="8">
        <v>30.847100914552509</v>
      </c>
      <c r="L48" s="8">
        <v>0.61932034534917968</v>
      </c>
      <c r="M48" s="8">
        <v>65.561585169825875</v>
      </c>
      <c r="N48" s="8">
        <v>43.423745600420439</v>
      </c>
      <c r="O48" s="8">
        <v>290.22699999999998</v>
      </c>
      <c r="P48" s="8">
        <v>284.76900000000001</v>
      </c>
      <c r="Q48" s="8">
        <v>101.43899999999999</v>
      </c>
      <c r="R48" s="8">
        <v>-0.88743799999999995</v>
      </c>
      <c r="S48" s="8">
        <v>-0.30932399999999999</v>
      </c>
      <c r="T48" s="7">
        <f>C48-D48</f>
        <v>19.921509328800298</v>
      </c>
      <c r="U48" s="8">
        <f>D48/C48</f>
        <v>0.59127302160703399</v>
      </c>
      <c r="V48" s="8">
        <v>27.236758785684998</v>
      </c>
      <c r="W48" s="8">
        <v>28.981963452636531</v>
      </c>
      <c r="X48" s="8">
        <v>0.61276117142114017</v>
      </c>
      <c r="Y48" s="8">
        <v>67.802233833181376</v>
      </c>
      <c r="Z48" s="8">
        <v>41.767073160710076</v>
      </c>
      <c r="AA48" s="7">
        <v>27.118815320561598</v>
      </c>
      <c r="AB48" s="7">
        <v>29.91453218359452</v>
      </c>
      <c r="AC48" s="7">
        <v>0.61604075838515993</v>
      </c>
      <c r="AD48" s="7">
        <v>66.681909501503625</v>
      </c>
      <c r="AE48" s="7">
        <v>42.595409380565258</v>
      </c>
      <c r="AF48" s="8">
        <v>25.05234907480277</v>
      </c>
      <c r="AG48" s="8">
        <v>32.481880951273617</v>
      </c>
      <c r="AH48" s="8">
        <v>0.5872517194946667</v>
      </c>
      <c r="AI48" s="8">
        <v>64.906585202056419</v>
      </c>
      <c r="AJ48" s="8">
        <v>40.498041906155791</v>
      </c>
      <c r="AK48" s="8">
        <v>27.138330396349211</v>
      </c>
      <c r="AL48" s="8">
        <v>30.73177535572848</v>
      </c>
      <c r="AM48" s="8">
        <v>0.62158262658232222</v>
      </c>
      <c r="AN48" s="8">
        <v>65.607792143006336</v>
      </c>
      <c r="AO48" s="8">
        <v>43.630139369560958</v>
      </c>
      <c r="AP48" s="8">
        <v>26.451184716809429</v>
      </c>
      <c r="AQ48" s="8">
        <v>30.552163006886129</v>
      </c>
      <c r="AR48" s="8">
        <v>0.60043546199725917</v>
      </c>
      <c r="AS48" s="8">
        <v>66.221675335707118</v>
      </c>
      <c r="AT48" s="8">
        <v>41.691885739121751</v>
      </c>
      <c r="AU48" s="8">
        <v>34.73915711146028</v>
      </c>
      <c r="AV48" s="8">
        <v>29.040826371970329</v>
      </c>
      <c r="AW48" s="8">
        <v>0.5347658323351856</v>
      </c>
      <c r="AX48" s="8">
        <v>66.843825796233062</v>
      </c>
      <c r="AY48" s="8">
        <v>53.0900228562503</v>
      </c>
      <c r="AZ48" s="8">
        <v>29.064643324138299</v>
      </c>
      <c r="BA48" s="8">
        <v>29.335307754666509</v>
      </c>
      <c r="BB48" s="8">
        <v>0.62639290138444992</v>
      </c>
      <c r="BC48" s="8">
        <v>66.160485392374255</v>
      </c>
      <c r="BD48" s="8">
        <v>46.456985275086488</v>
      </c>
      <c r="BE48" s="8">
        <v>31.753854453000251</v>
      </c>
      <c r="BF48" s="8">
        <v>23.77184594302711</v>
      </c>
      <c r="BG48" s="8">
        <v>0.45518393815361158</v>
      </c>
      <c r="BH48" s="8">
        <v>70.005148240154767</v>
      </c>
      <c r="BI48" s="8">
        <v>52.96848208543846</v>
      </c>
    </row>
    <row r="49" spans="1:61" x14ac:dyDescent="0.15">
      <c r="A49" s="7">
        <v>2022</v>
      </c>
      <c r="B49" s="7">
        <v>108</v>
      </c>
      <c r="C49" s="7">
        <v>54.98779633441773</v>
      </c>
      <c r="D49" s="7">
        <v>49.254579401618088</v>
      </c>
      <c r="E49" s="8">
        <v>17.637530478205509</v>
      </c>
      <c r="F49" s="8">
        <v>8.889508677525928</v>
      </c>
      <c r="G49" s="8">
        <v>0.4843435854563114</v>
      </c>
      <c r="H49" s="8">
        <v>54.143915833445071</v>
      </c>
      <c r="I49" s="8">
        <v>24.745542525477038</v>
      </c>
      <c r="J49" s="8">
        <v>22.763885360513012</v>
      </c>
      <c r="K49" s="8">
        <v>13.13598913928486</v>
      </c>
      <c r="L49" s="8">
        <v>0.56593827265721408</v>
      </c>
      <c r="M49" s="8">
        <v>55.176343381359892</v>
      </c>
      <c r="N49" s="8">
        <v>34.061339145085839</v>
      </c>
      <c r="O49" s="8">
        <v>292.23899999999998</v>
      </c>
      <c r="P49" s="8">
        <v>287.565</v>
      </c>
      <c r="Q49" s="8">
        <v>96.286699999999996</v>
      </c>
      <c r="R49" s="8">
        <v>-0.54188199999999997</v>
      </c>
      <c r="S49" s="8">
        <v>-0.54991599999999996</v>
      </c>
      <c r="T49" s="7">
        <f>C49-D49</f>
        <v>5.7332169327996425</v>
      </c>
      <c r="U49" s="8">
        <f>D49/C49</f>
        <v>0.89573655765486404</v>
      </c>
      <c r="V49" s="8">
        <v>15.362149484101412</v>
      </c>
      <c r="W49" s="8">
        <v>5.8497806814595101</v>
      </c>
      <c r="X49" s="8">
        <v>0.45273119061511424</v>
      </c>
      <c r="Y49" s="8">
        <v>53.745526394828765</v>
      </c>
      <c r="Z49" s="8">
        <v>19.934233802316243</v>
      </c>
      <c r="AA49" s="7">
        <v>19.063017422307212</v>
      </c>
      <c r="AB49" s="7">
        <v>9.4928849103721848</v>
      </c>
      <c r="AC49" s="7">
        <v>0.50933473163616416</v>
      </c>
      <c r="AD49" s="7">
        <v>54.460934888094329</v>
      </c>
      <c r="AE49" s="7">
        <v>26.997786473701041</v>
      </c>
      <c r="AF49" s="8">
        <v>23.45050601388618</v>
      </c>
      <c r="AG49" s="8">
        <v>12.90503373150567</v>
      </c>
      <c r="AH49" s="8">
        <v>0.54699782046870382</v>
      </c>
      <c r="AI49" s="8">
        <v>54.976358362187412</v>
      </c>
      <c r="AJ49" s="8">
        <v>35.168219606340386</v>
      </c>
      <c r="AK49" s="8">
        <v>22.654194958080279</v>
      </c>
      <c r="AL49" s="8">
        <v>13.172885191710391</v>
      </c>
      <c r="AM49" s="8">
        <v>0.56896408583747438</v>
      </c>
      <c r="AN49" s="8">
        <v>55.208291790027438</v>
      </c>
      <c r="AO49" s="8">
        <v>33.884510553281231</v>
      </c>
      <c r="AP49" s="8">
        <v>23.38309403289589</v>
      </c>
      <c r="AQ49" s="8">
        <v>10.92413416957262</v>
      </c>
      <c r="AR49" s="8">
        <v>0.56749919212769562</v>
      </c>
      <c r="AS49" s="8">
        <v>55.189211940786187</v>
      </c>
      <c r="AT49" s="8">
        <v>33.416332029804153</v>
      </c>
      <c r="AU49" s="8">
        <v>22.926022326166429</v>
      </c>
      <c r="AV49" s="8">
        <v>18.028591918338009</v>
      </c>
      <c r="AW49" s="8">
        <v>0.62164248433923031</v>
      </c>
      <c r="AX49" s="8">
        <v>58.751391162554917</v>
      </c>
      <c r="AY49" s="8">
        <v>38.732286668563439</v>
      </c>
      <c r="AZ49" s="8">
        <v>22.391671344902541</v>
      </c>
      <c r="BA49" s="8">
        <v>15.75971060235581</v>
      </c>
      <c r="BB49" s="8">
        <v>0.61930209367045386</v>
      </c>
      <c r="BC49" s="8">
        <v>56.402426383288798</v>
      </c>
      <c r="BD49" s="8">
        <v>35.831593989805533</v>
      </c>
      <c r="BE49" s="8">
        <v>24.593811482439499</v>
      </c>
      <c r="BF49" s="8">
        <v>21.13808174194542</v>
      </c>
      <c r="BG49" s="8">
        <v>0.5781413962293398</v>
      </c>
      <c r="BH49" s="8">
        <v>57.766025114368666</v>
      </c>
      <c r="BI49" s="8">
        <v>39.851368472720807</v>
      </c>
    </row>
    <row r="50" spans="1:61" x14ac:dyDescent="0.15">
      <c r="A50" s="7">
        <v>2022</v>
      </c>
      <c r="B50" s="7">
        <v>58</v>
      </c>
      <c r="C50" s="7">
        <v>161.92758350297515</v>
      </c>
      <c r="D50" s="7">
        <v>66.950673589537956</v>
      </c>
      <c r="E50" s="8">
        <v>20.335346276765311</v>
      </c>
      <c r="F50" s="8">
        <v>11.238035434647291</v>
      </c>
      <c r="G50" s="8">
        <v>0.48545671176252692</v>
      </c>
      <c r="H50" s="8">
        <v>53.961989709259299</v>
      </c>
      <c r="I50" s="8">
        <v>31.819646929876829</v>
      </c>
      <c r="J50" s="8">
        <v>22.85816201136036</v>
      </c>
      <c r="K50" s="8">
        <v>12.76850504917121</v>
      </c>
      <c r="L50" s="8">
        <v>0.54440553341566189</v>
      </c>
      <c r="M50" s="8">
        <v>56.105371266216594</v>
      </c>
      <c r="N50" s="8">
        <v>33.22295194652159</v>
      </c>
      <c r="O50" s="8">
        <v>288.49400000000003</v>
      </c>
      <c r="P50" s="8">
        <v>284.35300000000001</v>
      </c>
      <c r="Q50" s="8">
        <v>88.091800000000006</v>
      </c>
      <c r="R50" s="8">
        <v>-0.58742300000000003</v>
      </c>
      <c r="S50" s="8">
        <v>0.43273299999999998</v>
      </c>
      <c r="T50" s="7">
        <f>C50-D50</f>
        <v>94.976909913437197</v>
      </c>
      <c r="U50" s="8">
        <f>D50/C50</f>
        <v>0.41346058615336434</v>
      </c>
      <c r="V50" s="8">
        <v>20.699221456050001</v>
      </c>
      <c r="W50" s="8">
        <v>9.9704974878758108</v>
      </c>
      <c r="X50" s="8">
        <v>0.45894561431120584</v>
      </c>
      <c r="Y50" s="8">
        <v>53.248634009354603</v>
      </c>
      <c r="Z50" s="8">
        <v>30.954126166824949</v>
      </c>
      <c r="AA50" s="7">
        <v>21.77869173370518</v>
      </c>
      <c r="AB50" s="7">
        <v>11.369501268523511</v>
      </c>
      <c r="AC50" s="7">
        <v>0.50167557386343387</v>
      </c>
      <c r="AD50" s="7">
        <v>54.677002637785598</v>
      </c>
      <c r="AE50" s="7">
        <v>32.08853905667327</v>
      </c>
      <c r="AF50" s="8">
        <v>22.61650627924157</v>
      </c>
      <c r="AG50" s="8">
        <v>13.34651498912052</v>
      </c>
      <c r="AH50" s="8">
        <v>0.53066317925205531</v>
      </c>
      <c r="AI50" s="8">
        <v>54.487812910370693</v>
      </c>
      <c r="AJ50" s="8">
        <v>34.445364114625107</v>
      </c>
      <c r="AK50" s="8">
        <v>22.8996053380517</v>
      </c>
      <c r="AL50" s="8">
        <v>12.66937785461997</v>
      </c>
      <c r="AM50" s="8">
        <v>0.54676231125046404</v>
      </c>
      <c r="AN50" s="8">
        <v>56.382778298095623</v>
      </c>
      <c r="AO50" s="8">
        <v>33.013311453453227</v>
      </c>
      <c r="AP50" s="8">
        <v>23.099381928006469</v>
      </c>
      <c r="AQ50" s="8">
        <v>11.170711503635131</v>
      </c>
      <c r="AR50" s="8">
        <v>0.5050755251271658</v>
      </c>
      <c r="AS50" s="8">
        <v>54.975403185668419</v>
      </c>
      <c r="AT50" s="8">
        <v>32.083287884085813</v>
      </c>
      <c r="AU50" s="8">
        <v>21.899798976182399</v>
      </c>
      <c r="AV50" s="8">
        <v>14.603462287769521</v>
      </c>
      <c r="AW50" s="8">
        <v>0.57267879238495534</v>
      </c>
      <c r="AX50" s="8">
        <v>58.637377906521273</v>
      </c>
      <c r="AY50" s="8">
        <v>34.652913692438737</v>
      </c>
      <c r="AZ50" s="8">
        <v>23.392089987389891</v>
      </c>
      <c r="BA50" s="8">
        <v>14.3532075616138</v>
      </c>
      <c r="BB50" s="8">
        <v>0.59014477255098274</v>
      </c>
      <c r="BC50" s="8">
        <v>58.680396837779931</v>
      </c>
      <c r="BD50" s="8">
        <v>34.4542600964107</v>
      </c>
      <c r="BE50" s="8">
        <v>23.628153645427151</v>
      </c>
      <c r="BF50" s="8">
        <v>22.520551312790921</v>
      </c>
      <c r="BG50" s="8">
        <v>0.53716740886393577</v>
      </c>
      <c r="BH50" s="8">
        <v>61.734261240919167</v>
      </c>
      <c r="BI50" s="8">
        <v>43.698983762779228</v>
      </c>
    </row>
    <row r="51" spans="1:61" x14ac:dyDescent="0.15">
      <c r="A51" s="7">
        <v>2020</v>
      </c>
      <c r="B51" s="7">
        <v>107</v>
      </c>
      <c r="C51" s="7">
        <v>23.063320058799384</v>
      </c>
      <c r="D51" s="7">
        <v>13.427913037212976</v>
      </c>
      <c r="E51" s="8">
        <v>16.45594922887242</v>
      </c>
      <c r="F51" s="8">
        <v>9.4695749351197627</v>
      </c>
      <c r="G51" s="8">
        <v>0.48582920703807281</v>
      </c>
      <c r="H51" s="8">
        <v>77.10148459573945</v>
      </c>
      <c r="I51" s="8">
        <v>24.71510200304926</v>
      </c>
      <c r="J51" s="8">
        <v>19.742456439278939</v>
      </c>
      <c r="K51" s="8">
        <v>12.989798393272171</v>
      </c>
      <c r="L51" s="8">
        <v>0.53350539367084571</v>
      </c>
      <c r="M51" s="8">
        <v>66.592689845123388</v>
      </c>
      <c r="N51" s="8">
        <v>33.035623803086807</v>
      </c>
      <c r="O51" s="8">
        <v>292.77800000000002</v>
      </c>
      <c r="P51" s="8">
        <v>288.161</v>
      </c>
      <c r="Q51" s="8">
        <v>95.745699999999999</v>
      </c>
      <c r="R51" s="8">
        <v>-6.8819699999999998E-2</v>
      </c>
      <c r="S51" s="8">
        <v>-6.3418799999999997E-2</v>
      </c>
      <c r="T51" s="7">
        <f>C51-D51</f>
        <v>9.635407021586408</v>
      </c>
      <c r="U51" s="8">
        <f>D51/C51</f>
        <v>0.58221942907520829</v>
      </c>
      <c r="V51" s="8">
        <v>13.975621353682342</v>
      </c>
      <c r="W51" s="8">
        <v>6.7165759962928604</v>
      </c>
      <c r="X51" s="8">
        <v>0.44596855915123113</v>
      </c>
      <c r="Y51" s="8">
        <v>85.485330211726691</v>
      </c>
      <c r="Z51" s="8">
        <v>18.147168801973756</v>
      </c>
      <c r="AA51" s="7">
        <v>16.859038896480641</v>
      </c>
      <c r="AB51" s="7">
        <v>9.8531871947825156</v>
      </c>
      <c r="AC51" s="7">
        <v>0.48973697641103842</v>
      </c>
      <c r="AD51" s="7">
        <v>76.039010028425039</v>
      </c>
      <c r="AE51" s="7">
        <v>25.591396302530281</v>
      </c>
      <c r="AF51" s="8">
        <v>19.91559574910195</v>
      </c>
      <c r="AG51" s="8">
        <v>12.7055988136755</v>
      </c>
      <c r="AH51" s="8">
        <v>0.53435245843096435</v>
      </c>
      <c r="AI51" s="8">
        <v>64.056497407809104</v>
      </c>
      <c r="AJ51" s="8">
        <v>33.167069014825188</v>
      </c>
      <c r="AK51" s="8">
        <v>19.70315126625302</v>
      </c>
      <c r="AL51" s="8">
        <v>13.05431588304015</v>
      </c>
      <c r="AM51" s="8">
        <v>0.53331309749619515</v>
      </c>
      <c r="AN51" s="8">
        <v>67.168442877046459</v>
      </c>
      <c r="AO51" s="8">
        <v>33.005783804324622</v>
      </c>
      <c r="AP51" s="8">
        <v>19.608204979818691</v>
      </c>
      <c r="AQ51" s="8">
        <v>11.9265031352233</v>
      </c>
      <c r="AR51" s="8">
        <v>0.4915376566298067</v>
      </c>
      <c r="AS51" s="8">
        <v>67.751806029508131</v>
      </c>
      <c r="AT51" s="8">
        <v>31.37496059727879</v>
      </c>
      <c r="AU51" s="8">
        <v>21.837548353136611</v>
      </c>
      <c r="AV51" s="8">
        <v>17.859849368187689</v>
      </c>
      <c r="AW51" s="8">
        <v>0.54458910351744882</v>
      </c>
      <c r="AX51" s="8">
        <v>63.71830556895118</v>
      </c>
      <c r="AY51" s="8">
        <v>36.541042853253131</v>
      </c>
      <c r="AZ51" s="8">
        <v>22.79813180149085</v>
      </c>
      <c r="BA51" s="8">
        <v>18.989558406295071</v>
      </c>
      <c r="BB51" s="8">
        <v>0.64415014595089493</v>
      </c>
      <c r="BC51" s="8">
        <v>63.14312585765029</v>
      </c>
      <c r="BD51" s="8">
        <v>40.214386831564077</v>
      </c>
      <c r="BE51" s="8">
        <v>26.256459443474501</v>
      </c>
      <c r="BF51" s="8">
        <v>23.396067387646021</v>
      </c>
      <c r="BG51" s="8">
        <v>0.71679115447669783</v>
      </c>
      <c r="BH51" s="8">
        <v>60.356832628365659</v>
      </c>
      <c r="BI51" s="8">
        <v>48.780897410667727</v>
      </c>
    </row>
    <row r="52" spans="1:61" x14ac:dyDescent="0.15">
      <c r="A52" s="7">
        <v>2020</v>
      </c>
      <c r="B52" s="7">
        <v>150</v>
      </c>
      <c r="C52" s="7">
        <v>0.95263623616626358</v>
      </c>
      <c r="D52" s="7">
        <v>0.50595441667984731</v>
      </c>
      <c r="E52" s="8">
        <v>16.103840280954241</v>
      </c>
      <c r="F52" s="8">
        <v>9.6636697523876975</v>
      </c>
      <c r="G52" s="8">
        <v>0.48629897957328871</v>
      </c>
      <c r="H52" s="8">
        <v>76.428066116991317</v>
      </c>
      <c r="I52" s="8">
        <v>23.4846755333127</v>
      </c>
      <c r="J52" s="8">
        <v>19.975856659721789</v>
      </c>
      <c r="K52" s="8">
        <v>13.16290560715264</v>
      </c>
      <c r="L52" s="8">
        <v>0.52037162947552851</v>
      </c>
      <c r="M52" s="8">
        <v>65.82555285704882</v>
      </c>
      <c r="N52" s="8">
        <v>32.047836622630847</v>
      </c>
      <c r="O52" s="8">
        <v>292.24599999999998</v>
      </c>
      <c r="P52" s="8">
        <v>287.60899999999998</v>
      </c>
      <c r="Q52" s="8">
        <v>95.793499999999995</v>
      </c>
      <c r="R52" s="8">
        <v>-0.119579</v>
      </c>
      <c r="S52" s="8">
        <v>-7.6810699999999996E-2</v>
      </c>
      <c r="T52" s="7">
        <f>C52-D52</f>
        <v>0.44668181948641628</v>
      </c>
      <c r="U52" s="8">
        <f>D52/C52</f>
        <v>0.53110977461447639</v>
      </c>
      <c r="V52" s="8">
        <v>13.345050452468254</v>
      </c>
      <c r="W52" s="8">
        <v>7.0838714658171416</v>
      </c>
      <c r="X52" s="8">
        <v>0.46212267051253808</v>
      </c>
      <c r="Y52" s="8">
        <v>84.454547360156653</v>
      </c>
      <c r="Z52" s="8">
        <v>16.993439188374154</v>
      </c>
      <c r="AA52" s="7">
        <v>16.660453556095021</v>
      </c>
      <c r="AB52" s="7">
        <v>10.123388536484891</v>
      </c>
      <c r="AC52" s="7">
        <v>0.49124714999403329</v>
      </c>
      <c r="AD52" s="7">
        <v>75.140050108602736</v>
      </c>
      <c r="AE52" s="7">
        <v>24.5206379055025</v>
      </c>
      <c r="AF52" s="8">
        <v>19.72630737096879</v>
      </c>
      <c r="AG52" s="8">
        <v>12.477423475948351</v>
      </c>
      <c r="AH52" s="8">
        <v>0.50966440251056733</v>
      </c>
      <c r="AI52" s="8">
        <v>63.147490221891744</v>
      </c>
      <c r="AJ52" s="8">
        <v>30.89106207939696</v>
      </c>
      <c r="AK52" s="8">
        <v>20.044943590854949</v>
      </c>
      <c r="AL52" s="8">
        <v>13.352679166629301</v>
      </c>
      <c r="AM52" s="8">
        <v>0.52333589138808256</v>
      </c>
      <c r="AN52" s="8">
        <v>66.566966025445055</v>
      </c>
      <c r="AO52" s="8">
        <v>32.368085995427492</v>
      </c>
      <c r="AP52" s="8">
        <v>20.68172282016663</v>
      </c>
      <c r="AQ52" s="8">
        <v>12.939549539499829</v>
      </c>
      <c r="AR52" s="8">
        <v>0.50552690803243927</v>
      </c>
      <c r="AS52" s="8">
        <v>64.620720632026405</v>
      </c>
      <c r="AT52" s="8">
        <v>31.357669508394359</v>
      </c>
      <c r="AU52" s="8">
        <v>21.850259598056571</v>
      </c>
      <c r="AV52" s="8">
        <v>16.555750983005829</v>
      </c>
      <c r="AW52" s="8">
        <v>0.52540824185017421</v>
      </c>
      <c r="AX52" s="8">
        <v>62.461847336468942</v>
      </c>
      <c r="AY52" s="8">
        <v>35.032987820521569</v>
      </c>
      <c r="AZ52" s="8">
        <v>23.501031654100231</v>
      </c>
      <c r="BA52" s="8">
        <v>18.130545024329859</v>
      </c>
      <c r="BB52" s="8">
        <v>0.61007187105481742</v>
      </c>
      <c r="BC52" s="8">
        <v>63.385463572281267</v>
      </c>
      <c r="BD52" s="8">
        <v>40.619765839454622</v>
      </c>
      <c r="BE52" s="8">
        <v>31.925412344115809</v>
      </c>
      <c r="BF52" s="8">
        <v>26.40844609528531</v>
      </c>
      <c r="BG52" s="8">
        <v>0.61883386146842301</v>
      </c>
      <c r="BH52" s="8">
        <v>58.984046348601026</v>
      </c>
      <c r="BI52" s="8">
        <v>54.593538208594893</v>
      </c>
    </row>
    <row r="53" spans="1:61" x14ac:dyDescent="0.15">
      <c r="A53" s="7">
        <v>2022</v>
      </c>
      <c r="B53" s="7">
        <v>95</v>
      </c>
      <c r="C53" s="7">
        <v>8.4595346802193916</v>
      </c>
      <c r="D53" s="7">
        <v>4.9925381576798991</v>
      </c>
      <c r="E53" s="8">
        <v>23.08324002600153</v>
      </c>
      <c r="F53" s="8">
        <v>16.230212403289482</v>
      </c>
      <c r="G53" s="8">
        <v>0.48845480589405788</v>
      </c>
      <c r="H53" s="8">
        <v>56.154723151522347</v>
      </c>
      <c r="I53" s="8">
        <v>39.560656457665679</v>
      </c>
      <c r="J53" s="8">
        <v>27.611918742988991</v>
      </c>
      <c r="K53" s="8">
        <v>22.066820059480651</v>
      </c>
      <c r="L53" s="8">
        <v>0.56260737998167143</v>
      </c>
      <c r="M53" s="8">
        <v>58.114079947950287</v>
      </c>
      <c r="N53" s="8">
        <v>44.899395162787073</v>
      </c>
      <c r="O53" s="8">
        <v>289.89699999999999</v>
      </c>
      <c r="P53" s="8">
        <v>285.77800000000002</v>
      </c>
      <c r="Q53" s="8">
        <v>91.795299999999997</v>
      </c>
      <c r="R53" s="8">
        <v>2.51007E-2</v>
      </c>
      <c r="S53" s="8">
        <v>-0.44170199999999998</v>
      </c>
      <c r="T53" s="7">
        <f>C53-D53</f>
        <v>3.4669965225394925</v>
      </c>
      <c r="U53" s="8">
        <f>D53/C53</f>
        <v>0.59016699456930666</v>
      </c>
      <c r="V53" s="8">
        <v>23.97291389279971</v>
      </c>
      <c r="W53" s="8">
        <v>16.153431233753228</v>
      </c>
      <c r="X53" s="8">
        <v>0.47041142355809662</v>
      </c>
      <c r="Y53" s="8">
        <v>54.931108059256573</v>
      </c>
      <c r="Z53" s="8">
        <v>38.807102994170293</v>
      </c>
      <c r="AA53" s="7">
        <v>25.79241631789435</v>
      </c>
      <c r="AB53" s="7">
        <v>19.11012564661694</v>
      </c>
      <c r="AC53" s="7">
        <v>0.51650940176988402</v>
      </c>
      <c r="AD53" s="7">
        <v>56.52259400360343</v>
      </c>
      <c r="AE53" s="7">
        <v>41.853249078478683</v>
      </c>
      <c r="AF53" s="8">
        <v>26.510198629611551</v>
      </c>
      <c r="AG53" s="8">
        <v>22.794172266324601</v>
      </c>
      <c r="AH53" s="8">
        <v>0.57703195299175369</v>
      </c>
      <c r="AI53" s="8">
        <v>57.554918958398481</v>
      </c>
      <c r="AJ53" s="8">
        <v>45.198558035727856</v>
      </c>
      <c r="AK53" s="8">
        <v>27.751737183961119</v>
      </c>
      <c r="AL53" s="8">
        <v>21.97451235776612</v>
      </c>
      <c r="AM53" s="8">
        <v>0.56077676866263526</v>
      </c>
      <c r="AN53" s="8">
        <v>58.185042633356773</v>
      </c>
      <c r="AO53" s="8">
        <v>44.861428635732302</v>
      </c>
      <c r="AP53" s="8">
        <v>27.24914153941949</v>
      </c>
      <c r="AQ53" s="8">
        <v>20.744559075956222</v>
      </c>
      <c r="AR53" s="8">
        <v>0.52214692048044653</v>
      </c>
      <c r="AS53" s="8">
        <v>56.660263023015517</v>
      </c>
      <c r="AT53" s="8">
        <v>43.127821980077258</v>
      </c>
      <c r="AU53" s="8">
        <v>24.90518925587979</v>
      </c>
      <c r="AV53" s="8">
        <v>22.437079104232058</v>
      </c>
      <c r="AW53" s="8">
        <v>0.5322363585822053</v>
      </c>
      <c r="AX53" s="8">
        <v>62.762447346846628</v>
      </c>
      <c r="AY53" s="8">
        <v>41.486628466945483</v>
      </c>
      <c r="AZ53" s="8">
        <v>28.403170448150171</v>
      </c>
      <c r="BA53" s="8">
        <v>24.5513139331606</v>
      </c>
      <c r="BB53" s="8">
        <v>0.61913338166487319</v>
      </c>
      <c r="BC53" s="8">
        <v>58.735996384651678</v>
      </c>
      <c r="BD53" s="8">
        <v>46.233651322298407</v>
      </c>
      <c r="BE53" s="8">
        <v>26.497213313786371</v>
      </c>
      <c r="BF53" s="8">
        <v>29.876153320468099</v>
      </c>
      <c r="BG53" s="8">
        <v>0.45909625010045468</v>
      </c>
      <c r="BH53" s="8">
        <v>55.653379643215523</v>
      </c>
      <c r="BI53" s="8">
        <v>48.22766321293129</v>
      </c>
    </row>
    <row r="54" spans="1:61" x14ac:dyDescent="0.15">
      <c r="A54" s="7">
        <v>2021</v>
      </c>
      <c r="B54" s="7">
        <v>110</v>
      </c>
      <c r="C54" s="7">
        <v>22.253715332601256</v>
      </c>
      <c r="D54" s="7">
        <v>12.304186093765363</v>
      </c>
      <c r="E54" s="8">
        <v>22.23699574846491</v>
      </c>
      <c r="F54" s="8">
        <v>10.799030643829569</v>
      </c>
      <c r="G54" s="8">
        <v>0.4898954459302865</v>
      </c>
      <c r="H54" s="8">
        <v>71.14913466480516</v>
      </c>
      <c r="I54" s="8">
        <v>36.732851173529561</v>
      </c>
      <c r="J54" s="8">
        <v>34.930950865855209</v>
      </c>
      <c r="K54" s="8">
        <v>19.04193736986959</v>
      </c>
      <c r="L54" s="8">
        <v>0.59474019216540064</v>
      </c>
      <c r="M54" s="8">
        <v>64.081309213375675</v>
      </c>
      <c r="N54" s="8">
        <v>44.786265405374337</v>
      </c>
      <c r="O54" s="8">
        <v>291.24400000000003</v>
      </c>
      <c r="P54" s="8">
        <v>286.76400000000001</v>
      </c>
      <c r="Q54" s="8">
        <v>100.60599999999999</v>
      </c>
      <c r="R54" s="8">
        <v>-0.32140600000000003</v>
      </c>
      <c r="S54" s="8">
        <v>-0.701434</v>
      </c>
      <c r="T54" s="7">
        <f>C54-D54</f>
        <v>9.9495292388358934</v>
      </c>
      <c r="U54" s="8">
        <f>D54/C54</f>
        <v>0.55290480307977929</v>
      </c>
      <c r="V54" s="8">
        <v>32.523780358619916</v>
      </c>
      <c r="W54" s="8">
        <v>17.70409565863709</v>
      </c>
      <c r="X54" s="8">
        <v>0.65082416561206113</v>
      </c>
      <c r="Y54" s="8">
        <v>62.686559946580246</v>
      </c>
      <c r="Z54" s="8">
        <v>45.752292019648223</v>
      </c>
      <c r="AA54" s="7">
        <v>33.727365612237563</v>
      </c>
      <c r="AB54" s="7">
        <v>18.37301651425334</v>
      </c>
      <c r="AC54" s="7">
        <v>0.62278217888873089</v>
      </c>
      <c r="AD54" s="7">
        <v>63.383934579977961</v>
      </c>
      <c r="AE54" s="7">
        <v>45.26927871251128</v>
      </c>
      <c r="AF54" s="8">
        <v>36.048400986829868</v>
      </c>
      <c r="AG54" s="8">
        <v>19.40615940475492</v>
      </c>
      <c r="AH54" s="8">
        <v>0.61787337204498327</v>
      </c>
      <c r="AI54" s="8">
        <v>63.82792888059754</v>
      </c>
      <c r="AJ54" s="8">
        <v>46.645991735266449</v>
      </c>
      <c r="AK54" s="8">
        <v>34.692554765219413</v>
      </c>
      <c r="AL54" s="8">
        <v>18.964234471769249</v>
      </c>
      <c r="AM54" s="8">
        <v>0.58980497423031397</v>
      </c>
      <c r="AN54" s="8">
        <v>64.135365212993293</v>
      </c>
      <c r="AO54" s="8">
        <v>44.38951256873829</v>
      </c>
      <c r="AP54" s="8">
        <v>33.694735475064832</v>
      </c>
      <c r="AQ54" s="8">
        <v>18.835395286200011</v>
      </c>
      <c r="AR54" s="8">
        <v>0.59565504907285938</v>
      </c>
      <c r="AS54" s="8">
        <v>62.836200383168567</v>
      </c>
      <c r="AT54" s="8">
        <v>44.69190813158275</v>
      </c>
      <c r="AU54" s="8">
        <v>30.05707999540649</v>
      </c>
      <c r="AV54" s="8">
        <v>21.77428799995484</v>
      </c>
      <c r="AW54" s="8">
        <v>0.59637486760689584</v>
      </c>
      <c r="AX54" s="8">
        <v>63.251032348524369</v>
      </c>
      <c r="AY54" s="8">
        <v>49.611777651152998</v>
      </c>
      <c r="AZ54" s="8">
        <v>34.329045338484541</v>
      </c>
      <c r="BA54" s="8">
        <v>19.49843171773421</v>
      </c>
      <c r="BB54" s="8">
        <v>0.6177214797645072</v>
      </c>
      <c r="BC54" s="8">
        <v>65.411993715316058</v>
      </c>
      <c r="BD54" s="8">
        <v>45.312280163396402</v>
      </c>
      <c r="BE54" s="8">
        <v>34.959615490780493</v>
      </c>
      <c r="BF54" s="8">
        <v>25.81446688974264</v>
      </c>
      <c r="BG54" s="8">
        <v>0.52389911073821704</v>
      </c>
      <c r="BH54" s="8">
        <v>61.853086010429138</v>
      </c>
      <c r="BI54" s="8">
        <v>61.544603858389529</v>
      </c>
    </row>
    <row r="55" spans="1:61" x14ac:dyDescent="0.15">
      <c r="A55" s="7">
        <v>2021</v>
      </c>
      <c r="B55" s="7">
        <v>47</v>
      </c>
      <c r="C55" s="7">
        <v>2.0852045724497472</v>
      </c>
      <c r="D55" s="7">
        <v>0.5679131160059927</v>
      </c>
      <c r="E55" s="8">
        <v>16.029495326368771</v>
      </c>
      <c r="F55" s="8">
        <v>9.2781238080784512</v>
      </c>
      <c r="G55" s="8">
        <v>0.48996667063988658</v>
      </c>
      <c r="H55" s="8">
        <v>70.362538154880184</v>
      </c>
      <c r="I55" s="8">
        <v>23.77443175027657</v>
      </c>
      <c r="J55" s="8">
        <v>19.523104537437021</v>
      </c>
      <c r="K55" s="8">
        <v>14.68151200227542</v>
      </c>
      <c r="L55" s="8">
        <v>0.55868596684156802</v>
      </c>
      <c r="M55" s="8">
        <v>66.059535149250564</v>
      </c>
      <c r="N55" s="8">
        <v>29.74777977416128</v>
      </c>
      <c r="O55" s="8">
        <v>294.57499999999999</v>
      </c>
      <c r="P55" s="8">
        <v>289.89999999999998</v>
      </c>
      <c r="Q55" s="8">
        <v>97.453100000000006</v>
      </c>
      <c r="R55" s="8">
        <v>-0.74565199999999998</v>
      </c>
      <c r="S55" s="8">
        <v>-0.41090300000000002</v>
      </c>
      <c r="T55" s="7">
        <f>C55-D55</f>
        <v>1.5172914564437545</v>
      </c>
      <c r="U55" s="8">
        <f>D55/C55</f>
        <v>0.27235366904015323</v>
      </c>
      <c r="V55" s="8">
        <v>15.170669079563062</v>
      </c>
      <c r="W55" s="8">
        <v>9.3860853715848211</v>
      </c>
      <c r="X55" s="8">
        <v>0.53318427927113099</v>
      </c>
      <c r="Y55" s="8">
        <v>70.52831017366691</v>
      </c>
      <c r="Z55" s="8">
        <v>23.820836955401177</v>
      </c>
      <c r="AA55" s="7">
        <v>17.346886808500042</v>
      </c>
      <c r="AB55" s="7">
        <v>12.033798686930121</v>
      </c>
      <c r="AC55" s="7">
        <v>0.5459351230563495</v>
      </c>
      <c r="AD55" s="7">
        <v>68.293922661458737</v>
      </c>
      <c r="AE55" s="7">
        <v>26.784308364781229</v>
      </c>
      <c r="AF55" s="8">
        <v>19.871456116296709</v>
      </c>
      <c r="AG55" s="8">
        <v>13.21680910395377</v>
      </c>
      <c r="AH55" s="8">
        <v>0.52026581718258713</v>
      </c>
      <c r="AI55" s="8">
        <v>62.03166680867318</v>
      </c>
      <c r="AJ55" s="8">
        <v>30.249903752941801</v>
      </c>
      <c r="AK55" s="8">
        <v>19.460685990749749</v>
      </c>
      <c r="AL55" s="8">
        <v>14.94396129715483</v>
      </c>
      <c r="AM55" s="8">
        <v>0.56557018970936956</v>
      </c>
      <c r="AN55" s="8">
        <v>66.781259129631124</v>
      </c>
      <c r="AO55" s="8">
        <v>29.65780788680857</v>
      </c>
      <c r="AP55" s="8">
        <v>20.34115918066388</v>
      </c>
      <c r="AQ55" s="8">
        <v>15.537355193349869</v>
      </c>
      <c r="AR55" s="8">
        <v>0.57521672486638586</v>
      </c>
      <c r="AS55" s="8">
        <v>64.776199962043563</v>
      </c>
      <c r="AT55" s="8">
        <v>30.310509448945488</v>
      </c>
      <c r="AU55" s="8">
        <v>17.416797140239439</v>
      </c>
      <c r="AV55" s="8">
        <v>14.640717613277371</v>
      </c>
      <c r="AW55" s="8">
        <v>0.5367037569635128</v>
      </c>
      <c r="AX55" s="8">
        <v>67.810067007438775</v>
      </c>
      <c r="AY55" s="8">
        <v>29.02897308147999</v>
      </c>
      <c r="AZ55" s="8">
        <v>18.36471354259757</v>
      </c>
      <c r="BA55" s="8">
        <v>15.75169006304913</v>
      </c>
      <c r="BB55" s="8">
        <v>0.58866746800659731</v>
      </c>
      <c r="BC55" s="8">
        <v>68.644275305485635</v>
      </c>
      <c r="BD55" s="8">
        <v>30.369180479216819</v>
      </c>
      <c r="BE55" s="8">
        <v>19.09675582629751</v>
      </c>
      <c r="BF55" s="8">
        <v>17.633051126758112</v>
      </c>
      <c r="BG55" s="8">
        <v>0.62600878144450922</v>
      </c>
      <c r="BH55" s="8">
        <v>68.400641046367241</v>
      </c>
      <c r="BI55" s="8">
        <v>33.732881625005248</v>
      </c>
    </row>
    <row r="56" spans="1:61" x14ac:dyDescent="0.15">
      <c r="A56" s="7">
        <v>2022</v>
      </c>
      <c r="B56" s="7">
        <v>137</v>
      </c>
      <c r="C56" s="7">
        <v>45.616462076752939</v>
      </c>
      <c r="D56" s="7">
        <v>39.772498854753458</v>
      </c>
      <c r="E56" s="8">
        <v>18.472833893584149</v>
      </c>
      <c r="F56" s="8">
        <v>9.9839027714341828</v>
      </c>
      <c r="G56" s="8">
        <v>0.49099098196816288</v>
      </c>
      <c r="H56" s="8">
        <v>54.236544224881008</v>
      </c>
      <c r="I56" s="8">
        <v>26.52991233146296</v>
      </c>
      <c r="J56" s="8">
        <v>21.679825255178269</v>
      </c>
      <c r="K56" s="8">
        <v>13.293614312052901</v>
      </c>
      <c r="L56" s="8">
        <v>0.56044270965359244</v>
      </c>
      <c r="M56" s="8">
        <v>54.497908985436503</v>
      </c>
      <c r="N56" s="8">
        <v>33.270962708109543</v>
      </c>
      <c r="O56" s="8">
        <v>291.44</v>
      </c>
      <c r="P56" s="8">
        <v>286.78199999999998</v>
      </c>
      <c r="Q56" s="8">
        <v>95.616100000000003</v>
      </c>
      <c r="R56" s="8">
        <v>-0.52460200000000001</v>
      </c>
      <c r="S56" s="8">
        <v>-0.47970699999999999</v>
      </c>
      <c r="T56" s="7">
        <f>C56-D56</f>
        <v>5.8439632219994806</v>
      </c>
      <c r="U56" s="8">
        <f>D56/C56</f>
        <v>0.87188916115049442</v>
      </c>
      <c r="V56" s="8">
        <v>17.538697796576653</v>
      </c>
      <c r="W56" s="8">
        <v>7.9373398275207006</v>
      </c>
      <c r="X56" s="8">
        <v>0.46599937136012359</v>
      </c>
      <c r="Y56" s="8">
        <v>53.922111729178432</v>
      </c>
      <c r="Z56" s="8">
        <v>23.342794834099976</v>
      </c>
      <c r="AA56" s="7">
        <v>19.609261525877461</v>
      </c>
      <c r="AB56" s="7">
        <v>10.615477069786801</v>
      </c>
      <c r="AC56" s="7">
        <v>0.51322104050685802</v>
      </c>
      <c r="AD56" s="7">
        <v>54.210010357307468</v>
      </c>
      <c r="AE56" s="7">
        <v>28.30687877110476</v>
      </c>
      <c r="AF56" s="8">
        <v>21.631233104200099</v>
      </c>
      <c r="AG56" s="8">
        <v>13.987035142595699</v>
      </c>
      <c r="AH56" s="8">
        <v>0.54955411124616671</v>
      </c>
      <c r="AI56" s="8">
        <v>53.844686473910897</v>
      </c>
      <c r="AJ56" s="8">
        <v>35.205697447384232</v>
      </c>
      <c r="AK56" s="8">
        <v>21.687329233440131</v>
      </c>
      <c r="AL56" s="8">
        <v>13.18653086886362</v>
      </c>
      <c r="AM56" s="8">
        <v>0.56212421179142058</v>
      </c>
      <c r="AN56" s="8">
        <v>54.59878469124439</v>
      </c>
      <c r="AO56" s="8">
        <v>32.972185907047383</v>
      </c>
      <c r="AP56" s="8">
        <v>23.67763382324685</v>
      </c>
      <c r="AQ56" s="8">
        <v>12.70957864216294</v>
      </c>
      <c r="AR56" s="8">
        <v>0.58265519883171402</v>
      </c>
      <c r="AS56" s="8">
        <v>53.804055440314499</v>
      </c>
      <c r="AT56" s="8">
        <v>34.460872014737618</v>
      </c>
      <c r="AU56" s="8">
        <v>19.645254444112521</v>
      </c>
      <c r="AV56" s="8">
        <v>9.5227989807158604</v>
      </c>
      <c r="AW56" s="8">
        <v>0.53834479968765969</v>
      </c>
      <c r="AX56" s="8">
        <v>59.204494572239668</v>
      </c>
      <c r="AY56" s="8">
        <v>27.620268262101529</v>
      </c>
      <c r="AZ56" s="8">
        <v>20.344136980547351</v>
      </c>
      <c r="BA56" s="8">
        <v>14.258124424826359</v>
      </c>
      <c r="BB56" s="8">
        <v>0.58988593964453029</v>
      </c>
      <c r="BC56" s="8">
        <v>56.652996184960251</v>
      </c>
      <c r="BD56" s="8">
        <v>32.805595644515037</v>
      </c>
      <c r="BE56" s="8">
        <v>26.954643685623999</v>
      </c>
      <c r="BF56" s="8">
        <v>20.41860224377621</v>
      </c>
      <c r="BG56" s="8">
        <v>0.59884720061632568</v>
      </c>
      <c r="BH56" s="8">
        <v>56.816036947093643</v>
      </c>
      <c r="BI56" s="8">
        <v>42.270040348437348</v>
      </c>
    </row>
    <row r="57" spans="1:61" x14ac:dyDescent="0.15">
      <c r="A57" s="7">
        <v>2022</v>
      </c>
      <c r="B57" s="7">
        <v>143</v>
      </c>
      <c r="C57" s="7">
        <v>40.334806081678551</v>
      </c>
      <c r="D57" s="7">
        <v>8.6360506588001389</v>
      </c>
      <c r="E57" s="8">
        <v>24.240700284590488</v>
      </c>
      <c r="F57" s="8">
        <v>14.50571380720028</v>
      </c>
      <c r="G57" s="8">
        <v>0.49130390051177342</v>
      </c>
      <c r="H57" s="8">
        <v>69.785432416971773</v>
      </c>
      <c r="I57" s="8">
        <v>39.148851786770571</v>
      </c>
      <c r="J57" s="8">
        <v>29.166463344667079</v>
      </c>
      <c r="K57" s="8">
        <v>18.29645080134274</v>
      </c>
      <c r="L57" s="8">
        <v>0.53940696859901849</v>
      </c>
      <c r="M57" s="8">
        <v>61.429962256079527</v>
      </c>
      <c r="N57" s="8">
        <v>46.940462381568707</v>
      </c>
      <c r="O57" s="8">
        <v>287.54899999999998</v>
      </c>
      <c r="P57" s="8">
        <v>282.14499999999998</v>
      </c>
      <c r="Q57" s="8">
        <v>92.4636</v>
      </c>
      <c r="R57" s="8">
        <v>-0.39111499999999999</v>
      </c>
      <c r="S57" s="8">
        <v>-0.119466</v>
      </c>
      <c r="T57" s="7">
        <f>C57-D57</f>
        <v>31.698755422878413</v>
      </c>
      <c r="U57" s="8">
        <f>D57/C57</f>
        <v>0.21410914041118767</v>
      </c>
      <c r="V57" s="8">
        <v>21.495472156665862</v>
      </c>
      <c r="W57" s="8">
        <v>12.677369406860102</v>
      </c>
      <c r="X57" s="8">
        <v>0.47203194956724037</v>
      </c>
      <c r="Y57" s="8">
        <v>73.581619618463264</v>
      </c>
      <c r="Z57" s="8">
        <v>34.418221704476537</v>
      </c>
      <c r="AA57" s="7">
        <v>25.330967750666471</v>
      </c>
      <c r="AB57" s="7">
        <v>15.486910104101421</v>
      </c>
      <c r="AC57" s="7">
        <v>0.50571945908312943</v>
      </c>
      <c r="AD57" s="7">
        <v>67.505790937271399</v>
      </c>
      <c r="AE57" s="7">
        <v>40.679342043022622</v>
      </c>
      <c r="AF57" s="8">
        <v>27.945112362614161</v>
      </c>
      <c r="AG57" s="8">
        <v>18.357871237661119</v>
      </c>
      <c r="AH57" s="8">
        <v>0.52529274703216711</v>
      </c>
      <c r="AI57" s="8">
        <v>60.682400571750897</v>
      </c>
      <c r="AJ57" s="8">
        <v>43.664943312557519</v>
      </c>
      <c r="AK57" s="8">
        <v>29.371310001300291</v>
      </c>
      <c r="AL57" s="8">
        <v>18.286149281784759</v>
      </c>
      <c r="AM57" s="8">
        <v>0.54177422513824036</v>
      </c>
      <c r="AN57" s="8">
        <v>61.555344323897899</v>
      </c>
      <c r="AO57" s="8">
        <v>47.489836918360297</v>
      </c>
      <c r="AP57" s="8">
        <v>29.004167001330899</v>
      </c>
      <c r="AQ57" s="8">
        <v>19.515167097199509</v>
      </c>
      <c r="AR57" s="8">
        <v>0.55114946919532148</v>
      </c>
      <c r="AS57" s="8">
        <v>55.422087102873263</v>
      </c>
      <c r="AT57" s="8">
        <v>46.370261223461682</v>
      </c>
      <c r="AU57" s="8">
        <v>27.214042192518409</v>
      </c>
      <c r="AV57" s="8">
        <v>17.872677988226759</v>
      </c>
      <c r="AW57" s="8">
        <v>0.51638107421541923</v>
      </c>
      <c r="AX57" s="8">
        <v>58.192721069305982</v>
      </c>
      <c r="AY57" s="8">
        <v>42.880452174437472</v>
      </c>
      <c r="AZ57" s="8">
        <v>32.769492063125107</v>
      </c>
      <c r="BA57" s="8">
        <v>20.282440365656459</v>
      </c>
      <c r="BB57" s="8">
        <v>0.58310088471295551</v>
      </c>
      <c r="BC57" s="8">
        <v>64.40182392673853</v>
      </c>
      <c r="BD57" s="8">
        <v>55.214736048004212</v>
      </c>
      <c r="BE57" s="8">
        <v>36.810196625609308</v>
      </c>
      <c r="BF57" s="8">
        <v>26.200825656490551</v>
      </c>
      <c r="BG57" s="8">
        <v>0.59020728531410338</v>
      </c>
      <c r="BH57" s="8">
        <v>64.215472837023427</v>
      </c>
      <c r="BI57" s="8">
        <v>77.083446293842542</v>
      </c>
    </row>
    <row r="58" spans="1:61" x14ac:dyDescent="0.15">
      <c r="A58" s="7">
        <v>2022</v>
      </c>
      <c r="B58" s="7">
        <v>8</v>
      </c>
      <c r="C58" s="7">
        <v>32.47584218444085</v>
      </c>
      <c r="D58" s="7">
        <v>5.9997742965864624</v>
      </c>
      <c r="E58" s="8">
        <v>26.103911375285509</v>
      </c>
      <c r="F58" s="8">
        <v>17.099256515902919</v>
      </c>
      <c r="G58" s="8">
        <v>0.4924048827148787</v>
      </c>
      <c r="H58" s="8">
        <v>66.623693307346542</v>
      </c>
      <c r="I58" s="8">
        <v>36.941694363255714</v>
      </c>
      <c r="J58" s="8">
        <v>32.885677912251232</v>
      </c>
      <c r="K58" s="8">
        <v>19.381640794006358</v>
      </c>
      <c r="L58" s="8">
        <v>0.54764556718639057</v>
      </c>
      <c r="M58" s="8">
        <v>65.8595793223366</v>
      </c>
      <c r="N58" s="8">
        <v>42.470281572607753</v>
      </c>
      <c r="O58" s="8">
        <v>291.36500000000001</v>
      </c>
      <c r="P58" s="8">
        <v>285.69499999999999</v>
      </c>
      <c r="Q58" s="8">
        <v>101.009</v>
      </c>
      <c r="R58" s="8">
        <v>-0.596576</v>
      </c>
      <c r="S58" s="8">
        <v>-0.52661999999999998</v>
      </c>
      <c r="T58" s="7">
        <f>C58-D58</f>
        <v>26.476067887854388</v>
      </c>
      <c r="U58" s="8">
        <f>D58/C58</f>
        <v>0.18474576463673509</v>
      </c>
      <c r="V58" s="8">
        <v>29.989640993783986</v>
      </c>
      <c r="W58" s="8">
        <v>18.723402428219302</v>
      </c>
      <c r="X58" s="8">
        <v>0.55907971462904837</v>
      </c>
      <c r="Y58" s="8">
        <v>60.895781925554175</v>
      </c>
      <c r="Z58" s="8">
        <v>37.520000166871931</v>
      </c>
      <c r="AA58" s="7">
        <v>31.437659453017609</v>
      </c>
      <c r="AB58" s="7">
        <v>19.05252161111283</v>
      </c>
      <c r="AC58" s="7">
        <v>0.55336264090771947</v>
      </c>
      <c r="AD58" s="7">
        <v>63.377680623945388</v>
      </c>
      <c r="AE58" s="7">
        <v>39.995140869739842</v>
      </c>
      <c r="AF58" s="8">
        <v>34.102280238613353</v>
      </c>
      <c r="AG58" s="8">
        <v>20.00343787239299</v>
      </c>
      <c r="AH58" s="8">
        <v>0.55167757005436302</v>
      </c>
      <c r="AI58" s="8">
        <v>63.332255246825468</v>
      </c>
      <c r="AJ58" s="8">
        <v>43.877677909523413</v>
      </c>
      <c r="AK58" s="8">
        <v>32.72467683941899</v>
      </c>
      <c r="AL58" s="8">
        <v>19.29935425342121</v>
      </c>
      <c r="AM58" s="8">
        <v>0.54711198544538964</v>
      </c>
      <c r="AN58" s="8">
        <v>66.194036916847949</v>
      </c>
      <c r="AO58" s="8">
        <v>42.284031460115258</v>
      </c>
      <c r="AP58" s="8">
        <v>31.668747487387471</v>
      </c>
      <c r="AQ58" s="8">
        <v>20.161191459317731</v>
      </c>
      <c r="AR58" s="8">
        <v>0.52383638140794808</v>
      </c>
      <c r="AS58" s="8">
        <v>62.139592437239997</v>
      </c>
      <c r="AT58" s="8">
        <v>38.709873868006603</v>
      </c>
      <c r="AU58" s="8">
        <v>30.952216380904229</v>
      </c>
      <c r="AV58" s="8">
        <v>22.291191447890181</v>
      </c>
      <c r="AW58" s="8">
        <v>0.55897689194417688</v>
      </c>
      <c r="AX58" s="8">
        <v>64.440497817982703</v>
      </c>
      <c r="AY58" s="8">
        <v>54.125899149413563</v>
      </c>
      <c r="AZ58" s="8">
        <v>32.598445690223372</v>
      </c>
      <c r="BA58" s="8">
        <v>19.977757875310079</v>
      </c>
      <c r="BB58" s="8">
        <v>0.55161221337673383</v>
      </c>
      <c r="BC58" s="8">
        <v>67.575465556865808</v>
      </c>
      <c r="BD58" s="8">
        <v>44.746008365556683</v>
      </c>
      <c r="BE58" s="8">
        <v>31.55807390799405</v>
      </c>
      <c r="BF58" s="8">
        <v>27.264602085463249</v>
      </c>
      <c r="BG58" s="8">
        <v>0.55386751490210473</v>
      </c>
      <c r="BH58" s="8">
        <v>60.307937061356881</v>
      </c>
      <c r="BI58" s="8">
        <v>57.840112949442023</v>
      </c>
    </row>
    <row r="59" spans="1:61" x14ac:dyDescent="0.15">
      <c r="A59" s="7">
        <v>2022</v>
      </c>
      <c r="B59" s="7">
        <v>107</v>
      </c>
      <c r="C59" s="7">
        <v>11.315968926695376</v>
      </c>
      <c r="D59" s="7">
        <v>0.10547292853251042</v>
      </c>
      <c r="E59" s="8">
        <v>13.48463265717062</v>
      </c>
      <c r="F59" s="8">
        <v>7.6426526392704774</v>
      </c>
      <c r="G59" s="8">
        <v>0.49349850847400328</v>
      </c>
      <c r="H59" s="8">
        <v>68.949541952221281</v>
      </c>
      <c r="I59" s="8">
        <v>19.843369964966399</v>
      </c>
      <c r="J59" s="8">
        <v>16.528968924081031</v>
      </c>
      <c r="K59" s="8">
        <v>12.579097628889681</v>
      </c>
      <c r="L59" s="8">
        <v>0.50732205154926246</v>
      </c>
      <c r="M59" s="8">
        <v>59.465449714920062</v>
      </c>
      <c r="N59" s="8">
        <v>27.10291408378276</v>
      </c>
      <c r="O59" s="8">
        <v>292.553</v>
      </c>
      <c r="P59" s="8">
        <v>287.529</v>
      </c>
      <c r="Q59" s="8">
        <v>95.686399999999992</v>
      </c>
      <c r="R59" s="8">
        <v>-0.18354899999999999</v>
      </c>
      <c r="S59" s="8">
        <v>-0.218107</v>
      </c>
      <c r="T59" s="7">
        <f>C59-D59</f>
        <v>11.210495998162866</v>
      </c>
      <c r="U59" s="8">
        <f>D59/C59</f>
        <v>9.3207156378531941E-3</v>
      </c>
      <c r="V59" s="8">
        <v>11.296360136766371</v>
      </c>
      <c r="W59" s="8">
        <v>3.8984355470517329</v>
      </c>
      <c r="X59" s="8">
        <v>0.48410342532471051</v>
      </c>
      <c r="Y59" s="8">
        <v>76.262513276263093</v>
      </c>
      <c r="Z59" s="8">
        <v>14.116724152695898</v>
      </c>
      <c r="AA59" s="7">
        <v>13.912664530423701</v>
      </c>
      <c r="AB59" s="7">
        <v>8.2387665879707068</v>
      </c>
      <c r="AC59" s="7">
        <v>0.49571273843698649</v>
      </c>
      <c r="AD59" s="7">
        <v>67.863981495591574</v>
      </c>
      <c r="AE59" s="7">
        <v>20.609819118239329</v>
      </c>
      <c r="AF59" s="8">
        <v>16.090698355380251</v>
      </c>
      <c r="AG59" s="8">
        <v>12.162747278143421</v>
      </c>
      <c r="AH59" s="8">
        <v>0.51677747668387208</v>
      </c>
      <c r="AI59" s="8">
        <v>59.159615555255833</v>
      </c>
      <c r="AJ59" s="8">
        <v>27.07907871158843</v>
      </c>
      <c r="AK59" s="8">
        <v>16.642663437171251</v>
      </c>
      <c r="AL59" s="8">
        <v>12.68710568095524</v>
      </c>
      <c r="AM59" s="8">
        <v>0.50486916049630559</v>
      </c>
      <c r="AN59" s="8">
        <v>59.544788069700431</v>
      </c>
      <c r="AO59" s="8">
        <v>27.109097366963269</v>
      </c>
      <c r="AP59" s="8">
        <v>17.271806350489381</v>
      </c>
      <c r="AQ59" s="8">
        <v>12.451509889234559</v>
      </c>
      <c r="AR59" s="8">
        <v>0.49286531641377079</v>
      </c>
      <c r="AS59" s="8">
        <v>59.33214659180905</v>
      </c>
      <c r="AT59" s="8">
        <v>26.001207842489329</v>
      </c>
      <c r="AU59" s="8">
        <v>18.28254923819938</v>
      </c>
      <c r="AV59" s="8">
        <v>17.214459092010689</v>
      </c>
      <c r="AW59" s="8">
        <v>0.52762025862974149</v>
      </c>
      <c r="AX59" s="8">
        <v>59.388340384564337</v>
      </c>
      <c r="AY59" s="8">
        <v>28.57369743826418</v>
      </c>
      <c r="AZ59" s="8">
        <v>17.796887201966179</v>
      </c>
      <c r="BA59" s="8">
        <v>16.835709349233181</v>
      </c>
      <c r="BB59" s="8">
        <v>0.54845759109210257</v>
      </c>
      <c r="BC59" s="8">
        <v>56.520222461321211</v>
      </c>
      <c r="BD59" s="8">
        <v>30.695768777954171</v>
      </c>
      <c r="BE59" s="8">
        <v>23.455050198019691</v>
      </c>
      <c r="BF59" s="8">
        <v>21.287332879627499</v>
      </c>
      <c r="BG59" s="8">
        <v>0.65540209265084537</v>
      </c>
      <c r="BH59" s="8">
        <v>58.186589719158214</v>
      </c>
      <c r="BI59" s="8">
        <v>40.572353172144659</v>
      </c>
    </row>
    <row r="60" spans="1:61" x14ac:dyDescent="0.15">
      <c r="A60" s="7">
        <v>2023</v>
      </c>
      <c r="B60" s="7">
        <v>112</v>
      </c>
      <c r="C60" s="9">
        <v>13.860044891754281</v>
      </c>
      <c r="D60" s="7">
        <v>8.996355327689745</v>
      </c>
      <c r="E60" s="8">
        <v>31.752951891815439</v>
      </c>
      <c r="F60" s="8">
        <v>14.28251205679555</v>
      </c>
      <c r="G60" s="8">
        <v>0.49461980589248861</v>
      </c>
      <c r="H60" s="8">
        <v>75.188506762445272</v>
      </c>
      <c r="I60" s="8">
        <v>64.239914643344321</v>
      </c>
      <c r="J60" s="8">
        <v>30.663251501242272</v>
      </c>
      <c r="K60" s="8">
        <v>20.86878008143449</v>
      </c>
      <c r="L60" s="8">
        <v>0.5314311046758381</v>
      </c>
      <c r="M60" s="8">
        <v>70.994201375433249</v>
      </c>
      <c r="N60" s="8">
        <v>76.050167410496329</v>
      </c>
      <c r="O60" s="7">
        <v>285.42</v>
      </c>
      <c r="P60" s="7">
        <v>277.60399999999998</v>
      </c>
      <c r="Q60" s="7">
        <v>89.965600000000009</v>
      </c>
      <c r="R60" s="7">
        <v>-0.28875400000000001</v>
      </c>
      <c r="S60" s="7">
        <v>-0.224158</v>
      </c>
      <c r="T60" s="7">
        <f>C60-D60</f>
        <v>4.8636895640645363</v>
      </c>
      <c r="U60" s="8">
        <f>D60/C60</f>
        <v>0.64908558362909219</v>
      </c>
      <c r="V60" s="8">
        <v>30.83845710091235</v>
      </c>
      <c r="W60" s="8">
        <v>15.761932160528811</v>
      </c>
      <c r="X60" s="8">
        <v>0.49110772532661684</v>
      </c>
      <c r="Y60" s="8">
        <v>72.271557970995872</v>
      </c>
      <c r="Z60" s="8">
        <v>67.51085098034207</v>
      </c>
      <c r="AA60" s="7">
        <v>30.750854301077311</v>
      </c>
      <c r="AB60" s="7">
        <v>18.315356120981651</v>
      </c>
      <c r="AC60" s="7">
        <v>0.51126941500122747</v>
      </c>
      <c r="AD60" s="7">
        <v>71.632879673214561</v>
      </c>
      <c r="AE60" s="7">
        <v>71.780509195419199</v>
      </c>
      <c r="AF60" s="8">
        <v>30.608668555650691</v>
      </c>
      <c r="AG60" s="8">
        <v>21.76248363556655</v>
      </c>
      <c r="AH60" s="8">
        <v>0.53827746687225331</v>
      </c>
      <c r="AI60" s="8">
        <v>70.76669581671716</v>
      </c>
      <c r="AJ60" s="8">
        <v>76.131811066241781</v>
      </c>
      <c r="AK60" s="8">
        <v>30.67036922810809</v>
      </c>
      <c r="AL60" s="8">
        <v>20.752239324456621</v>
      </c>
      <c r="AM60" s="8">
        <v>0.53053832515266608</v>
      </c>
      <c r="AN60" s="8">
        <v>71.023868561948149</v>
      </c>
      <c r="AO60" s="8">
        <v>76.039520912114369</v>
      </c>
      <c r="AP60" s="8">
        <v>30.279427005380558</v>
      </c>
      <c r="AQ60" s="8">
        <v>19.27538620947157</v>
      </c>
      <c r="AR60" s="8">
        <v>0.51388026049790358</v>
      </c>
      <c r="AS60" s="8">
        <v>70.841540018900432</v>
      </c>
      <c r="AT60" s="8">
        <v>73.646976378926439</v>
      </c>
      <c r="AU60" s="8">
        <v>32.077335425969132</v>
      </c>
      <c r="AV60" s="8">
        <v>15.399506951584209</v>
      </c>
      <c r="AW60" s="8">
        <v>0.48393375517223169</v>
      </c>
      <c r="AX60" s="8">
        <v>71.5146987434849</v>
      </c>
      <c r="AY60" s="8">
        <v>67.504223068308562</v>
      </c>
      <c r="AZ60" s="8">
        <v>31.333244304829339</v>
      </c>
      <c r="BA60" s="8">
        <v>21.611133584277528</v>
      </c>
      <c r="BB60" s="8">
        <v>0.53955881651861404</v>
      </c>
      <c r="BC60" s="8">
        <v>70.509971359827915</v>
      </c>
      <c r="BD60" s="8">
        <v>76.782004331075967</v>
      </c>
      <c r="BE60" s="8">
        <v>30.276508356079781</v>
      </c>
      <c r="BF60" s="8">
        <v>24.055425447193549</v>
      </c>
      <c r="BG60" s="8">
        <v>0.61004721376800541</v>
      </c>
      <c r="BH60" s="8">
        <v>65.346511863875122</v>
      </c>
      <c r="BI60" s="8">
        <v>72.523753649831249</v>
      </c>
    </row>
    <row r="61" spans="1:61" x14ac:dyDescent="0.15">
      <c r="A61" s="7">
        <v>2022</v>
      </c>
      <c r="B61" s="7">
        <v>150</v>
      </c>
      <c r="C61" s="7">
        <v>21.693426186047304</v>
      </c>
      <c r="D61" s="7">
        <v>13.787490834486647</v>
      </c>
      <c r="E61" s="8">
        <v>13.56264217218906</v>
      </c>
      <c r="F61" s="8">
        <v>8.880282949716106</v>
      </c>
      <c r="G61" s="8">
        <v>0.49540400764768727</v>
      </c>
      <c r="H61" s="8">
        <v>68.511482662259539</v>
      </c>
      <c r="I61" s="8">
        <v>19.93140015308099</v>
      </c>
      <c r="J61" s="8">
        <v>16.98691140519216</v>
      </c>
      <c r="K61" s="8">
        <v>13.965085977371199</v>
      </c>
      <c r="L61" s="8">
        <v>0.53378906518687697</v>
      </c>
      <c r="M61" s="8">
        <v>60.014898937078023</v>
      </c>
      <c r="N61" s="8">
        <v>27.230942401684398</v>
      </c>
      <c r="O61" s="8">
        <v>292.197</v>
      </c>
      <c r="P61" s="8">
        <v>286.85500000000002</v>
      </c>
      <c r="Q61" s="8">
        <v>95.738199999999992</v>
      </c>
      <c r="R61" s="8">
        <v>-0.228857</v>
      </c>
      <c r="S61" s="8">
        <v>-0.22109000000000001</v>
      </c>
      <c r="T61" s="7">
        <f>C61-D61</f>
        <v>7.9059353515606574</v>
      </c>
      <c r="U61" s="8">
        <f>D61/C61</f>
        <v>0.63556077847004333</v>
      </c>
      <c r="V61" s="8">
        <v>11.151053249902962</v>
      </c>
      <c r="W61" s="8">
        <v>5.058651227945159</v>
      </c>
      <c r="X61" s="8">
        <v>0.4692897777556152</v>
      </c>
      <c r="Y61" s="8">
        <v>74.832289955595769</v>
      </c>
      <c r="Z61" s="8">
        <v>14.4760530958707</v>
      </c>
      <c r="AA61" s="7">
        <v>14.068982327547561</v>
      </c>
      <c r="AB61" s="7">
        <v>9.5118686026581791</v>
      </c>
      <c r="AC61" s="7">
        <v>0.50153942147124608</v>
      </c>
      <c r="AD61" s="7">
        <v>67.423594446336892</v>
      </c>
      <c r="AE61" s="7">
        <v>20.853497748777549</v>
      </c>
      <c r="AF61" s="8">
        <v>16.630012239470179</v>
      </c>
      <c r="AG61" s="8">
        <v>13.86687028442914</v>
      </c>
      <c r="AH61" s="8">
        <v>0.54560584862532824</v>
      </c>
      <c r="AI61" s="8">
        <v>59.033461133248167</v>
      </c>
      <c r="AJ61" s="8">
        <v>27.329898072870112</v>
      </c>
      <c r="AK61" s="8">
        <v>17.07873529249585</v>
      </c>
      <c r="AL61" s="8">
        <v>13.99035515025346</v>
      </c>
      <c r="AM61" s="8">
        <v>0.53074881434025656</v>
      </c>
      <c r="AN61" s="8">
        <v>60.267405647515801</v>
      </c>
      <c r="AO61" s="8">
        <v>27.205482845395899</v>
      </c>
      <c r="AP61" s="8">
        <v>17.888811706941429</v>
      </c>
      <c r="AQ61" s="8">
        <v>13.93034179126432</v>
      </c>
      <c r="AR61" s="8">
        <v>0.53549775717512671</v>
      </c>
      <c r="AS61" s="8">
        <v>58.763667535569184</v>
      </c>
      <c r="AT61" s="8">
        <v>27.37291714423338</v>
      </c>
      <c r="AU61" s="8">
        <v>19.36052298361831</v>
      </c>
      <c r="AV61" s="8">
        <v>18.922479582372372</v>
      </c>
      <c r="AW61" s="8">
        <v>0.54999069526659283</v>
      </c>
      <c r="AX61" s="8">
        <v>58.902656075656367</v>
      </c>
      <c r="AY61" s="8">
        <v>28.996608483730771</v>
      </c>
      <c r="AZ61" s="8">
        <v>19.324795169334081</v>
      </c>
      <c r="BA61" s="8">
        <v>18.691100518505419</v>
      </c>
      <c r="BB61" s="8">
        <v>0.53616248876924</v>
      </c>
      <c r="BC61" s="8">
        <v>57.304031052663888</v>
      </c>
      <c r="BD61" s="8">
        <v>32.238971781571813</v>
      </c>
      <c r="BE61" s="8">
        <v>26.944126040314771</v>
      </c>
      <c r="BF61" s="8">
        <v>24.914693806214441</v>
      </c>
      <c r="BG61" s="8">
        <v>0.56695228108991413</v>
      </c>
      <c r="BH61" s="8">
        <v>58.193756973283421</v>
      </c>
      <c r="BI61" s="8">
        <v>43.378076302404608</v>
      </c>
    </row>
    <row r="62" spans="1:61" x14ac:dyDescent="0.15">
      <c r="A62" s="7">
        <v>2022</v>
      </c>
      <c r="B62" s="7">
        <v>123</v>
      </c>
      <c r="C62" s="7">
        <v>44.059115218645559</v>
      </c>
      <c r="D62" s="7">
        <v>14.676316127852349</v>
      </c>
      <c r="E62" s="8">
        <v>24.38882870584812</v>
      </c>
      <c r="F62" s="8">
        <v>16.820194439467219</v>
      </c>
      <c r="G62" s="8">
        <v>0.49545119892878853</v>
      </c>
      <c r="H62" s="8">
        <v>67.00390372325603</v>
      </c>
      <c r="I62" s="8">
        <v>34.31683128004353</v>
      </c>
      <c r="J62" s="8">
        <v>31.32645696793869</v>
      </c>
      <c r="K62" s="8">
        <v>21.123345392955031</v>
      </c>
      <c r="L62" s="8">
        <v>0.51489187862783836</v>
      </c>
      <c r="M62" s="8">
        <v>63.35168558011901</v>
      </c>
      <c r="N62" s="8">
        <v>40.36441434518062</v>
      </c>
      <c r="O62" s="8">
        <v>290.57900000000001</v>
      </c>
      <c r="P62" s="8">
        <v>285.18900000000002</v>
      </c>
      <c r="Q62" s="8">
        <v>99.23960000000001</v>
      </c>
      <c r="R62" s="8">
        <v>-0.644092</v>
      </c>
      <c r="S62" s="8">
        <v>-0.24382599999999999</v>
      </c>
      <c r="T62" s="7">
        <f>C62-D62</f>
        <v>29.38279909079321</v>
      </c>
      <c r="U62" s="8">
        <f>D62/C62</f>
        <v>0.3331051033371959</v>
      </c>
      <c r="V62" s="8">
        <v>24.031118520086189</v>
      </c>
      <c r="W62" s="8">
        <v>17.883159156609388</v>
      </c>
      <c r="X62" s="8">
        <v>0.54038854467394548</v>
      </c>
      <c r="Y62" s="8">
        <v>63.376027531288671</v>
      </c>
      <c r="Z62" s="8">
        <v>32.773820124456577</v>
      </c>
      <c r="AA62" s="7">
        <v>27.678787744012439</v>
      </c>
      <c r="AB62" s="7">
        <v>19.503252274782209</v>
      </c>
      <c r="AC62" s="7">
        <v>0.52764021165089192</v>
      </c>
      <c r="AD62" s="7">
        <v>63.36385655570384</v>
      </c>
      <c r="AE62" s="7">
        <v>36.569117234818599</v>
      </c>
      <c r="AF62" s="8">
        <v>32.060917900316987</v>
      </c>
      <c r="AG62" s="8">
        <v>22.432907176312082</v>
      </c>
      <c r="AH62" s="8">
        <v>0.53245474675135518</v>
      </c>
      <c r="AI62" s="8">
        <v>60.665562809972279</v>
      </c>
      <c r="AJ62" s="8">
        <v>42.373555011858727</v>
      </c>
      <c r="AK62" s="8">
        <v>31.213177819668569</v>
      </c>
      <c r="AL62" s="8">
        <v>20.921365904481188</v>
      </c>
      <c r="AM62" s="8">
        <v>0.5121830800321524</v>
      </c>
      <c r="AN62" s="8">
        <v>63.76597813965094</v>
      </c>
      <c r="AO62" s="8">
        <v>40.054535720678182</v>
      </c>
      <c r="AP62" s="8">
        <v>30.00285348487586</v>
      </c>
      <c r="AQ62" s="8">
        <v>21.973490876209379</v>
      </c>
      <c r="AR62" s="8">
        <v>0.53997051420629139</v>
      </c>
      <c r="AS62" s="8">
        <v>60.041682580995833</v>
      </c>
      <c r="AT62" s="8">
        <v>37.408288344160447</v>
      </c>
      <c r="AU62" s="8">
        <v>26.855165932963171</v>
      </c>
      <c r="AV62" s="8">
        <v>19.65946039717991</v>
      </c>
      <c r="AW62" s="8">
        <v>0.50357618821856542</v>
      </c>
      <c r="AX62" s="8">
        <v>66.512208867853005</v>
      </c>
      <c r="AY62" s="8">
        <v>37.297706090362873</v>
      </c>
      <c r="AZ62" s="8">
        <v>31.448916232721722</v>
      </c>
      <c r="BA62" s="8">
        <v>21.614883143529319</v>
      </c>
      <c r="BB62" s="8">
        <v>0.5014380432576474</v>
      </c>
      <c r="BC62" s="8">
        <v>66.288464455226318</v>
      </c>
      <c r="BD62" s="8">
        <v>43.990019587162116</v>
      </c>
      <c r="BE62" s="8">
        <v>29.100606496549819</v>
      </c>
      <c r="BF62" s="8">
        <v>24.820246669378498</v>
      </c>
      <c r="BG62" s="8">
        <v>0.49730304636372502</v>
      </c>
      <c r="BH62" s="8">
        <v>65.149428127520707</v>
      </c>
      <c r="BI62" s="8">
        <v>51.465383460078513</v>
      </c>
    </row>
    <row r="63" spans="1:61" x14ac:dyDescent="0.15">
      <c r="A63" s="7">
        <v>2023</v>
      </c>
      <c r="B63" s="7">
        <v>124</v>
      </c>
      <c r="C63" s="9">
        <v>11.020985098039874</v>
      </c>
      <c r="D63" s="7">
        <v>2.8978360486501842</v>
      </c>
      <c r="E63" s="8">
        <v>29.73429249955262</v>
      </c>
      <c r="F63" s="8">
        <v>14.50813741257452</v>
      </c>
      <c r="G63" s="8">
        <v>0.49570235768262472</v>
      </c>
      <c r="H63" s="8">
        <v>71.844603131551864</v>
      </c>
      <c r="I63" s="8">
        <v>51.953407715959102</v>
      </c>
      <c r="J63" s="8">
        <v>28.618951932928891</v>
      </c>
      <c r="K63" s="8">
        <v>18.754646399135321</v>
      </c>
      <c r="L63" s="8">
        <v>0.50033460110512096</v>
      </c>
      <c r="M63" s="8">
        <v>71.309332686788181</v>
      </c>
      <c r="N63" s="8">
        <v>69.267380698926956</v>
      </c>
      <c r="O63" s="7">
        <v>283.75</v>
      </c>
      <c r="P63" s="7">
        <v>278.04599999999999</v>
      </c>
      <c r="Q63" s="7">
        <v>85.707599999999999</v>
      </c>
      <c r="R63" s="7">
        <v>-0.22916600000000001</v>
      </c>
      <c r="S63" s="7">
        <v>1.10341E-2</v>
      </c>
      <c r="T63" s="7">
        <f>C63-D63</f>
        <v>8.1231490493896903</v>
      </c>
      <c r="U63" s="8">
        <f>D63/C63</f>
        <v>0.26293802440269842</v>
      </c>
      <c r="V63" s="8">
        <v>30.729443732727528</v>
      </c>
      <c r="W63" s="8">
        <v>11.58535447114582</v>
      </c>
      <c r="X63" s="8">
        <v>0.48154613666660739</v>
      </c>
      <c r="Y63" s="8">
        <v>71.756223651216956</v>
      </c>
      <c r="Z63" s="8">
        <v>46.306406136766228</v>
      </c>
      <c r="AA63" s="7">
        <v>29.674197832828209</v>
      </c>
      <c r="AB63" s="7">
        <v>15.170000435140571</v>
      </c>
      <c r="AC63" s="7">
        <v>0.49094036888586418</v>
      </c>
      <c r="AD63" s="7">
        <v>71.532778169002569</v>
      </c>
      <c r="AE63" s="7">
        <v>57.786893417846592</v>
      </c>
      <c r="AF63" s="8">
        <v>28.486076319728749</v>
      </c>
      <c r="AG63" s="8">
        <v>19.403609048990941</v>
      </c>
      <c r="AH63" s="8">
        <v>0.50463417973573932</v>
      </c>
      <c r="AI63" s="8">
        <v>71.010335057718663</v>
      </c>
      <c r="AJ63" s="8">
        <v>66.539457774051755</v>
      </c>
      <c r="AK63" s="8">
        <v>28.63825056186878</v>
      </c>
      <c r="AL63" s="8">
        <v>18.660392163359589</v>
      </c>
      <c r="AM63" s="8">
        <v>0.49971013758926702</v>
      </c>
      <c r="AN63" s="8">
        <v>71.352758595864714</v>
      </c>
      <c r="AO63" s="8">
        <v>69.663579602818302</v>
      </c>
      <c r="AP63" s="8">
        <v>29.221615339452221</v>
      </c>
      <c r="AQ63" s="8">
        <v>16.216652050560629</v>
      </c>
      <c r="AR63" s="8">
        <v>0.48377802849391099</v>
      </c>
      <c r="AS63" s="8">
        <v>70.860605271554419</v>
      </c>
      <c r="AT63" s="8">
        <v>67.264881858061983</v>
      </c>
      <c r="AU63" s="8">
        <v>31.741533052107339</v>
      </c>
      <c r="AV63" s="8">
        <v>13.54729516551977</v>
      </c>
      <c r="AW63" s="8">
        <v>0.45728566945410021</v>
      </c>
      <c r="AX63" s="8">
        <v>71.784721753660946</v>
      </c>
      <c r="AY63" s="8">
        <v>63.313723008669243</v>
      </c>
      <c r="AZ63" s="8">
        <v>28.138874203735899</v>
      </c>
      <c r="BA63" s="8">
        <v>21.48507296989035</v>
      </c>
      <c r="BB63" s="8">
        <v>0.51553315011788681</v>
      </c>
      <c r="BC63" s="8">
        <v>70.910768614265351</v>
      </c>
      <c r="BD63" s="8">
        <v>74.860239509656012</v>
      </c>
      <c r="BE63" s="8">
        <v>30.21127719128534</v>
      </c>
      <c r="BF63" s="8">
        <v>24.477582847936549</v>
      </c>
      <c r="BG63" s="8">
        <v>0.65529019407007272</v>
      </c>
      <c r="BH63" s="8">
        <v>64.153460695642877</v>
      </c>
      <c r="BI63" s="8">
        <v>73.005526827588071</v>
      </c>
    </row>
    <row r="64" spans="1:61" x14ac:dyDescent="0.15">
      <c r="A64" s="7">
        <v>2019</v>
      </c>
      <c r="B64" s="7">
        <v>107</v>
      </c>
      <c r="C64" s="7">
        <v>6.6650951505327898</v>
      </c>
      <c r="D64" s="7">
        <v>2.8162141412082118</v>
      </c>
      <c r="E64" s="8">
        <v>18.96765149398064</v>
      </c>
      <c r="F64" s="8">
        <v>10.538378749170841</v>
      </c>
      <c r="G64" s="8">
        <v>0.49734798306104111</v>
      </c>
      <c r="H64" s="8">
        <v>76.906347877536177</v>
      </c>
      <c r="I64" s="8">
        <v>28.088638140792622</v>
      </c>
      <c r="J64" s="8">
        <v>22.676554367605181</v>
      </c>
      <c r="K64" s="8">
        <v>14.034078140173021</v>
      </c>
      <c r="L64" s="8">
        <v>0.61466680071144042</v>
      </c>
      <c r="M64" s="8">
        <v>69.043782487962332</v>
      </c>
      <c r="N64" s="8">
        <v>35.927478772336457</v>
      </c>
      <c r="O64" s="8">
        <v>292.79599999999999</v>
      </c>
      <c r="P64" s="8">
        <v>287.93099999999998</v>
      </c>
      <c r="Q64" s="8">
        <v>95.652899999999988</v>
      </c>
      <c r="R64" s="8">
        <v>-0.17671400000000001</v>
      </c>
      <c r="S64" s="8">
        <v>-0.205017</v>
      </c>
      <c r="T64" s="7">
        <f>C64-D64</f>
        <v>3.848881009324578</v>
      </c>
      <c r="U64" s="8">
        <f>D64/C64</f>
        <v>0.42253172349431367</v>
      </c>
      <c r="V64" s="8">
        <v>16.133332130080742</v>
      </c>
      <c r="W64" s="8">
        <v>7.7106715969843176</v>
      </c>
      <c r="X64" s="8">
        <v>0.39957401300855078</v>
      </c>
      <c r="Y64" s="8">
        <v>83.324571127614846</v>
      </c>
      <c r="Z64" s="8">
        <v>21.954861753283204</v>
      </c>
      <c r="AA64" s="7">
        <v>19.404943248842962</v>
      </c>
      <c r="AB64" s="7">
        <v>10.872374868578669</v>
      </c>
      <c r="AC64" s="7">
        <v>0.5071204068599956</v>
      </c>
      <c r="AD64" s="7">
        <v>76.184176807788589</v>
      </c>
      <c r="AE64" s="7">
        <v>28.94117026280983</v>
      </c>
      <c r="AF64" s="8">
        <v>22.758214077110019</v>
      </c>
      <c r="AG64" s="8">
        <v>13.549197495569761</v>
      </c>
      <c r="AH64" s="8">
        <v>0.60891264421216817</v>
      </c>
      <c r="AI64" s="8">
        <v>67.376691795947508</v>
      </c>
      <c r="AJ64" s="8">
        <v>35.188624322600418</v>
      </c>
      <c r="AK64" s="8">
        <v>22.65527255666597</v>
      </c>
      <c r="AL64" s="8">
        <v>14.16044569975778</v>
      </c>
      <c r="AM64" s="8">
        <v>0.61616642484033679</v>
      </c>
      <c r="AN64" s="8">
        <v>69.478252670884871</v>
      </c>
      <c r="AO64" s="8">
        <v>36.12003591962759</v>
      </c>
      <c r="AP64" s="8">
        <v>22.497376369828689</v>
      </c>
      <c r="AQ64" s="8">
        <v>12.469541514122371</v>
      </c>
      <c r="AR64" s="8">
        <v>0.56013962581946863</v>
      </c>
      <c r="AS64" s="8">
        <v>71.103901302640196</v>
      </c>
      <c r="AT64" s="8">
        <v>34.744614907450867</v>
      </c>
      <c r="AU64" s="8">
        <v>24.99242123374685</v>
      </c>
      <c r="AV64" s="8">
        <v>18.467887161200721</v>
      </c>
      <c r="AW64" s="8">
        <v>0.58137251768982823</v>
      </c>
      <c r="AX64" s="8">
        <v>64.595106779850823</v>
      </c>
      <c r="AY64" s="8">
        <v>40.500224168045087</v>
      </c>
      <c r="AZ64" s="8">
        <v>25.837568924842209</v>
      </c>
      <c r="BA64" s="8">
        <v>20.303907384134909</v>
      </c>
      <c r="BB64" s="8">
        <v>0.74685500146982808</v>
      </c>
      <c r="BC64" s="8">
        <v>62.829394516684758</v>
      </c>
      <c r="BD64" s="8">
        <v>42.985609161314621</v>
      </c>
      <c r="BE64" s="8">
        <v>30.21754127021433</v>
      </c>
      <c r="BF64" s="8">
        <v>24.587445167780832</v>
      </c>
      <c r="BG64" s="8">
        <v>0.76700404453254889</v>
      </c>
      <c r="BH64" s="8">
        <v>60.132059828811833</v>
      </c>
      <c r="BI64" s="8">
        <v>54.028607147881537</v>
      </c>
    </row>
    <row r="65" spans="1:61" x14ac:dyDescent="0.15">
      <c r="A65" s="7">
        <v>2023</v>
      </c>
      <c r="B65" s="7">
        <v>115</v>
      </c>
      <c r="C65" s="9">
        <v>44.901856120948771</v>
      </c>
      <c r="D65" s="7">
        <v>37.555570253079971</v>
      </c>
      <c r="E65" s="8">
        <v>20.123419096128181</v>
      </c>
      <c r="F65" s="8">
        <v>8.8874354038966867</v>
      </c>
      <c r="G65" s="8">
        <v>0.49758796013938628</v>
      </c>
      <c r="H65" s="8">
        <v>65.752048599450191</v>
      </c>
      <c r="I65" s="8">
        <v>30.070793944700409</v>
      </c>
      <c r="J65" s="8">
        <v>23.446771598503759</v>
      </c>
      <c r="K65" s="8">
        <v>11.72921513516833</v>
      </c>
      <c r="L65" s="8">
        <v>0.52642093407940505</v>
      </c>
      <c r="M65" s="8">
        <v>61.211482193494859</v>
      </c>
      <c r="N65" s="8">
        <v>35.093506852696677</v>
      </c>
      <c r="O65" s="7">
        <v>292.06599999999997</v>
      </c>
      <c r="P65" s="7">
        <v>286.12900000000002</v>
      </c>
      <c r="Q65" s="7">
        <v>84.173299999999998</v>
      </c>
      <c r="R65" s="7">
        <v>0.25741900000000001</v>
      </c>
      <c r="S65" s="7">
        <v>1.01023</v>
      </c>
      <c r="T65" s="7">
        <f>C65-D65</f>
        <v>7.3462858678688008</v>
      </c>
      <c r="U65" s="8">
        <f>D65/C65</f>
        <v>0.83639237878985095</v>
      </c>
      <c r="V65" s="8">
        <v>19.510901956264583</v>
      </c>
      <c r="W65" s="8">
        <v>7.9177746989553608</v>
      </c>
      <c r="X65" s="8">
        <v>0.50835223372643545</v>
      </c>
      <c r="Y65" s="8">
        <v>65.629238834235565</v>
      </c>
      <c r="Z65" s="8">
        <v>29.200383362165468</v>
      </c>
      <c r="AA65" s="7">
        <v>21.478836777384171</v>
      </c>
      <c r="AB65" s="7">
        <v>9.8234949170618453</v>
      </c>
      <c r="AC65" s="7">
        <v>0.51738658390292025</v>
      </c>
      <c r="AD65" s="7">
        <v>63.420360513865212</v>
      </c>
      <c r="AE65" s="7">
        <v>32.146945107431073</v>
      </c>
      <c r="AF65" s="8">
        <v>24.267833985972139</v>
      </c>
      <c r="AG65" s="8">
        <v>12.11048778514809</v>
      </c>
      <c r="AH65" s="8">
        <v>0.5403227136857548</v>
      </c>
      <c r="AI65" s="8">
        <v>59.892427587801663</v>
      </c>
      <c r="AJ65" s="8">
        <v>35.517037257666829</v>
      </c>
      <c r="AK65" s="8">
        <v>23.317712059068018</v>
      </c>
      <c r="AL65" s="8">
        <v>11.66928439987116</v>
      </c>
      <c r="AM65" s="8">
        <v>0.52423576849306686</v>
      </c>
      <c r="AN65" s="8">
        <v>61.418819154120037</v>
      </c>
      <c r="AO65" s="8">
        <v>35.026933788534031</v>
      </c>
      <c r="AP65" s="8">
        <v>23.9043530978382</v>
      </c>
      <c r="AQ65" s="8">
        <v>11.47042012502161</v>
      </c>
      <c r="AR65" s="8">
        <v>0.54973681241234951</v>
      </c>
      <c r="AS65" s="8">
        <v>59.633501225255003</v>
      </c>
      <c r="AT65" s="8">
        <v>35.907446400504227</v>
      </c>
      <c r="AU65" s="8">
        <v>23.00893986437698</v>
      </c>
      <c r="AV65" s="8">
        <v>10.47034344951123</v>
      </c>
      <c r="AW65" s="8">
        <v>0.57685769232903605</v>
      </c>
      <c r="AX65" s="8">
        <v>58.681639491350403</v>
      </c>
      <c r="AY65" s="8">
        <v>34.190567788572842</v>
      </c>
      <c r="AZ65" s="8">
        <v>23.90852811426425</v>
      </c>
      <c r="BA65" s="8">
        <v>14.77804035810837</v>
      </c>
      <c r="BB65" s="8">
        <v>0.5664735900695167</v>
      </c>
      <c r="BC65" s="8">
        <v>55.816942239113438</v>
      </c>
      <c r="BD65" s="8">
        <v>38.863628145896968</v>
      </c>
      <c r="BE65" s="8">
        <v>20.046918006861009</v>
      </c>
      <c r="BF65" s="8">
        <v>17.140257238985711</v>
      </c>
      <c r="BG65" s="8">
        <v>0.61218977188929458</v>
      </c>
      <c r="BH65" s="8">
        <v>59.729582766995698</v>
      </c>
      <c r="BI65" s="8">
        <v>37.217198507156937</v>
      </c>
    </row>
    <row r="66" spans="1:61" x14ac:dyDescent="0.15">
      <c r="A66" s="7">
        <v>2022</v>
      </c>
      <c r="B66" s="7">
        <v>75</v>
      </c>
      <c r="C66" s="7">
        <v>49.773688086832763</v>
      </c>
      <c r="D66" s="7">
        <v>27.487145511299449</v>
      </c>
      <c r="E66" s="8">
        <v>27.99478531099431</v>
      </c>
      <c r="F66" s="8">
        <v>26.085276087671261</v>
      </c>
      <c r="G66" s="8">
        <v>0.49769428390344378</v>
      </c>
      <c r="H66" s="8">
        <v>73.183261154618563</v>
      </c>
      <c r="I66" s="8">
        <v>40.952387418997247</v>
      </c>
      <c r="J66" s="8">
        <v>32.919028965554553</v>
      </c>
      <c r="K66" s="8">
        <v>22.766694135691381</v>
      </c>
      <c r="L66" s="8">
        <v>0.56355135040873938</v>
      </c>
      <c r="M66" s="8">
        <v>76.459795791684684</v>
      </c>
      <c r="N66" s="8">
        <v>52.283001638880243</v>
      </c>
      <c r="O66" s="8">
        <v>288.64100000000002</v>
      </c>
      <c r="P66" s="8">
        <v>282.21600000000001</v>
      </c>
      <c r="Q66" s="8">
        <v>101.456</v>
      </c>
      <c r="R66" s="8">
        <v>-0.61372400000000005</v>
      </c>
      <c r="S66" s="8">
        <v>-0.149057</v>
      </c>
      <c r="T66" s="7">
        <f>C66-D66</f>
        <v>22.286542575533314</v>
      </c>
      <c r="U66" s="8">
        <f>D66/C66</f>
        <v>0.55224249132085024</v>
      </c>
      <c r="V66" s="8">
        <v>29.024107305208645</v>
      </c>
      <c r="W66" s="8">
        <v>26.62108245556044</v>
      </c>
      <c r="X66" s="8">
        <v>0.57839975255215703</v>
      </c>
      <c r="Y66" s="8">
        <v>70.204265121132238</v>
      </c>
      <c r="Z66" s="8">
        <v>47.919615020630992</v>
      </c>
      <c r="AA66" s="7">
        <v>30.971568135381599</v>
      </c>
      <c r="AB66" s="7">
        <v>24.693888295625911</v>
      </c>
      <c r="AC66" s="7">
        <v>0.57097555148044821</v>
      </c>
      <c r="AD66" s="7">
        <v>73.332030456408461</v>
      </c>
      <c r="AE66" s="7">
        <v>50.101308329755618</v>
      </c>
      <c r="AF66" s="8">
        <v>33.401384023277913</v>
      </c>
      <c r="AG66" s="8">
        <v>21.808576029354619</v>
      </c>
      <c r="AH66" s="8">
        <v>0.53374989080932356</v>
      </c>
      <c r="AI66" s="8">
        <v>76.52460797622382</v>
      </c>
      <c r="AJ66" s="8">
        <v>45.970676298865541</v>
      </c>
      <c r="AK66" s="8">
        <v>32.886601837962658</v>
      </c>
      <c r="AL66" s="8">
        <v>22.831105232008941</v>
      </c>
      <c r="AM66" s="8">
        <v>0.56555480350284781</v>
      </c>
      <c r="AN66" s="8">
        <v>76.455438683898805</v>
      </c>
      <c r="AO66" s="8">
        <v>52.707358294677057</v>
      </c>
      <c r="AP66" s="8">
        <v>29.836273365823509</v>
      </c>
      <c r="AQ66" s="8">
        <v>24.309596278857018</v>
      </c>
      <c r="AR66" s="8">
        <v>0.54583729234247291</v>
      </c>
      <c r="AS66" s="8">
        <v>73.470327239007517</v>
      </c>
      <c r="AT66" s="8">
        <v>47.260494889864567</v>
      </c>
      <c r="AU66" s="8">
        <v>32.407175483498747</v>
      </c>
      <c r="AV66" s="8">
        <v>22.924438673999781</v>
      </c>
      <c r="AW66" s="8">
        <v>0.50757045838920045</v>
      </c>
      <c r="AX66" s="8">
        <v>73.884653689785324</v>
      </c>
      <c r="AY66" s="8">
        <v>58.809949403810059</v>
      </c>
      <c r="AZ66" s="8">
        <v>33.35804592617361</v>
      </c>
      <c r="BA66" s="8">
        <v>22.94734337345049</v>
      </c>
      <c r="BB66" s="8">
        <v>0.5798970793528172</v>
      </c>
      <c r="BC66" s="8">
        <v>76.122461281176086</v>
      </c>
      <c r="BD66" s="8">
        <v>57.975513074349372</v>
      </c>
      <c r="BE66" s="8">
        <v>38.577853050130607</v>
      </c>
      <c r="BF66" s="8">
        <v>29.61937219918569</v>
      </c>
      <c r="BG66" s="8">
        <v>0.61107396332028674</v>
      </c>
      <c r="BH66" s="8">
        <v>65.933610903546722</v>
      </c>
      <c r="BI66" s="8">
        <v>67.562009828470764</v>
      </c>
    </row>
    <row r="67" spans="1:61" x14ac:dyDescent="0.15">
      <c r="A67" s="7">
        <v>2021</v>
      </c>
      <c r="B67" s="7">
        <v>52</v>
      </c>
      <c r="C67" s="7">
        <v>58.118858855601381</v>
      </c>
      <c r="D67" s="7">
        <v>25.287663131826246</v>
      </c>
      <c r="E67" s="8">
        <v>22.78319369226913</v>
      </c>
      <c r="F67" s="8">
        <v>11.3858699617935</v>
      </c>
      <c r="G67" s="8">
        <v>0.4978132081745143</v>
      </c>
      <c r="H67" s="8">
        <v>71.145122532012579</v>
      </c>
      <c r="I67" s="8">
        <v>38.101894184678642</v>
      </c>
      <c r="J67" s="8">
        <v>30.276608362348</v>
      </c>
      <c r="K67" s="8">
        <v>17.55662477952788</v>
      </c>
      <c r="L67" s="8">
        <v>0.53916305191773484</v>
      </c>
      <c r="M67" s="8">
        <v>62.69916665224406</v>
      </c>
      <c r="N67" s="8">
        <v>42.954679063017139</v>
      </c>
      <c r="O67" s="8">
        <v>288.17500000000001</v>
      </c>
      <c r="P67" s="8">
        <v>284.03100000000001</v>
      </c>
      <c r="Q67" s="8">
        <v>92.766999999999996</v>
      </c>
      <c r="R67" s="8">
        <v>-0.214643</v>
      </c>
      <c r="S67" s="8">
        <v>-0.10263600000000001</v>
      </c>
      <c r="T67" s="7">
        <f>C67-D67</f>
        <v>32.831195723775139</v>
      </c>
      <c r="U67" s="8">
        <f>D67/C67</f>
        <v>0.43510254037599827</v>
      </c>
      <c r="V67" s="8">
        <v>19.48093436735666</v>
      </c>
      <c r="W67" s="8">
        <v>8.4909674446975814</v>
      </c>
      <c r="X67" s="8">
        <v>0.4850328956800436</v>
      </c>
      <c r="Y67" s="8">
        <v>72.496705781533279</v>
      </c>
      <c r="Z67" s="8">
        <v>34.709397918230565</v>
      </c>
      <c r="AA67" s="7">
        <v>24.87877136485233</v>
      </c>
      <c r="AB67" s="7">
        <v>13.023796112112731</v>
      </c>
      <c r="AC67" s="7">
        <v>0.51209797379888922</v>
      </c>
      <c r="AD67" s="7">
        <v>67.597936216888669</v>
      </c>
      <c r="AE67" s="7">
        <v>38.832038490623852</v>
      </c>
      <c r="AF67" s="8">
        <v>30.2630393465016</v>
      </c>
      <c r="AG67" s="8">
        <v>17.054065155303459</v>
      </c>
      <c r="AH67" s="8">
        <v>0.52286375446731137</v>
      </c>
      <c r="AI67" s="8">
        <v>64.864934279319826</v>
      </c>
      <c r="AJ67" s="8">
        <v>42.452258864208517</v>
      </c>
      <c r="AK67" s="8">
        <v>30.27849230037814</v>
      </c>
      <c r="AL67" s="8">
        <v>17.626400745538032</v>
      </c>
      <c r="AM67" s="8">
        <v>0.54142606543905603</v>
      </c>
      <c r="AN67" s="8">
        <v>62.398468941866092</v>
      </c>
      <c r="AO67" s="8">
        <v>43.02443567103947</v>
      </c>
      <c r="AP67" s="8">
        <v>28.99713033774486</v>
      </c>
      <c r="AQ67" s="8">
        <v>16.979913616782479</v>
      </c>
      <c r="AR67" s="8">
        <v>0.51634381942814889</v>
      </c>
      <c r="AS67" s="8">
        <v>58.229105901836007</v>
      </c>
      <c r="AT67" s="8">
        <v>39.274892285869477</v>
      </c>
      <c r="AU67" s="8">
        <v>26.318531861730989</v>
      </c>
      <c r="AV67" s="8">
        <v>15.95690532914222</v>
      </c>
      <c r="AW67" s="8">
        <v>0.5298569090138523</v>
      </c>
      <c r="AX67" s="8">
        <v>63.642131326171658</v>
      </c>
      <c r="AY67" s="8">
        <v>39.555758326034884</v>
      </c>
      <c r="AZ67" s="8">
        <v>33.595559088048589</v>
      </c>
      <c r="BA67" s="8">
        <v>20.459305049181189</v>
      </c>
      <c r="BB67" s="8">
        <v>0.61599624151759369</v>
      </c>
      <c r="BC67" s="8">
        <v>62.784860338198271</v>
      </c>
      <c r="BD67" s="8">
        <v>46.439383927881288</v>
      </c>
      <c r="BE67" s="8">
        <v>32.702165846397492</v>
      </c>
      <c r="BF67" s="8">
        <v>26.50430660946164</v>
      </c>
      <c r="BG67" s="8">
        <v>0.59741411284856172</v>
      </c>
      <c r="BH67" s="8">
        <v>59.23103968666382</v>
      </c>
      <c r="BI67" s="8">
        <v>58.836425924974819</v>
      </c>
    </row>
    <row r="68" spans="1:61" x14ac:dyDescent="0.15">
      <c r="A68" s="7">
        <v>2021</v>
      </c>
      <c r="B68" s="7">
        <v>45</v>
      </c>
      <c r="C68" s="7">
        <v>44.870472015948224</v>
      </c>
      <c r="D68" s="7">
        <v>26.471687886740391</v>
      </c>
      <c r="E68" s="8">
        <v>24.938428651726351</v>
      </c>
      <c r="F68" s="8">
        <v>13.080059953600211</v>
      </c>
      <c r="G68" s="8">
        <v>0.49946085413583591</v>
      </c>
      <c r="H68" s="8">
        <v>73.240310329449727</v>
      </c>
      <c r="I68" s="8">
        <v>39.645215002816983</v>
      </c>
      <c r="J68" s="8">
        <v>31.575083327679209</v>
      </c>
      <c r="K68" s="8">
        <v>17.963471703945881</v>
      </c>
      <c r="L68" s="8">
        <v>0.56736293755860279</v>
      </c>
      <c r="M68" s="8">
        <v>69.224902966045249</v>
      </c>
      <c r="N68" s="8">
        <v>46.26258775405045</v>
      </c>
      <c r="O68" s="8">
        <v>288.971</v>
      </c>
      <c r="P68" s="8">
        <v>284.05200000000002</v>
      </c>
      <c r="Q68" s="8">
        <v>97.066299999999998</v>
      </c>
      <c r="R68" s="8">
        <v>-0.155912</v>
      </c>
      <c r="S68" s="8">
        <v>-0.26495600000000002</v>
      </c>
      <c r="T68" s="7">
        <f>C68-D68</f>
        <v>18.398784129207833</v>
      </c>
      <c r="U68" s="8">
        <f>D68/C68</f>
        <v>0.58995786532692618</v>
      </c>
      <c r="V68" s="8">
        <v>24.424944578896813</v>
      </c>
      <c r="W68" s="8">
        <v>14.759410900192858</v>
      </c>
      <c r="X68" s="8">
        <v>0.52106788884429356</v>
      </c>
      <c r="Y68" s="8">
        <v>65.880233725495458</v>
      </c>
      <c r="Z68" s="8">
        <v>38.401334731296565</v>
      </c>
      <c r="AA68" s="7">
        <v>28.000013953288011</v>
      </c>
      <c r="AB68" s="7">
        <v>16.36144130206937</v>
      </c>
      <c r="AC68" s="7">
        <v>0.54421541320144817</v>
      </c>
      <c r="AD68" s="7">
        <v>67.552568345770354</v>
      </c>
      <c r="AE68" s="7">
        <v>42.331961242673508</v>
      </c>
      <c r="AF68" s="8">
        <v>31.827236073693751</v>
      </c>
      <c r="AG68" s="8">
        <v>17.999452139156261</v>
      </c>
      <c r="AH68" s="8">
        <v>0.55309493658150777</v>
      </c>
      <c r="AI68" s="8">
        <v>68.6623305032833</v>
      </c>
      <c r="AJ68" s="8">
        <v>46.267717327267661</v>
      </c>
      <c r="AK68" s="8">
        <v>31.532959081535939</v>
      </c>
      <c r="AL68" s="8">
        <v>17.957460868319071</v>
      </c>
      <c r="AM68" s="8">
        <v>0.569746527642912</v>
      </c>
      <c r="AN68" s="8">
        <v>69.318885447970871</v>
      </c>
      <c r="AO68" s="8">
        <v>46.261730815515278</v>
      </c>
      <c r="AP68" s="8">
        <v>29.497288921508751</v>
      </c>
      <c r="AQ68" s="8">
        <v>18.560279475189599</v>
      </c>
      <c r="AR68" s="8">
        <v>0.56895482996513114</v>
      </c>
      <c r="AS68" s="8">
        <v>62.303623966255579</v>
      </c>
      <c r="AT68" s="8">
        <v>43.406790195255262</v>
      </c>
      <c r="AU68" s="8">
        <v>26.909537215413199</v>
      </c>
      <c r="AV68" s="8">
        <v>16.75122116507222</v>
      </c>
      <c r="AW68" s="8">
        <v>0.54972881106878346</v>
      </c>
      <c r="AX68" s="8">
        <v>71.28701026058404</v>
      </c>
      <c r="AY68" s="8">
        <v>42.683756757350551</v>
      </c>
      <c r="AZ68" s="8">
        <v>31.926710218107651</v>
      </c>
      <c r="BA68" s="8">
        <v>19.357752944096461</v>
      </c>
      <c r="BB68" s="8">
        <v>0.58405671607215015</v>
      </c>
      <c r="BC68" s="8">
        <v>68.500704200111841</v>
      </c>
      <c r="BD68" s="8">
        <v>46.789749491837327</v>
      </c>
      <c r="BE68" s="8">
        <v>33.5962802369054</v>
      </c>
      <c r="BF68" s="8">
        <v>26.642011696734709</v>
      </c>
      <c r="BG68" s="8">
        <v>0.68023166607518604</v>
      </c>
      <c r="BH68" s="8">
        <v>63.424210127582633</v>
      </c>
      <c r="BI68" s="8">
        <v>63.742882515595312</v>
      </c>
    </row>
    <row r="69" spans="1:61" x14ac:dyDescent="0.15">
      <c r="A69" s="7">
        <v>2022</v>
      </c>
      <c r="B69" s="7">
        <v>140</v>
      </c>
      <c r="C69" s="7">
        <v>32.020182570658626</v>
      </c>
      <c r="D69" s="7">
        <v>20.611920071928864</v>
      </c>
      <c r="E69" s="8">
        <v>25.32916701136643</v>
      </c>
      <c r="F69" s="8">
        <v>16.736124054840079</v>
      </c>
      <c r="G69" s="8">
        <v>0.49987697843301648</v>
      </c>
      <c r="H69" s="8">
        <v>61.393925372205658</v>
      </c>
      <c r="I69" s="8">
        <v>42.261715944851048</v>
      </c>
      <c r="J69" s="8">
        <v>29.25016971935915</v>
      </c>
      <c r="K69" s="8">
        <v>22.771032553566059</v>
      </c>
      <c r="L69" s="8">
        <v>0.57970022210986871</v>
      </c>
      <c r="M69" s="8">
        <v>59.647773739819748</v>
      </c>
      <c r="N69" s="8">
        <v>46.127180245410287</v>
      </c>
      <c r="O69" s="8">
        <v>288.51100000000002</v>
      </c>
      <c r="P69" s="8">
        <v>284.93200000000002</v>
      </c>
      <c r="Q69" s="8">
        <v>89.771500000000003</v>
      </c>
      <c r="R69" s="8">
        <v>-6.8693699999999996E-2</v>
      </c>
      <c r="S69" s="8">
        <v>-0.38911299999999999</v>
      </c>
      <c r="T69" s="7">
        <f>C69-D69</f>
        <v>11.408262498729762</v>
      </c>
      <c r="U69" s="8">
        <f>D69/C69</f>
        <v>0.64371650681393655</v>
      </c>
      <c r="V69" s="8">
        <v>24.394354981075473</v>
      </c>
      <c r="W69" s="8">
        <v>15.08070323030956</v>
      </c>
      <c r="X69" s="8">
        <v>0.46498378876266855</v>
      </c>
      <c r="Y69" s="8">
        <v>60.968424324282573</v>
      </c>
      <c r="Z69" s="8">
        <v>40.969271735570189</v>
      </c>
      <c r="AA69" s="7">
        <v>26.822262350217311</v>
      </c>
      <c r="AB69" s="7">
        <v>18.925867891937809</v>
      </c>
      <c r="AC69" s="7">
        <v>0.52234200543626863</v>
      </c>
      <c r="AD69" s="7">
        <v>60.30809903205116</v>
      </c>
      <c r="AE69" s="7">
        <v>43.548225990490238</v>
      </c>
      <c r="AF69" s="8">
        <v>29.05906315904133</v>
      </c>
      <c r="AG69" s="8">
        <v>23.730559983655102</v>
      </c>
      <c r="AH69" s="8">
        <v>0.59628312038840792</v>
      </c>
      <c r="AI69" s="8">
        <v>59.254003280091091</v>
      </c>
      <c r="AJ69" s="8">
        <v>46.570221506817362</v>
      </c>
      <c r="AK69" s="8">
        <v>29.27964950703085</v>
      </c>
      <c r="AL69" s="8">
        <v>22.623017410301731</v>
      </c>
      <c r="AM69" s="8">
        <v>0.57714217114908684</v>
      </c>
      <c r="AN69" s="8">
        <v>59.70851613152459</v>
      </c>
      <c r="AO69" s="8">
        <v>46.058837419845538</v>
      </c>
      <c r="AP69" s="8">
        <v>28.935861083417311</v>
      </c>
      <c r="AQ69" s="8">
        <v>21.974580463599938</v>
      </c>
      <c r="AR69" s="8">
        <v>0.54463857468621046</v>
      </c>
      <c r="AS69" s="8">
        <v>58.826751439690049</v>
      </c>
      <c r="AT69" s="8">
        <v>45.409395660509887</v>
      </c>
      <c r="AU69" s="8">
        <v>18.846227407045539</v>
      </c>
      <c r="AV69" s="8">
        <v>14.084634145562161</v>
      </c>
      <c r="AW69" s="8">
        <v>0.41579465256277381</v>
      </c>
      <c r="AX69" s="8">
        <v>65.453331025343132</v>
      </c>
      <c r="AY69" s="8">
        <v>30.956560327923651</v>
      </c>
      <c r="AZ69" s="8">
        <v>30.79104388393046</v>
      </c>
      <c r="BA69" s="8">
        <v>26.011019031998529</v>
      </c>
      <c r="BB69" s="8">
        <v>0.65783995849586652</v>
      </c>
      <c r="BC69" s="8">
        <v>58.821510742293377</v>
      </c>
      <c r="BD69" s="8">
        <v>47.841567583779721</v>
      </c>
      <c r="BE69" s="8">
        <v>19.6578824847888</v>
      </c>
      <c r="BF69" s="8">
        <v>24.107197705504309</v>
      </c>
      <c r="BG69" s="8">
        <v>0.48446788888225312</v>
      </c>
      <c r="BH69" s="8">
        <v>62.599626567297747</v>
      </c>
      <c r="BI69" s="8">
        <v>36.194440054509968</v>
      </c>
    </row>
    <row r="70" spans="1:61" x14ac:dyDescent="0.15">
      <c r="A70" s="7">
        <v>2022</v>
      </c>
      <c r="B70" s="7">
        <v>44</v>
      </c>
      <c r="C70" s="7">
        <v>182.97561365039687</v>
      </c>
      <c r="D70" s="7">
        <v>64.187637336139815</v>
      </c>
      <c r="E70" s="8">
        <v>12.86846280545927</v>
      </c>
      <c r="F70" s="8">
        <v>11.10043576557667</v>
      </c>
      <c r="G70" s="8">
        <v>0.50053291546751799</v>
      </c>
      <c r="H70" s="8">
        <v>68.270174075078458</v>
      </c>
      <c r="I70" s="8">
        <v>17.04787204083253</v>
      </c>
      <c r="J70" s="8">
        <v>16.446424339828528</v>
      </c>
      <c r="K70" s="8">
        <v>19.471176286759441</v>
      </c>
      <c r="L70" s="8">
        <v>0.57451794490278929</v>
      </c>
      <c r="M70" s="8">
        <v>63.811612215367283</v>
      </c>
      <c r="N70" s="8">
        <v>25.631549950976321</v>
      </c>
      <c r="O70" s="8">
        <v>291.47399999999999</v>
      </c>
      <c r="P70" s="8">
        <v>286.77</v>
      </c>
      <c r="Q70" s="8">
        <v>98.591399999999993</v>
      </c>
      <c r="R70" s="8">
        <v>-0.32158300000000001</v>
      </c>
      <c r="S70" s="8">
        <v>-0.74916300000000002</v>
      </c>
      <c r="T70" s="7">
        <f>C70-D70</f>
        <v>118.78797631425705</v>
      </c>
      <c r="U70" s="8">
        <f>D70/C70</f>
        <v>0.35079886360583656</v>
      </c>
      <c r="V70" s="8">
        <v>13.37007295064765</v>
      </c>
      <c r="W70" s="8">
        <v>10.353570910694398</v>
      </c>
      <c r="X70" s="8">
        <v>0.52976082553267911</v>
      </c>
      <c r="Y70" s="8">
        <v>68.788285173969768</v>
      </c>
      <c r="Z70" s="8">
        <v>18.386881593856259</v>
      </c>
      <c r="AA70" s="7">
        <v>14.908248645238089</v>
      </c>
      <c r="AB70" s="7">
        <v>14.912373598726919</v>
      </c>
      <c r="AC70" s="7">
        <v>0.5521393852177342</v>
      </c>
      <c r="AD70" s="7">
        <v>66.299948694668529</v>
      </c>
      <c r="AE70" s="7">
        <v>22.00921577241629</v>
      </c>
      <c r="AF70" s="8">
        <v>16.188608181699369</v>
      </c>
      <c r="AG70" s="8">
        <v>19.714896088686249</v>
      </c>
      <c r="AH70" s="8">
        <v>0.58969879264027225</v>
      </c>
      <c r="AI70" s="8">
        <v>63.973898420547563</v>
      </c>
      <c r="AJ70" s="8">
        <v>24.863504919120341</v>
      </c>
      <c r="AK70" s="8">
        <v>16.47087934017657</v>
      </c>
      <c r="AL70" s="8">
        <v>19.448058388004782</v>
      </c>
      <c r="AM70" s="8">
        <v>0.57307797450140874</v>
      </c>
      <c r="AN70" s="8">
        <v>63.796218652632618</v>
      </c>
      <c r="AO70" s="8">
        <v>25.704402411650779</v>
      </c>
      <c r="AP70" s="8">
        <v>17.465501168064922</v>
      </c>
      <c r="AQ70" s="8">
        <v>19.201893281134311</v>
      </c>
      <c r="AR70" s="8">
        <v>0.5663807116798576</v>
      </c>
      <c r="AS70" s="8">
        <v>63.023394718345692</v>
      </c>
      <c r="AT70" s="8">
        <v>26.078084110450028</v>
      </c>
      <c r="AU70" s="8">
        <v>18.01486038656029</v>
      </c>
      <c r="AV70" s="8">
        <v>17.377413566232999</v>
      </c>
      <c r="AW70" s="8">
        <v>0.57969808681921031</v>
      </c>
      <c r="AX70" s="8">
        <v>64.698825606501771</v>
      </c>
      <c r="AY70" s="8">
        <v>24.768047403906071</v>
      </c>
      <c r="AZ70" s="8">
        <v>17.059469385639169</v>
      </c>
      <c r="BA70" s="8">
        <v>20.547774092508181</v>
      </c>
      <c r="BB70" s="8">
        <v>0.55608024496406239</v>
      </c>
      <c r="BC70" s="8">
        <v>64.011020418176614</v>
      </c>
      <c r="BD70" s="8">
        <v>28.058746753473191</v>
      </c>
      <c r="BE70" s="8">
        <v>22.296738346991159</v>
      </c>
      <c r="BF70" s="8">
        <v>24.360371480193852</v>
      </c>
      <c r="BG70" s="8">
        <v>0.5747540033684988</v>
      </c>
      <c r="BH70" s="8">
        <v>60.834625251457261</v>
      </c>
      <c r="BI70" s="8">
        <v>35.092933299413787</v>
      </c>
    </row>
    <row r="71" spans="1:61" x14ac:dyDescent="0.15">
      <c r="A71" s="7">
        <v>2021</v>
      </c>
      <c r="B71" s="7">
        <v>129</v>
      </c>
      <c r="C71" s="7">
        <v>36.600084737774303</v>
      </c>
      <c r="D71" s="7">
        <v>34.313153334446042</v>
      </c>
      <c r="E71" s="8">
        <v>21.942256164720231</v>
      </c>
      <c r="F71" s="8">
        <v>13.30530439942231</v>
      </c>
      <c r="G71" s="8">
        <v>0.50203999441248837</v>
      </c>
      <c r="H71" s="8">
        <v>60.150261229439977</v>
      </c>
      <c r="I71" s="8">
        <v>34.819739386074588</v>
      </c>
      <c r="J71" s="8">
        <v>28.971768840718671</v>
      </c>
      <c r="K71" s="8">
        <v>20.49990863721813</v>
      </c>
      <c r="L71" s="8">
        <v>0.57096256060430217</v>
      </c>
      <c r="M71" s="8">
        <v>55.379238516884513</v>
      </c>
      <c r="N71" s="8">
        <v>43.404973452044949</v>
      </c>
      <c r="O71" s="8">
        <v>290.51900000000001</v>
      </c>
      <c r="P71" s="8">
        <v>286.971</v>
      </c>
      <c r="Q71" s="8">
        <v>94.149299999999997</v>
      </c>
      <c r="R71" s="8">
        <v>5.7229000000000002E-2</v>
      </c>
      <c r="S71" s="8">
        <v>-0.13087099999999999</v>
      </c>
      <c r="T71" s="7">
        <f>C71-D71</f>
        <v>2.2869314033282606</v>
      </c>
      <c r="U71" s="8">
        <f>D71/C71</f>
        <v>0.93751568009436992</v>
      </c>
      <c r="V71" s="8">
        <v>21.997918298973989</v>
      </c>
      <c r="W71" s="8">
        <v>13.312039321475712</v>
      </c>
      <c r="X71" s="8">
        <v>0.49372403221657357</v>
      </c>
      <c r="Y71" s="8">
        <v>59.425384113986127</v>
      </c>
      <c r="Z71" s="8">
        <v>35.198568789379586</v>
      </c>
      <c r="AA71" s="7">
        <v>25.48484356984633</v>
      </c>
      <c r="AB71" s="7">
        <v>16.905973979346921</v>
      </c>
      <c r="AC71" s="7">
        <v>0.53234329641043787</v>
      </c>
      <c r="AD71" s="7">
        <v>57.40231131543532</v>
      </c>
      <c r="AE71" s="7">
        <v>39.301771120712267</v>
      </c>
      <c r="AF71" s="8">
        <v>29.229673388961881</v>
      </c>
      <c r="AG71" s="8">
        <v>21.271450605031681</v>
      </c>
      <c r="AH71" s="8">
        <v>0.60486614633449431</v>
      </c>
      <c r="AI71" s="8">
        <v>54.494422853492168</v>
      </c>
      <c r="AJ71" s="8">
        <v>44.322407407519712</v>
      </c>
      <c r="AK71" s="8">
        <v>28.945854681609269</v>
      </c>
      <c r="AL71" s="8">
        <v>20.422384369229469</v>
      </c>
      <c r="AM71" s="8">
        <v>0.56755594012794319</v>
      </c>
      <c r="AN71" s="8">
        <v>55.468144486320988</v>
      </c>
      <c r="AO71" s="8">
        <v>43.312790007989818</v>
      </c>
      <c r="AP71" s="8">
        <v>28.204403245236591</v>
      </c>
      <c r="AQ71" s="8">
        <v>19.755540681711381</v>
      </c>
      <c r="AR71" s="8">
        <v>0.54725718697061887</v>
      </c>
      <c r="AS71" s="8">
        <v>55.212211975949891</v>
      </c>
      <c r="AT71" s="8">
        <v>42.854758200866691</v>
      </c>
      <c r="AU71" s="8">
        <v>24.839561813061689</v>
      </c>
      <c r="AV71" s="8">
        <v>20.372564908631251</v>
      </c>
      <c r="AW71" s="8">
        <v>0.56606783565807373</v>
      </c>
      <c r="AX71" s="8">
        <v>59.333016146202972</v>
      </c>
      <c r="AY71" s="8">
        <v>38.72908061454303</v>
      </c>
      <c r="AZ71" s="8">
        <v>31.742457469877699</v>
      </c>
      <c r="BA71" s="8">
        <v>25.978251871609839</v>
      </c>
      <c r="BB71" s="8">
        <v>0.66321359537487734</v>
      </c>
      <c r="BC71" s="8">
        <v>51.656202849824957</v>
      </c>
      <c r="BD71" s="8">
        <v>46.37500913604093</v>
      </c>
      <c r="BE71" s="8"/>
      <c r="BF71" s="8"/>
      <c r="BG71" s="8"/>
      <c r="BH71" s="8"/>
      <c r="BI71" s="8"/>
    </row>
    <row r="72" spans="1:61" x14ac:dyDescent="0.15">
      <c r="A72" s="7">
        <v>2022</v>
      </c>
      <c r="B72" s="7">
        <v>120</v>
      </c>
      <c r="C72" s="7">
        <v>14.752466257168448</v>
      </c>
      <c r="D72" s="7">
        <v>0.72753507896521763</v>
      </c>
      <c r="E72" s="8">
        <v>26.360476511020899</v>
      </c>
      <c r="F72" s="8">
        <v>17.276239676537951</v>
      </c>
      <c r="G72" s="8">
        <v>0.50362400656608164</v>
      </c>
      <c r="H72" s="8">
        <v>67.198985965335424</v>
      </c>
      <c r="I72" s="8">
        <v>37.24840981621329</v>
      </c>
      <c r="J72" s="8">
        <v>31.168422894349831</v>
      </c>
      <c r="K72" s="8">
        <v>17.61076419032128</v>
      </c>
      <c r="L72" s="8">
        <v>0.47706709908630968</v>
      </c>
      <c r="M72" s="8">
        <v>67.640367304850983</v>
      </c>
      <c r="N72" s="8">
        <v>37.400505741602132</v>
      </c>
      <c r="O72" s="8">
        <v>290.61700000000002</v>
      </c>
      <c r="P72" s="8">
        <v>284.71899999999999</v>
      </c>
      <c r="Q72" s="8">
        <v>100.41800000000001</v>
      </c>
      <c r="R72" s="8">
        <v>-0.60836100000000004</v>
      </c>
      <c r="S72" s="8">
        <v>-0.53258899999999998</v>
      </c>
      <c r="T72" s="7">
        <f>C72-D72</f>
        <v>14.02493117820323</v>
      </c>
      <c r="U72" s="8">
        <f>D72/C72</f>
        <v>4.9316166279092299E-2</v>
      </c>
      <c r="V72" s="8">
        <v>27.517407484466347</v>
      </c>
      <c r="W72" s="8">
        <v>17.98664102733424</v>
      </c>
      <c r="X72" s="8">
        <v>0.52307492570646952</v>
      </c>
      <c r="Y72" s="8">
        <v>62.133955310223726</v>
      </c>
      <c r="Z72" s="8">
        <v>34.695719368903355</v>
      </c>
      <c r="AA72" s="7">
        <v>29.342915189408089</v>
      </c>
      <c r="AB72" s="7">
        <v>17.79870260882776</v>
      </c>
      <c r="AC72" s="7">
        <v>0.50007101239638962</v>
      </c>
      <c r="AD72" s="7">
        <v>64.887161307537355</v>
      </c>
      <c r="AE72" s="7">
        <v>36.048112555252743</v>
      </c>
      <c r="AF72" s="8">
        <v>33.464203359402717</v>
      </c>
      <c r="AG72" s="8">
        <v>18.205212777939181</v>
      </c>
      <c r="AH72" s="8">
        <v>0.48894121512862521</v>
      </c>
      <c r="AI72" s="8">
        <v>67.075973074977512</v>
      </c>
      <c r="AJ72" s="8">
        <v>39.675146434225788</v>
      </c>
      <c r="AK72" s="8">
        <v>30.867925405599529</v>
      </c>
      <c r="AL72" s="8">
        <v>17.53295609390722</v>
      </c>
      <c r="AM72" s="8">
        <v>0.47551288163992889</v>
      </c>
      <c r="AN72" s="8">
        <v>67.714241549938379</v>
      </c>
      <c r="AO72" s="8">
        <v>37.102775263297502</v>
      </c>
      <c r="AP72" s="8">
        <v>29.690852236550199</v>
      </c>
      <c r="AQ72" s="8">
        <v>18.117348946420751</v>
      </c>
      <c r="AR72" s="8">
        <v>0.49012421425923969</v>
      </c>
      <c r="AS72" s="8">
        <v>64.034080878520001</v>
      </c>
      <c r="AT72" s="8">
        <v>34.963014157905548</v>
      </c>
      <c r="AU72" s="8">
        <v>24.405062411752549</v>
      </c>
      <c r="AV72" s="8">
        <v>16.320211318854351</v>
      </c>
      <c r="AW72" s="8">
        <v>0.49269989342824949</v>
      </c>
      <c r="AX72" s="8">
        <v>63.939562989985113</v>
      </c>
      <c r="AY72" s="8">
        <v>28.971311286704211</v>
      </c>
      <c r="AZ72" s="8">
        <v>30.775012863332719</v>
      </c>
      <c r="BA72" s="8">
        <v>18.415795714372852</v>
      </c>
      <c r="BB72" s="8">
        <v>0.4768824231055564</v>
      </c>
      <c r="BC72" s="8">
        <v>70.111884868130005</v>
      </c>
      <c r="BD72" s="8">
        <v>39.742877848937638</v>
      </c>
      <c r="BE72" s="8">
        <v>31.760500857937021</v>
      </c>
      <c r="BF72" s="8">
        <v>23.22227785351345</v>
      </c>
      <c r="BG72" s="8">
        <v>0.58485938593450926</v>
      </c>
      <c r="BH72" s="8">
        <v>59.778621037739043</v>
      </c>
      <c r="BI72" s="8">
        <v>58.769345698120603</v>
      </c>
    </row>
    <row r="73" spans="1:61" x14ac:dyDescent="0.15">
      <c r="A73" s="7">
        <v>2021</v>
      </c>
      <c r="B73" s="7">
        <v>23</v>
      </c>
      <c r="C73" s="7">
        <v>90.550738668666412</v>
      </c>
      <c r="D73" s="7">
        <v>30.600816982555177</v>
      </c>
      <c r="E73" s="8">
        <v>28.1997726611404</v>
      </c>
      <c r="F73" s="8">
        <v>28.159254108193679</v>
      </c>
      <c r="G73" s="8">
        <v>0.50399730888956618</v>
      </c>
      <c r="H73" s="8">
        <v>74.555981612394746</v>
      </c>
      <c r="I73" s="8">
        <v>34.834873164214848</v>
      </c>
      <c r="J73" s="8">
        <v>27.459013288821371</v>
      </c>
      <c r="K73" s="8">
        <v>28.636324682436761</v>
      </c>
      <c r="L73" s="8">
        <v>0.63883290109554058</v>
      </c>
      <c r="M73" s="8">
        <v>70.974092446765169</v>
      </c>
      <c r="N73" s="8">
        <v>43.949211619437143</v>
      </c>
      <c r="O73" s="8">
        <v>290.16800000000001</v>
      </c>
      <c r="P73" s="8">
        <v>285.82299999999998</v>
      </c>
      <c r="Q73" s="8">
        <v>101.599</v>
      </c>
      <c r="R73" s="8">
        <v>-1.07718</v>
      </c>
      <c r="S73" s="8">
        <v>-9.9463300000000004E-2</v>
      </c>
      <c r="T73" s="7">
        <f>C73-D73</f>
        <v>59.949921686111239</v>
      </c>
      <c r="U73" s="8">
        <f>D73/C73</f>
        <v>0.3379411082942837</v>
      </c>
      <c r="V73" s="8">
        <v>27.825631394258611</v>
      </c>
      <c r="W73" s="8">
        <v>25.614849330960578</v>
      </c>
      <c r="X73" s="8">
        <v>0.67044175052925803</v>
      </c>
      <c r="Y73" s="8">
        <v>71.739122443341458</v>
      </c>
      <c r="Z73" s="8">
        <v>40.338782445184258</v>
      </c>
      <c r="AA73" s="7">
        <v>27.642322341539991</v>
      </c>
      <c r="AB73" s="7">
        <v>27.12558700669867</v>
      </c>
      <c r="AC73" s="7">
        <v>0.65463732581239931</v>
      </c>
      <c r="AD73" s="7">
        <v>71.356607445053314</v>
      </c>
      <c r="AE73" s="7">
        <v>42.1439970323107</v>
      </c>
      <c r="AF73" s="8">
        <v>26.254466046973992</v>
      </c>
      <c r="AG73" s="8">
        <v>29.75450436262609</v>
      </c>
      <c r="AH73" s="8">
        <v>0.63968904840236041</v>
      </c>
      <c r="AI73" s="8">
        <v>71.148153555562843</v>
      </c>
      <c r="AJ73" s="8">
        <v>42.608038784306572</v>
      </c>
      <c r="AK73" s="8">
        <v>27.53987552569734</v>
      </c>
      <c r="AL73" s="8">
        <v>28.56126037028022</v>
      </c>
      <c r="AM73" s="8">
        <v>0.63877542722990921</v>
      </c>
      <c r="AN73" s="8">
        <v>70.962407582841607</v>
      </c>
      <c r="AO73" s="8">
        <v>44.039245643606748</v>
      </c>
      <c r="AP73" s="8">
        <v>26.918113423812869</v>
      </c>
      <c r="AQ73" s="8">
        <v>26.484146266786698</v>
      </c>
      <c r="AR73" s="8">
        <v>0.63093660130214146</v>
      </c>
      <c r="AS73" s="8">
        <v>72.058537773553468</v>
      </c>
      <c r="AT73" s="8">
        <v>40.532954105159163</v>
      </c>
      <c r="AU73" s="8">
        <v>32.787454050196203</v>
      </c>
      <c r="AV73" s="8">
        <v>28.712878225306731</v>
      </c>
      <c r="AW73" s="8">
        <v>0.61973304503536841</v>
      </c>
      <c r="AX73" s="8">
        <v>62.874012352824501</v>
      </c>
      <c r="AY73" s="8">
        <v>56.081915878761677</v>
      </c>
      <c r="AZ73" s="8">
        <v>29.068085043087429</v>
      </c>
      <c r="BA73" s="8">
        <v>27.91287979236731</v>
      </c>
      <c r="BB73" s="8">
        <v>0.64132695772855408</v>
      </c>
      <c r="BC73" s="8">
        <v>70.846042777633343</v>
      </c>
      <c r="BD73" s="8">
        <v>46.840889472887483</v>
      </c>
      <c r="BE73" s="8">
        <v>34.041996796678042</v>
      </c>
      <c r="BF73" s="8">
        <v>30.74882824920773</v>
      </c>
      <c r="BG73" s="8">
        <v>0.56825136570957357</v>
      </c>
      <c r="BH73" s="8">
        <v>64.333510543139838</v>
      </c>
      <c r="BI73" s="8">
        <v>52.589734491553727</v>
      </c>
    </row>
    <row r="74" spans="1:61" x14ac:dyDescent="0.15">
      <c r="A74" s="7">
        <v>2023</v>
      </c>
      <c r="B74" s="7">
        <v>31</v>
      </c>
      <c r="C74" s="9">
        <v>68.514547508047116</v>
      </c>
      <c r="D74" s="7">
        <v>63.176278320868356</v>
      </c>
      <c r="E74" s="8">
        <v>13.98170002779664</v>
      </c>
      <c r="F74" s="8">
        <v>12.066827007460461</v>
      </c>
      <c r="G74" s="8">
        <v>0.5043871230414958</v>
      </c>
      <c r="H74" s="8">
        <v>68.492584283195626</v>
      </c>
      <c r="I74" s="8">
        <v>27.032567656217289</v>
      </c>
      <c r="J74" s="8">
        <v>18.25483282129812</v>
      </c>
      <c r="K74" s="8">
        <v>15.378404635452499</v>
      </c>
      <c r="L74" s="8">
        <v>0.46604746670228359</v>
      </c>
      <c r="M74" s="8">
        <v>66.355131460084309</v>
      </c>
      <c r="N74" s="8">
        <v>31.02057379097883</v>
      </c>
      <c r="O74" s="7">
        <v>294.471</v>
      </c>
      <c r="P74" s="7">
        <v>289.36700000000002</v>
      </c>
      <c r="Q74" s="7">
        <v>97.832800000000006</v>
      </c>
      <c r="R74" s="7">
        <v>-0.62243999999999999</v>
      </c>
      <c r="S74" s="7">
        <v>-0.48907</v>
      </c>
      <c r="T74" s="7">
        <f>C74-D74</f>
        <v>5.33826918717876</v>
      </c>
      <c r="U74" s="8">
        <f>D74/C74</f>
        <v>0.92208560982539112</v>
      </c>
      <c r="V74" s="8">
        <v>14.660529846379223</v>
      </c>
      <c r="W74" s="8">
        <v>13.716434039206101</v>
      </c>
      <c r="X74" s="8">
        <v>0.51241487427119103</v>
      </c>
      <c r="Y74" s="8">
        <v>65.890912708878787</v>
      </c>
      <c r="Z74" s="8">
        <v>28.549177021214668</v>
      </c>
      <c r="AA74" s="7">
        <v>16.457681333838671</v>
      </c>
      <c r="AB74" s="7">
        <v>14.5474193373293</v>
      </c>
      <c r="AC74" s="7">
        <v>0.48923117048673731</v>
      </c>
      <c r="AD74" s="7">
        <v>66.123022084481548</v>
      </c>
      <c r="AE74" s="7">
        <v>29.784875406096749</v>
      </c>
      <c r="AF74" s="8">
        <v>17.374242418895012</v>
      </c>
      <c r="AG74" s="8">
        <v>14.477768735275321</v>
      </c>
      <c r="AH74" s="8">
        <v>0.46661052799969338</v>
      </c>
      <c r="AI74" s="8">
        <v>64.63738500473562</v>
      </c>
      <c r="AJ74" s="8">
        <v>29.753704398491369</v>
      </c>
      <c r="AK74" s="8">
        <v>18.305657078461369</v>
      </c>
      <c r="AL74" s="8">
        <v>15.430385840875751</v>
      </c>
      <c r="AM74" s="8">
        <v>0.46601496899154288</v>
      </c>
      <c r="AN74" s="8">
        <v>66.454273112491194</v>
      </c>
      <c r="AO74" s="8">
        <v>31.09369257085687</v>
      </c>
      <c r="AP74" s="8">
        <v>17.30546629574372</v>
      </c>
      <c r="AQ74" s="8">
        <v>15.57865475562631</v>
      </c>
      <c r="AR74" s="8">
        <v>0.47110349497092963</v>
      </c>
      <c r="AS74" s="8">
        <v>67.949943305936458</v>
      </c>
      <c r="AT74" s="8">
        <v>31.981911281147639</v>
      </c>
      <c r="AU74" s="8">
        <v>18.840975499825131</v>
      </c>
      <c r="AV74" s="8">
        <v>16.758400736557931</v>
      </c>
      <c r="AW74" s="8">
        <v>0.49274527243667082</v>
      </c>
      <c r="AX74" s="8">
        <v>61.932609362542472</v>
      </c>
      <c r="AY74" s="8">
        <v>31.21966243425619</v>
      </c>
      <c r="AZ74" s="8">
        <v>18.606778098524089</v>
      </c>
      <c r="BA74" s="8">
        <v>16.178728253125531</v>
      </c>
      <c r="BB74" s="8">
        <v>0.47170483543429198</v>
      </c>
      <c r="BC74" s="8">
        <v>65.641990389863295</v>
      </c>
      <c r="BD74" s="8">
        <v>31.370822395767782</v>
      </c>
      <c r="BE74" s="8">
        <v>19.432158632974652</v>
      </c>
      <c r="BF74" s="8">
        <v>17.533086735230661</v>
      </c>
      <c r="BG74" s="8">
        <v>0.49311547513010551</v>
      </c>
      <c r="BH74" s="8">
        <v>61.05031620726399</v>
      </c>
      <c r="BI74" s="8">
        <v>31.635611366102289</v>
      </c>
    </row>
    <row r="75" spans="1:61" x14ac:dyDescent="0.15">
      <c r="A75" s="7">
        <v>2022</v>
      </c>
      <c r="B75" s="7">
        <v>124</v>
      </c>
      <c r="C75" s="7">
        <v>34.302628484264886</v>
      </c>
      <c r="D75" s="7">
        <v>22.626122190396881</v>
      </c>
      <c r="E75" s="8">
        <v>25.656089862758389</v>
      </c>
      <c r="F75" s="8">
        <v>14.638574409274829</v>
      </c>
      <c r="G75" s="8">
        <v>0.50446453024079951</v>
      </c>
      <c r="H75" s="8">
        <v>70.64820931459127</v>
      </c>
      <c r="I75" s="8">
        <v>47.121412716452433</v>
      </c>
      <c r="J75" s="8">
        <v>35.858660790942032</v>
      </c>
      <c r="K75" s="8">
        <v>25.59833100422567</v>
      </c>
      <c r="L75" s="8">
        <v>0.65449006229590467</v>
      </c>
      <c r="M75" s="8">
        <v>53.779246373648498</v>
      </c>
      <c r="N75" s="8">
        <v>67.088470774610599</v>
      </c>
      <c r="O75" s="8">
        <v>283.83999999999997</v>
      </c>
      <c r="P75" s="8">
        <v>278.43799999999999</v>
      </c>
      <c r="Q75" s="8">
        <v>85.661500000000004</v>
      </c>
      <c r="R75" s="8">
        <v>-0.29886000000000001</v>
      </c>
      <c r="S75" s="8">
        <v>0.14902899999999999</v>
      </c>
      <c r="T75" s="7">
        <f>C75-D75</f>
        <v>11.676506293868005</v>
      </c>
      <c r="U75" s="8">
        <f>D75/C75</f>
        <v>0.65960316133720809</v>
      </c>
      <c r="V75" s="8">
        <v>24.921601412458905</v>
      </c>
      <c r="W75" s="8">
        <v>12.818908737856809</v>
      </c>
      <c r="X75" s="8">
        <v>0.47950164366915082</v>
      </c>
      <c r="Y75" s="8">
        <v>73.651274565585624</v>
      </c>
      <c r="Z75" s="8">
        <v>44.995339233388634</v>
      </c>
      <c r="AA75" s="7">
        <v>30.390131101700469</v>
      </c>
      <c r="AB75" s="7">
        <v>19.20861987104124</v>
      </c>
      <c r="AC75" s="7">
        <v>0.56699585298252775</v>
      </c>
      <c r="AD75" s="7">
        <v>63.715260469617057</v>
      </c>
      <c r="AE75" s="7">
        <v>56.041905003999616</v>
      </c>
      <c r="AF75" s="8">
        <v>33.03767327041335</v>
      </c>
      <c r="AG75" s="8">
        <v>24.473063154716041</v>
      </c>
      <c r="AH75" s="8">
        <v>0.62435567241985046</v>
      </c>
      <c r="AI75" s="8">
        <v>56.437161426956578</v>
      </c>
      <c r="AJ75" s="8">
        <v>61.999379775158047</v>
      </c>
      <c r="AK75" s="8">
        <v>36.291407545609417</v>
      </c>
      <c r="AL75" s="8">
        <v>25.770949991889822</v>
      </c>
      <c r="AM75" s="8">
        <v>0.65911275535209402</v>
      </c>
      <c r="AN75" s="8">
        <v>53.371515355651972</v>
      </c>
      <c r="AO75" s="8">
        <v>67.869150447311682</v>
      </c>
      <c r="AP75" s="8">
        <v>39.334981562309707</v>
      </c>
      <c r="AQ75" s="8">
        <v>27.809854149642799</v>
      </c>
      <c r="AR75" s="8">
        <v>0.69442759298764589</v>
      </c>
      <c r="AS75" s="8">
        <v>51.11414383036562</v>
      </c>
      <c r="AT75" s="8">
        <v>72.589250994496737</v>
      </c>
      <c r="AU75" s="8">
        <v>34.326666085246003</v>
      </c>
      <c r="AV75" s="8">
        <v>21.677240047601611</v>
      </c>
      <c r="AW75" s="8">
        <v>0.56212657132534471</v>
      </c>
      <c r="AX75" s="8">
        <v>58.73636805426186</v>
      </c>
      <c r="AY75" s="8">
        <v>62.270176224681173</v>
      </c>
      <c r="AZ75" s="8">
        <v>34.653296675441688</v>
      </c>
      <c r="BA75" s="8">
        <v>26.035040206003799</v>
      </c>
      <c r="BB75" s="8">
        <v>0.64874530156276522</v>
      </c>
      <c r="BC75" s="8">
        <v>51.521893191725063</v>
      </c>
      <c r="BD75" s="8">
        <v>69.443384319848747</v>
      </c>
      <c r="BE75" s="8">
        <v>29.68792974497573</v>
      </c>
      <c r="BF75" s="8">
        <v>26.278510334082821</v>
      </c>
      <c r="BG75" s="8">
        <v>0.54607628738358849</v>
      </c>
      <c r="BH75" s="8">
        <v>62.871511416711812</v>
      </c>
      <c r="BI75" s="8">
        <v>61.846978933905369</v>
      </c>
    </row>
    <row r="76" spans="1:61" x14ac:dyDescent="0.15">
      <c r="A76" s="7">
        <v>2022</v>
      </c>
      <c r="B76" s="7">
        <v>100</v>
      </c>
      <c r="C76" s="7">
        <v>10.011246667812619</v>
      </c>
      <c r="D76" s="7">
        <v>0.65870558494135822</v>
      </c>
      <c r="E76" s="8">
        <v>14.537118958282321</v>
      </c>
      <c r="F76" s="8">
        <v>9.7111182969637788</v>
      </c>
      <c r="G76" s="8">
        <v>0.50475199050832842</v>
      </c>
      <c r="H76" s="8">
        <v>68.325109056570952</v>
      </c>
      <c r="I76" s="8">
        <v>20.0699787244526</v>
      </c>
      <c r="J76" s="8">
        <v>23.552254166308689</v>
      </c>
      <c r="K76" s="8">
        <v>19.826658840680679</v>
      </c>
      <c r="L76" s="8">
        <v>0.6028428384196125</v>
      </c>
      <c r="M76" s="8">
        <v>60.490103091552257</v>
      </c>
      <c r="N76" s="8">
        <v>33.505329660796107</v>
      </c>
      <c r="O76" s="8">
        <v>292.33100000000002</v>
      </c>
      <c r="P76" s="8">
        <v>286.56299999999999</v>
      </c>
      <c r="Q76" s="8">
        <v>99.290700000000001</v>
      </c>
      <c r="R76" s="8">
        <v>-0.52746899999999997</v>
      </c>
      <c r="S76" s="8">
        <v>-0.69940400000000003</v>
      </c>
      <c r="T76" s="7">
        <f>C76-D76</f>
        <v>9.3525410828712605</v>
      </c>
      <c r="U76" s="8">
        <f>D76/C76</f>
        <v>6.5796559289581502E-2</v>
      </c>
      <c r="V76" s="8">
        <v>13.84270830796201</v>
      </c>
      <c r="W76" s="8">
        <v>7.5457165663798627</v>
      </c>
      <c r="X76" s="8">
        <v>0.49416313058682837</v>
      </c>
      <c r="Y76" s="8">
        <v>69.496516021552921</v>
      </c>
      <c r="Z76" s="8">
        <v>17.558855640988995</v>
      </c>
      <c r="AA76" s="7">
        <v>18.697481237135349</v>
      </c>
      <c r="AB76" s="7">
        <v>13.686187703530271</v>
      </c>
      <c r="AC76" s="7">
        <v>0.54850298450322044</v>
      </c>
      <c r="AD76" s="7">
        <v>64.993309556552589</v>
      </c>
      <c r="AE76" s="7">
        <v>25.532092650892551</v>
      </c>
      <c r="AF76" s="8">
        <v>23.05976349996029</v>
      </c>
      <c r="AG76" s="8">
        <v>20.698399804829869</v>
      </c>
      <c r="AH76" s="8">
        <v>0.64262783410099267</v>
      </c>
      <c r="AI76" s="8">
        <v>61.04297128135029</v>
      </c>
      <c r="AJ76" s="8">
        <v>31.871603807755442</v>
      </c>
      <c r="AK76" s="8">
        <v>23.60666418894046</v>
      </c>
      <c r="AL76" s="8">
        <v>19.730349511734229</v>
      </c>
      <c r="AM76" s="8">
        <v>0.59844742006279494</v>
      </c>
      <c r="AN76" s="8">
        <v>60.429022602570953</v>
      </c>
      <c r="AO76" s="8">
        <v>33.685822544645362</v>
      </c>
      <c r="AP76" s="8">
        <v>24.68602719266848</v>
      </c>
      <c r="AQ76" s="8">
        <v>19.400709895104161</v>
      </c>
      <c r="AR76" s="8">
        <v>0.61319451221347532</v>
      </c>
      <c r="AS76" s="8">
        <v>60.026478786907518</v>
      </c>
      <c r="AT76" s="8">
        <v>32.641626480729862</v>
      </c>
      <c r="AU76" s="8">
        <v>21.575024577528939</v>
      </c>
      <c r="AV76" s="8">
        <v>19.53134459170839</v>
      </c>
      <c r="AW76" s="8">
        <v>0.54354999890742861</v>
      </c>
      <c r="AX76" s="8">
        <v>60.848862744858593</v>
      </c>
      <c r="AY76" s="8">
        <v>29.82745636124503</v>
      </c>
      <c r="AZ76" s="8">
        <v>25.04864834665274</v>
      </c>
      <c r="BA76" s="8">
        <v>21.49666123157661</v>
      </c>
      <c r="BB76" s="8">
        <v>0.56157868738836603</v>
      </c>
      <c r="BC76" s="8">
        <v>59.957120882928798</v>
      </c>
      <c r="BD76" s="8">
        <v>36.099759259703568</v>
      </c>
      <c r="BE76" s="8">
        <v>29.847490042621921</v>
      </c>
      <c r="BF76" s="8">
        <v>21.721879150256822</v>
      </c>
      <c r="BG76" s="8">
        <v>0.6999984999594121</v>
      </c>
      <c r="BH76" s="8">
        <v>61.305522948570889</v>
      </c>
      <c r="BI76" s="8">
        <v>39.82290243783013</v>
      </c>
    </row>
    <row r="77" spans="1:61" x14ac:dyDescent="0.15">
      <c r="A77" s="7">
        <v>2021</v>
      </c>
      <c r="B77" s="7">
        <v>65</v>
      </c>
      <c r="C77" s="7">
        <v>86.838657967481694</v>
      </c>
      <c r="D77" s="7">
        <v>10.523862681537079</v>
      </c>
      <c r="E77" s="8">
        <v>22.510964024380261</v>
      </c>
      <c r="F77" s="8">
        <v>13.84177801111705</v>
      </c>
      <c r="G77" s="8">
        <v>0.50503147933351489</v>
      </c>
      <c r="H77" s="8">
        <v>58.454488178834069</v>
      </c>
      <c r="I77" s="8">
        <v>36.511654939529031</v>
      </c>
      <c r="J77" s="8">
        <v>24.94397763763876</v>
      </c>
      <c r="K77" s="8">
        <v>15.866893307944499</v>
      </c>
      <c r="L77" s="8">
        <v>0.53968994729302711</v>
      </c>
      <c r="M77" s="8">
        <v>52.539237418896512</v>
      </c>
      <c r="N77" s="8">
        <v>38.179498063144912</v>
      </c>
      <c r="O77" s="8">
        <v>289.27199999999999</v>
      </c>
      <c r="P77" s="8">
        <v>285.798</v>
      </c>
      <c r="Q77" s="8">
        <v>91.477100000000007</v>
      </c>
      <c r="R77" s="8">
        <v>-0.35231099999999999</v>
      </c>
      <c r="S77" s="8">
        <v>0.12726499999999999</v>
      </c>
      <c r="T77" s="7">
        <f>C77-D77</f>
        <v>76.314795285944612</v>
      </c>
      <c r="U77" s="8">
        <f>D77/C77</f>
        <v>0.12118868402454963</v>
      </c>
      <c r="V77" s="8">
        <v>22.109029193182359</v>
      </c>
      <c r="W77" s="8">
        <v>13.095208469966481</v>
      </c>
      <c r="X77" s="8">
        <v>0.47246769410135891</v>
      </c>
      <c r="Y77" s="8">
        <v>59.877528110351129</v>
      </c>
      <c r="Z77" s="8">
        <v>36.723038939937474</v>
      </c>
      <c r="AA77" s="7">
        <v>23.526503415410559</v>
      </c>
      <c r="AB77" s="7">
        <v>14.48105088895549</v>
      </c>
      <c r="AC77" s="7">
        <v>0.50607882069719301</v>
      </c>
      <c r="AD77" s="7">
        <v>56.208382764623821</v>
      </c>
      <c r="AE77" s="7">
        <v>37.451268501541193</v>
      </c>
      <c r="AF77" s="8">
        <v>24.82522229168806</v>
      </c>
      <c r="AG77" s="8">
        <v>16.472840688555429</v>
      </c>
      <c r="AH77" s="8">
        <v>0.5539790281323338</v>
      </c>
      <c r="AI77" s="8">
        <v>52.187891962479782</v>
      </c>
      <c r="AJ77" s="8">
        <v>38.816004060575708</v>
      </c>
      <c r="AK77" s="8">
        <v>24.969037703962812</v>
      </c>
      <c r="AL77" s="8">
        <v>15.739024693479831</v>
      </c>
      <c r="AM77" s="8">
        <v>0.53667462776634878</v>
      </c>
      <c r="AN77" s="8">
        <v>52.61337926379592</v>
      </c>
      <c r="AO77" s="8">
        <v>38.045180888759461</v>
      </c>
      <c r="AP77" s="8">
        <v>25.121653865209979</v>
      </c>
      <c r="AQ77" s="8">
        <v>15.446658669373219</v>
      </c>
      <c r="AR77" s="8">
        <v>0.50323576468539111</v>
      </c>
      <c r="AS77" s="8">
        <v>52.404929427541802</v>
      </c>
      <c r="AT77" s="8">
        <v>39.028423971497418</v>
      </c>
      <c r="AU77" s="8">
        <v>24.301296940255799</v>
      </c>
      <c r="AV77" s="8">
        <v>16.87620508407624</v>
      </c>
      <c r="AW77" s="8">
        <v>0.56947661324576648</v>
      </c>
      <c r="AX77" s="8">
        <v>57.337381879458142</v>
      </c>
      <c r="AY77" s="8">
        <v>36.216448967614539</v>
      </c>
      <c r="AZ77" s="8">
        <v>25.332296724719601</v>
      </c>
      <c r="BA77" s="8">
        <v>16.56289614884118</v>
      </c>
      <c r="BB77" s="8">
        <v>0.59855379907215822</v>
      </c>
      <c r="BC77" s="8">
        <v>54.483397847743447</v>
      </c>
      <c r="BD77" s="8">
        <v>35.286490239679488</v>
      </c>
      <c r="BE77" s="8">
        <v>25.498112305998301</v>
      </c>
      <c r="BF77" s="8">
        <v>26.187519858976639</v>
      </c>
      <c r="BG77" s="8">
        <v>0.49411063565658542</v>
      </c>
      <c r="BH77" s="8">
        <v>61.605080124731103</v>
      </c>
      <c r="BI77" s="8">
        <v>46.095621776559547</v>
      </c>
    </row>
    <row r="78" spans="1:61" x14ac:dyDescent="0.15">
      <c r="A78" s="7">
        <v>2022</v>
      </c>
      <c r="B78" s="7">
        <v>14</v>
      </c>
      <c r="C78" s="7">
        <v>46.724186604103849</v>
      </c>
      <c r="D78" s="7">
        <v>16.17764649452543</v>
      </c>
      <c r="E78" s="8">
        <v>21.16417462065024</v>
      </c>
      <c r="F78" s="8">
        <v>21.681436772264082</v>
      </c>
      <c r="G78" s="8">
        <v>0.50509563802988211</v>
      </c>
      <c r="H78" s="8">
        <v>71.409516890860928</v>
      </c>
      <c r="I78" s="8">
        <v>28.95734430462576</v>
      </c>
      <c r="J78" s="8">
        <v>24.99921441980311</v>
      </c>
      <c r="K78" s="8">
        <v>31.281550815916479</v>
      </c>
      <c r="L78" s="8">
        <v>0.64550004269082095</v>
      </c>
      <c r="M78" s="8">
        <v>68.0513448189012</v>
      </c>
      <c r="N78" s="8">
        <v>39.206064984036907</v>
      </c>
      <c r="O78" s="8">
        <v>290.68900000000002</v>
      </c>
      <c r="P78" s="8">
        <v>285.55599999999998</v>
      </c>
      <c r="Q78" s="8">
        <v>101.489</v>
      </c>
      <c r="R78" s="8">
        <v>-1.0014400000000001</v>
      </c>
      <c r="S78" s="8">
        <v>-0.29904900000000001</v>
      </c>
      <c r="T78" s="7">
        <f>C78-D78</f>
        <v>30.546540109578419</v>
      </c>
      <c r="U78" s="8">
        <f>D78/C78</f>
        <v>0.34623709197121744</v>
      </c>
      <c r="V78" s="8">
        <v>26.766664004273629</v>
      </c>
      <c r="W78" s="8">
        <v>25.389642577247361</v>
      </c>
      <c r="X78" s="8">
        <v>0.7655300627361542</v>
      </c>
      <c r="Y78" s="8">
        <v>68.780746477087504</v>
      </c>
      <c r="Z78" s="8">
        <v>41.532876756728207</v>
      </c>
      <c r="AA78" s="7">
        <v>25.882939212038369</v>
      </c>
      <c r="AB78" s="7">
        <v>28.33559669658192</v>
      </c>
      <c r="AC78" s="7">
        <v>0.70551505271348758</v>
      </c>
      <c r="AD78" s="7">
        <v>68.416045647994352</v>
      </c>
      <c r="AE78" s="7">
        <v>40.369470870382557</v>
      </c>
      <c r="AF78" s="8">
        <v>23.912372588896119</v>
      </c>
      <c r="AG78" s="8">
        <v>32.001283104091037</v>
      </c>
      <c r="AH78" s="8">
        <v>0.61266125552329009</v>
      </c>
      <c r="AI78" s="8">
        <v>67.60990667976651</v>
      </c>
      <c r="AJ78" s="8">
        <v>36.167542785089502</v>
      </c>
      <c r="AK78" s="8">
        <v>25.07168288466158</v>
      </c>
      <c r="AL78" s="8">
        <v>31.233560489679618</v>
      </c>
      <c r="AM78" s="8">
        <v>0.6476896681047225</v>
      </c>
      <c r="AN78" s="8">
        <v>68.080779041401044</v>
      </c>
      <c r="AO78" s="8">
        <v>39.408667637830938</v>
      </c>
      <c r="AP78" s="8">
        <v>24.641926776573978</v>
      </c>
      <c r="AQ78" s="8">
        <v>29.40213263630968</v>
      </c>
      <c r="AR78" s="8">
        <v>0.6577260624638005</v>
      </c>
      <c r="AS78" s="8">
        <v>68.95980203817723</v>
      </c>
      <c r="AT78" s="8">
        <v>38.383781315924097</v>
      </c>
      <c r="AU78" s="8">
        <v>31.01981302752802</v>
      </c>
      <c r="AV78" s="8">
        <v>29.53576828426252</v>
      </c>
      <c r="AW78" s="8">
        <v>0.64492881754491482</v>
      </c>
      <c r="AX78" s="8">
        <v>64.684052409522764</v>
      </c>
      <c r="AY78" s="8">
        <v>49.085961746556578</v>
      </c>
      <c r="AZ78" s="8">
        <v>26.796226025625788</v>
      </c>
      <c r="BA78" s="8">
        <v>30.133013869721509</v>
      </c>
      <c r="BB78" s="8">
        <v>0.67094210984457703</v>
      </c>
      <c r="BC78" s="8">
        <v>67.716619645058159</v>
      </c>
      <c r="BD78" s="8">
        <v>43.556792319408842</v>
      </c>
      <c r="BE78" s="8">
        <v>33.333924939466563</v>
      </c>
      <c r="BF78" s="8">
        <v>30.561140526594489</v>
      </c>
      <c r="BG78" s="8">
        <v>0.51685442373566459</v>
      </c>
      <c r="BH78" s="8">
        <v>60.186093232670267</v>
      </c>
      <c r="BI78" s="8">
        <v>56.606449877259188</v>
      </c>
    </row>
    <row r="79" spans="1:61" x14ac:dyDescent="0.15">
      <c r="A79" s="7">
        <v>2023</v>
      </c>
      <c r="B79" s="7">
        <v>78</v>
      </c>
      <c r="C79" s="9">
        <v>66.494474301713012</v>
      </c>
      <c r="D79" s="7">
        <v>19.469980172679989</v>
      </c>
      <c r="E79" s="8">
        <v>20.92320000170967</v>
      </c>
      <c r="F79" s="8">
        <v>20.111852216677349</v>
      </c>
      <c r="G79" s="8">
        <v>0.50608179314930879</v>
      </c>
      <c r="H79" s="8">
        <v>71.445606441131588</v>
      </c>
      <c r="I79" s="8">
        <v>37.498823360514663</v>
      </c>
      <c r="J79" s="8">
        <v>22.430335466871149</v>
      </c>
      <c r="K79" s="8">
        <v>29.95668888582518</v>
      </c>
      <c r="L79" s="8">
        <v>0.53338814113060795</v>
      </c>
      <c r="M79" s="8">
        <v>71.714528170977772</v>
      </c>
      <c r="N79" s="8">
        <v>44.180902892369822</v>
      </c>
      <c r="O79" s="7">
        <v>290.62</v>
      </c>
      <c r="P79" s="7">
        <v>285.76299999999998</v>
      </c>
      <c r="Q79" s="7">
        <v>100.48</v>
      </c>
      <c r="R79" s="7">
        <v>-0.58067999999999997</v>
      </c>
      <c r="S79" s="7">
        <v>-0.12906899999999999</v>
      </c>
      <c r="T79" s="7">
        <f>C79-D79</f>
        <v>47.024494129033023</v>
      </c>
      <c r="U79" s="8">
        <f>D79/C79</f>
        <v>0.29280598692060655</v>
      </c>
      <c r="V79" s="8">
        <v>21.305791315502731</v>
      </c>
      <c r="W79" s="8">
        <v>20.341804236641842</v>
      </c>
      <c r="X79" s="8">
        <v>0.51295682155262223</v>
      </c>
      <c r="Y79" s="8">
        <v>71.851614904553898</v>
      </c>
      <c r="Z79" s="8">
        <v>39.299125674671338</v>
      </c>
      <c r="AA79" s="7">
        <v>21.86806339118694</v>
      </c>
      <c r="AB79" s="7">
        <v>25.149246561233511</v>
      </c>
      <c r="AC79" s="7">
        <v>0.52317248134161509</v>
      </c>
      <c r="AD79" s="7">
        <v>71.783071537765835</v>
      </c>
      <c r="AE79" s="7">
        <v>41.74001428352058</v>
      </c>
      <c r="AF79" s="8">
        <v>22.650784314156539</v>
      </c>
      <c r="AG79" s="8">
        <v>30.70709536836921</v>
      </c>
      <c r="AH79" s="8">
        <v>0.5431335932345096</v>
      </c>
      <c r="AI79" s="8">
        <v>71.992801328446092</v>
      </c>
      <c r="AJ79" s="8">
        <v>44.411585342906697</v>
      </c>
      <c r="AK79" s="8">
        <v>22.403183945256789</v>
      </c>
      <c r="AL79" s="8">
        <v>29.864265277894141</v>
      </c>
      <c r="AM79" s="8">
        <v>0.53218784520391482</v>
      </c>
      <c r="AN79" s="8">
        <v>71.680254734111401</v>
      </c>
      <c r="AO79" s="8">
        <v>44.152490951826991</v>
      </c>
      <c r="AP79" s="8">
        <v>22.503394593473601</v>
      </c>
      <c r="AQ79" s="8">
        <v>27.864084866435761</v>
      </c>
      <c r="AR79" s="8">
        <v>0.52701419899943514</v>
      </c>
      <c r="AS79" s="8">
        <v>73.681080739494249</v>
      </c>
      <c r="AT79" s="8">
        <v>44.211531803797953</v>
      </c>
      <c r="AU79" s="8">
        <v>21.61326692195577</v>
      </c>
      <c r="AV79" s="8">
        <v>26.663534070074181</v>
      </c>
      <c r="AW79" s="8">
        <v>0.58725570104050329</v>
      </c>
      <c r="AX79" s="8">
        <v>65.956763700931972</v>
      </c>
      <c r="AY79" s="8">
        <v>45.3974598200302</v>
      </c>
      <c r="AZ79" s="8">
        <v>22.428936489782672</v>
      </c>
      <c r="BA79" s="8">
        <v>30.58377575190665</v>
      </c>
      <c r="BB79" s="8">
        <v>0.54506098559193239</v>
      </c>
      <c r="BC79" s="8">
        <v>68.219903463927594</v>
      </c>
      <c r="BD79" s="8">
        <v>45.071021359770548</v>
      </c>
      <c r="BE79" s="8">
        <v>22.710447801029609</v>
      </c>
      <c r="BF79" s="8">
        <v>29.55533311523514</v>
      </c>
      <c r="BG79" s="8">
        <v>0.61053855386697931</v>
      </c>
      <c r="BH79" s="8">
        <v>65.983140640373449</v>
      </c>
      <c r="BI79" s="8">
        <v>49.947650290370483</v>
      </c>
    </row>
    <row r="80" spans="1:61" x14ac:dyDescent="0.15">
      <c r="A80" s="7">
        <v>2023</v>
      </c>
      <c r="B80" s="7">
        <v>147</v>
      </c>
      <c r="C80" s="9">
        <v>32.589561250145479</v>
      </c>
      <c r="D80" s="7">
        <v>24.327680598303953</v>
      </c>
      <c r="E80" s="8">
        <v>32.428533632236856</v>
      </c>
      <c r="F80" s="8">
        <v>14.74104566859585</v>
      </c>
      <c r="G80" s="8">
        <v>0.50809232167910856</v>
      </c>
      <c r="H80" s="8">
        <v>76.494214297544261</v>
      </c>
      <c r="I80" s="8">
        <v>66.090159524424152</v>
      </c>
      <c r="J80" s="8">
        <v>30.055915461180291</v>
      </c>
      <c r="K80" s="8">
        <v>20.614392402664471</v>
      </c>
      <c r="L80" s="8">
        <v>0.53358960737800132</v>
      </c>
      <c r="M80" s="8">
        <v>71.306472293058533</v>
      </c>
      <c r="N80" s="8">
        <v>75.088020208128697</v>
      </c>
      <c r="O80" s="7">
        <v>283.50400000000002</v>
      </c>
      <c r="P80" s="7">
        <v>273.928</v>
      </c>
      <c r="Q80" s="7">
        <v>87.386200000000002</v>
      </c>
      <c r="R80" s="7">
        <v>0.26891100000000001</v>
      </c>
      <c r="S80" s="7">
        <v>9.3865699999999996E-2</v>
      </c>
      <c r="T80" s="7">
        <f>C80-D80</f>
        <v>8.2618806518415262</v>
      </c>
      <c r="U80" s="8">
        <f>D80/C80</f>
        <v>0.74648690148276708</v>
      </c>
      <c r="V80" s="8">
        <v>33.417286939877229</v>
      </c>
      <c r="W80" s="8">
        <v>13.74302434439285</v>
      </c>
      <c r="X80" s="8">
        <v>0.47946446992297731</v>
      </c>
      <c r="Y80" s="8">
        <v>74.701295714231463</v>
      </c>
      <c r="Z80" s="8">
        <v>63.901183578312455</v>
      </c>
      <c r="AA80" s="7">
        <v>31.73660120052876</v>
      </c>
      <c r="AB80" s="7">
        <v>17.178708373528661</v>
      </c>
      <c r="AC80" s="7">
        <v>0.50652703865048931</v>
      </c>
      <c r="AD80" s="7">
        <v>73.003884003644998</v>
      </c>
      <c r="AE80" s="7">
        <v>69.494601893220576</v>
      </c>
      <c r="AF80" s="8">
        <v>29.703489390765721</v>
      </c>
      <c r="AG80" s="8">
        <v>20.32568382149265</v>
      </c>
      <c r="AH80" s="8">
        <v>0.52454641684266812</v>
      </c>
      <c r="AI80" s="8">
        <v>71.427452019154401</v>
      </c>
      <c r="AJ80" s="8">
        <v>75.783971999415897</v>
      </c>
      <c r="AK80" s="8">
        <v>30.12581295657575</v>
      </c>
      <c r="AL80" s="8">
        <v>20.671652657841811</v>
      </c>
      <c r="AM80" s="8">
        <v>0.53538316472766068</v>
      </c>
      <c r="AN80" s="8">
        <v>71.282478098083729</v>
      </c>
      <c r="AO80" s="8">
        <v>74.949990444695686</v>
      </c>
      <c r="AP80" s="8">
        <v>31.5404546890422</v>
      </c>
      <c r="AQ80" s="8">
        <v>20.53014315269904</v>
      </c>
      <c r="AR80" s="8">
        <v>0.54356775047187766</v>
      </c>
      <c r="AS80" s="8">
        <v>70.8774440895629</v>
      </c>
      <c r="AT80" s="8">
        <v>75.137556413155878</v>
      </c>
      <c r="AU80" s="8">
        <v>31.240448229046329</v>
      </c>
      <c r="AV80" s="8">
        <v>18.24164774374287</v>
      </c>
      <c r="AW80" s="8">
        <v>0.49320220378346907</v>
      </c>
      <c r="AX80" s="8">
        <v>70.653744611673744</v>
      </c>
      <c r="AY80" s="8">
        <v>70.698188941940799</v>
      </c>
      <c r="AZ80" s="8">
        <v>28.568393682457629</v>
      </c>
      <c r="BA80" s="8">
        <v>22.830437585915849</v>
      </c>
      <c r="BB80" s="8">
        <v>0.56809280035725718</v>
      </c>
      <c r="BC80" s="8">
        <v>69.84146215581778</v>
      </c>
      <c r="BD80" s="8">
        <v>78.204898727308844</v>
      </c>
      <c r="BE80" s="8">
        <v>28.273922773454359</v>
      </c>
      <c r="BF80" s="8">
        <v>25.976370542887409</v>
      </c>
      <c r="BG80" s="8">
        <v>0.63920356373962328</v>
      </c>
      <c r="BH80" s="8">
        <v>66.251976362271506</v>
      </c>
      <c r="BI80" s="8">
        <v>77.165517545221903</v>
      </c>
    </row>
    <row r="81" spans="1:61" x14ac:dyDescent="0.15">
      <c r="A81" s="7">
        <v>2022</v>
      </c>
      <c r="B81" s="7">
        <v>136</v>
      </c>
      <c r="C81" s="7">
        <v>34.586042661959617</v>
      </c>
      <c r="D81" s="7">
        <v>29.800170892680807</v>
      </c>
      <c r="E81" s="8">
        <v>26.451361010445041</v>
      </c>
      <c r="F81" s="8">
        <v>16.943805207267818</v>
      </c>
      <c r="G81" s="8">
        <v>0.50876778945735435</v>
      </c>
      <c r="H81" s="8">
        <v>59.555580523214317</v>
      </c>
      <c r="I81" s="8">
        <v>42.389983226246088</v>
      </c>
      <c r="J81" s="8">
        <v>27.901268178090859</v>
      </c>
      <c r="K81" s="8">
        <v>24.33129248855758</v>
      </c>
      <c r="L81" s="8">
        <v>0.56417133202666359</v>
      </c>
      <c r="M81" s="8">
        <v>49.064367209852122</v>
      </c>
      <c r="N81" s="8">
        <v>45.453266799149588</v>
      </c>
      <c r="O81" s="8">
        <v>290.36099999999999</v>
      </c>
      <c r="P81" s="8">
        <v>285.53899999999999</v>
      </c>
      <c r="Q81" s="8">
        <v>93.956600000000009</v>
      </c>
      <c r="R81" s="8">
        <v>-0.71516900000000005</v>
      </c>
      <c r="S81" s="8">
        <v>-0.312801</v>
      </c>
      <c r="T81" s="7">
        <f>C81-D81</f>
        <v>4.7858717692788098</v>
      </c>
      <c r="U81" s="8">
        <f>D81/C81</f>
        <v>0.86162418707293509</v>
      </c>
      <c r="V81" s="8">
        <v>26.063040558351382</v>
      </c>
      <c r="W81" s="8">
        <v>16.77535721526116</v>
      </c>
      <c r="X81" s="8">
        <v>0.50415421971260999</v>
      </c>
      <c r="Y81" s="8">
        <v>57.549194025911262</v>
      </c>
      <c r="Z81" s="8">
        <v>42.587949979349077</v>
      </c>
      <c r="AA81" s="7">
        <v>26.982154368221121</v>
      </c>
      <c r="AB81" s="7">
        <v>20.55332485190937</v>
      </c>
      <c r="AC81" s="7">
        <v>0.53416277586963679</v>
      </c>
      <c r="AD81" s="7">
        <v>53.306780617881692</v>
      </c>
      <c r="AE81" s="7">
        <v>44.020608389249333</v>
      </c>
      <c r="AF81" s="8">
        <v>27.616231935157749</v>
      </c>
      <c r="AG81" s="8">
        <v>24.265428825708899</v>
      </c>
      <c r="AH81" s="8">
        <v>0.57527483184772987</v>
      </c>
      <c r="AI81" s="8">
        <v>50.271628047341913</v>
      </c>
      <c r="AJ81" s="8">
        <v>45.176638677450811</v>
      </c>
      <c r="AK81" s="8">
        <v>27.93522697251462</v>
      </c>
      <c r="AL81" s="8">
        <v>24.339139387477029</v>
      </c>
      <c r="AM81" s="8">
        <v>0.56284847755760481</v>
      </c>
      <c r="AN81" s="8">
        <v>48.920535947643863</v>
      </c>
      <c r="AO81" s="8">
        <v>45.486223862503813</v>
      </c>
      <c r="AP81" s="8">
        <v>27.487004504379129</v>
      </c>
      <c r="AQ81" s="8">
        <v>24.718492782275021</v>
      </c>
      <c r="AR81" s="8">
        <v>0.55871454443225332</v>
      </c>
      <c r="AS81" s="8">
        <v>46.092505792500553</v>
      </c>
      <c r="AT81" s="8">
        <v>45.944657259609428</v>
      </c>
      <c r="AU81" s="8">
        <v>27.281961823361311</v>
      </c>
      <c r="AV81" s="8">
        <v>22.715084570802262</v>
      </c>
      <c r="AW81" s="8">
        <v>0.5308826425265285</v>
      </c>
      <c r="AX81" s="8">
        <v>56.029497987206938</v>
      </c>
      <c r="AY81" s="8">
        <v>46.363573242492379</v>
      </c>
      <c r="AZ81" s="8">
        <v>28.86715951652754</v>
      </c>
      <c r="BA81" s="8">
        <v>27.054621427696521</v>
      </c>
      <c r="BB81" s="8">
        <v>0.60997618326169889</v>
      </c>
      <c r="BC81" s="8">
        <v>49.166518791224227</v>
      </c>
      <c r="BD81" s="8">
        <v>46.78675208512901</v>
      </c>
      <c r="BE81" s="8">
        <v>30.651983681183498</v>
      </c>
      <c r="BF81" s="8">
        <v>37.4288740187313</v>
      </c>
      <c r="BG81" s="8">
        <v>0.6230107366911064</v>
      </c>
      <c r="BH81" s="8">
        <v>43.61440308734916</v>
      </c>
      <c r="BI81" s="8">
        <v>55.764547886067582</v>
      </c>
    </row>
    <row r="82" spans="1:61" x14ac:dyDescent="0.15">
      <c r="A82" s="7">
        <v>2022</v>
      </c>
      <c r="B82" s="7">
        <v>105</v>
      </c>
      <c r="C82" s="7">
        <v>12.584256007644308</v>
      </c>
      <c r="D82" s="7">
        <v>0.30104880097843489</v>
      </c>
      <c r="E82" s="8">
        <v>26.40273874469629</v>
      </c>
      <c r="F82" s="8">
        <v>18.320252003770982</v>
      </c>
      <c r="G82" s="8">
        <v>0.50940924909286567</v>
      </c>
      <c r="H82" s="8">
        <v>68.545406111664221</v>
      </c>
      <c r="I82" s="8">
        <v>37.390732292565332</v>
      </c>
      <c r="J82" s="8">
        <v>31.89614658338397</v>
      </c>
      <c r="K82" s="8">
        <v>17.726823913095231</v>
      </c>
      <c r="L82" s="8">
        <v>0.48438037252461857</v>
      </c>
      <c r="M82" s="8">
        <v>72.310201434170352</v>
      </c>
      <c r="N82" s="8">
        <v>40.814471725216542</v>
      </c>
      <c r="O82" s="8">
        <v>290.02699999999999</v>
      </c>
      <c r="P82" s="8">
        <v>283.83699999999999</v>
      </c>
      <c r="Q82" s="8">
        <v>100.375</v>
      </c>
      <c r="R82" s="8">
        <v>-0.57806400000000002</v>
      </c>
      <c r="S82" s="8">
        <v>-0.16389500000000001</v>
      </c>
      <c r="T82" s="7">
        <f>C82-D82</f>
        <v>12.283207206665873</v>
      </c>
      <c r="U82" s="8">
        <f>D82/C82</f>
        <v>2.3922653893528767E-2</v>
      </c>
      <c r="V82" s="8">
        <v>26.612403384025551</v>
      </c>
      <c r="W82" s="8">
        <v>19.102174217543471</v>
      </c>
      <c r="X82" s="8">
        <v>0.51108847997696882</v>
      </c>
      <c r="Y82" s="8">
        <v>64.343204051357134</v>
      </c>
      <c r="Z82" s="8">
        <v>34.697861639681442</v>
      </c>
      <c r="AA82" s="7">
        <v>29.254274983704761</v>
      </c>
      <c r="AB82" s="7">
        <v>18.414499065319351</v>
      </c>
      <c r="AC82" s="7">
        <v>0.49773442625079373</v>
      </c>
      <c r="AD82" s="7">
        <v>68.326702742763743</v>
      </c>
      <c r="AE82" s="7">
        <v>37.756166682448992</v>
      </c>
      <c r="AF82" s="8">
        <v>33.899453372750337</v>
      </c>
      <c r="AG82" s="8">
        <v>18.464770980411569</v>
      </c>
      <c r="AH82" s="8">
        <v>0.49322287102933332</v>
      </c>
      <c r="AI82" s="8">
        <v>72.353001665889494</v>
      </c>
      <c r="AJ82" s="8">
        <v>42.980898743643053</v>
      </c>
      <c r="AK82" s="8">
        <v>31.66484593806813</v>
      </c>
      <c r="AL82" s="8">
        <v>17.6416209707475</v>
      </c>
      <c r="AM82" s="8">
        <v>0.48335942275237143</v>
      </c>
      <c r="AN82" s="8">
        <v>72.305259744126246</v>
      </c>
      <c r="AO82" s="8">
        <v>40.564337312428862</v>
      </c>
      <c r="AP82" s="8">
        <v>29.727653850978609</v>
      </c>
      <c r="AQ82" s="8">
        <v>18.489575357329791</v>
      </c>
      <c r="AR82" s="8">
        <v>0.48916267965747728</v>
      </c>
      <c r="AS82" s="8">
        <v>67.842174711223024</v>
      </c>
      <c r="AT82" s="8">
        <v>37.129359681830501</v>
      </c>
      <c r="AU82" s="8">
        <v>26.403871914733191</v>
      </c>
      <c r="AV82" s="8">
        <v>18.005039258880629</v>
      </c>
      <c r="AW82" s="8">
        <v>0.49110270202257239</v>
      </c>
      <c r="AX82" s="8">
        <v>69.075032131351662</v>
      </c>
      <c r="AY82" s="8">
        <v>42.221825926365582</v>
      </c>
      <c r="AZ82" s="8">
        <v>30.909646284487788</v>
      </c>
      <c r="BA82" s="8">
        <v>18.05359470066848</v>
      </c>
      <c r="BB82" s="8">
        <v>0.48400300687752579</v>
      </c>
      <c r="BC82" s="8">
        <v>71.734701762489948</v>
      </c>
      <c r="BD82" s="8">
        <v>40.219678357299358</v>
      </c>
      <c r="BE82" s="8">
        <v>27.79465810813781</v>
      </c>
      <c r="BF82" s="8">
        <v>23.776235184141822</v>
      </c>
      <c r="BG82" s="8">
        <v>0.53277738687274168</v>
      </c>
      <c r="BH82" s="8">
        <v>69.636722406212087</v>
      </c>
      <c r="BI82" s="8">
        <v>58.022937498322051</v>
      </c>
    </row>
    <row r="83" spans="1:61" x14ac:dyDescent="0.15">
      <c r="A83" s="7">
        <v>2020</v>
      </c>
      <c r="B83" s="7">
        <v>65</v>
      </c>
      <c r="C83" s="7">
        <v>57.47172107598314</v>
      </c>
      <c r="D83" s="7">
        <v>43.805037414919219</v>
      </c>
      <c r="E83" s="8">
        <v>21.243471167904922</v>
      </c>
      <c r="F83" s="8">
        <v>11.43370950445172</v>
      </c>
      <c r="G83" s="8">
        <v>0.51074096491500387</v>
      </c>
      <c r="H83" s="8">
        <v>66.387452058817004</v>
      </c>
      <c r="I83" s="8">
        <v>32.859616325413249</v>
      </c>
      <c r="J83" s="8">
        <v>24.56706338363097</v>
      </c>
      <c r="K83" s="8">
        <v>14.07738889104631</v>
      </c>
      <c r="L83" s="8">
        <v>0.55224038382136553</v>
      </c>
      <c r="M83" s="8">
        <v>57.350696106843309</v>
      </c>
      <c r="N83" s="8">
        <v>36.229290571118312</v>
      </c>
      <c r="O83" s="8">
        <v>288.83699999999999</v>
      </c>
      <c r="P83" s="8">
        <v>285.483</v>
      </c>
      <c r="Q83" s="8">
        <v>91.486000000000004</v>
      </c>
      <c r="R83" s="8">
        <v>-0.46564899999999998</v>
      </c>
      <c r="S83" s="8">
        <v>0.16303100000000001</v>
      </c>
      <c r="T83" s="7">
        <f>C83-D83</f>
        <v>13.666683661063921</v>
      </c>
      <c r="U83" s="8">
        <f>D83/C83</f>
        <v>0.76220159401533749</v>
      </c>
      <c r="V83" s="8">
        <v>20.370311716895689</v>
      </c>
      <c r="W83" s="8">
        <v>9.7985214906180307</v>
      </c>
      <c r="X83" s="8">
        <v>0.47454272961160016</v>
      </c>
      <c r="Y83" s="8">
        <v>70.290251214039756</v>
      </c>
      <c r="Z83" s="8">
        <v>31.563660955721986</v>
      </c>
      <c r="AA83" s="7">
        <v>22.468687550263329</v>
      </c>
      <c r="AB83" s="7">
        <v>11.93795519083217</v>
      </c>
      <c r="AC83" s="7">
        <v>0.51339155671648284</v>
      </c>
      <c r="AD83" s="7">
        <v>63.820473660441529</v>
      </c>
      <c r="AE83" s="7">
        <v>33.896475763420149</v>
      </c>
      <c r="AF83" s="8">
        <v>24.682345307734391</v>
      </c>
      <c r="AG83" s="8">
        <v>14.33914697448227</v>
      </c>
      <c r="AH83" s="8">
        <v>0.55217560236852647</v>
      </c>
      <c r="AI83" s="8">
        <v>56.014131736647244</v>
      </c>
      <c r="AJ83" s="8">
        <v>37.147802597434868</v>
      </c>
      <c r="AK83" s="8">
        <v>24.547412916962681</v>
      </c>
      <c r="AL83" s="8">
        <v>14.03277072099303</v>
      </c>
      <c r="AM83" s="8">
        <v>0.55225142619240186</v>
      </c>
      <c r="AN83" s="8">
        <v>57.578521187061519</v>
      </c>
      <c r="AO83" s="8">
        <v>36.072724916112669</v>
      </c>
      <c r="AP83" s="8">
        <v>24.319246964525401</v>
      </c>
      <c r="AQ83" s="8">
        <v>12.62614133787179</v>
      </c>
      <c r="AR83" s="8">
        <v>0.51360544976785238</v>
      </c>
      <c r="AS83" s="8">
        <v>59.808572093446742</v>
      </c>
      <c r="AT83" s="8">
        <v>35.444480545683007</v>
      </c>
      <c r="AU83" s="8">
        <v>23.374302454126841</v>
      </c>
      <c r="AV83" s="8">
        <v>16.056479716123771</v>
      </c>
      <c r="AW83" s="8">
        <v>0.59637172511780989</v>
      </c>
      <c r="AX83" s="8">
        <v>60.209895149147243</v>
      </c>
      <c r="AY83" s="8">
        <v>35.132703390141053</v>
      </c>
      <c r="AZ83" s="8">
        <v>25.067424227943139</v>
      </c>
      <c r="BA83" s="8">
        <v>16.38067195702634</v>
      </c>
      <c r="BB83" s="8">
        <v>0.62735713891715628</v>
      </c>
      <c r="BC83" s="8">
        <v>54.953692204701092</v>
      </c>
      <c r="BD83" s="8">
        <v>35.973840762386217</v>
      </c>
      <c r="BE83" s="8">
        <v>24.893830319637409</v>
      </c>
      <c r="BF83" s="8">
        <v>26.486482416909261</v>
      </c>
      <c r="BG83" s="8">
        <v>0.52082877306265796</v>
      </c>
      <c r="BH83" s="8">
        <v>64.70699340737275</v>
      </c>
      <c r="BI83" s="8">
        <v>44.763712238264389</v>
      </c>
    </row>
    <row r="84" spans="1:61" x14ac:dyDescent="0.15">
      <c r="A84" s="7">
        <v>2022</v>
      </c>
      <c r="B84" s="7">
        <v>99</v>
      </c>
      <c r="C84" s="7">
        <v>21.462989242672712</v>
      </c>
      <c r="D84" s="7">
        <v>15.766993201617437</v>
      </c>
      <c r="E84" s="8">
        <v>13.42305552359986</v>
      </c>
      <c r="F84" s="8">
        <v>7.2184590594444904</v>
      </c>
      <c r="G84" s="8">
        <v>0.51093966050104889</v>
      </c>
      <c r="H84" s="8">
        <v>67.236433237434866</v>
      </c>
      <c r="I84" s="8">
        <v>20.556643468476931</v>
      </c>
      <c r="J84" s="8">
        <v>16.857911241319702</v>
      </c>
      <c r="K84" s="8">
        <v>11.486884024739901</v>
      </c>
      <c r="L84" s="8">
        <v>0.51010442195662309</v>
      </c>
      <c r="M84" s="8">
        <v>60.169413200746042</v>
      </c>
      <c r="N84" s="8">
        <v>26.724726141118541</v>
      </c>
      <c r="O84" s="8">
        <v>293.077</v>
      </c>
      <c r="P84" s="8">
        <v>288.43299999999999</v>
      </c>
      <c r="Q84" s="8">
        <v>95.710800000000006</v>
      </c>
      <c r="R84" s="8">
        <v>-0.17624899999999999</v>
      </c>
      <c r="S84" s="8">
        <v>-0.27380599999999999</v>
      </c>
      <c r="T84" s="7">
        <f>C84-D84</f>
        <v>5.6959960410552757</v>
      </c>
      <c r="U84" s="8">
        <f>D84/C84</f>
        <v>0.73461310646652622</v>
      </c>
      <c r="V84" s="8">
        <v>10.958452991061698</v>
      </c>
      <c r="W84" s="8">
        <v>4.189451825307307</v>
      </c>
      <c r="X84" s="8">
        <v>0.51221032382962428</v>
      </c>
      <c r="Y84" s="8">
        <v>72.450570823689333</v>
      </c>
      <c r="Z84" s="8">
        <v>15.891349865627635</v>
      </c>
      <c r="AA84" s="7">
        <v>13.9081821161907</v>
      </c>
      <c r="AB84" s="7">
        <v>7.8381679250236038</v>
      </c>
      <c r="AC84" s="7">
        <v>0.51115737289312368</v>
      </c>
      <c r="AD84" s="7">
        <v>66.309992012217691</v>
      </c>
      <c r="AE84" s="7">
        <v>21.308038003373088</v>
      </c>
      <c r="AF84" s="8">
        <v>16.648963227394791</v>
      </c>
      <c r="AG84" s="8">
        <v>10.29882739896086</v>
      </c>
      <c r="AH84" s="8">
        <v>0.51208923281696539</v>
      </c>
      <c r="AI84" s="8">
        <v>60.104421606120681</v>
      </c>
      <c r="AJ84" s="8">
        <v>26.818113662305791</v>
      </c>
      <c r="AK84" s="8">
        <v>16.902520056239752</v>
      </c>
      <c r="AL84" s="8">
        <v>11.740525096212171</v>
      </c>
      <c r="AM84" s="8">
        <v>0.50968067990396049</v>
      </c>
      <c r="AN84" s="8">
        <v>60.183288412869601</v>
      </c>
      <c r="AO84" s="8">
        <v>26.704788614217801</v>
      </c>
      <c r="AP84" s="8">
        <v>17.838963264726129</v>
      </c>
      <c r="AQ84" s="8">
        <v>12.284654619419779</v>
      </c>
      <c r="AR84" s="8">
        <v>0.50124414287564911</v>
      </c>
      <c r="AS84" s="8">
        <v>59.01039815502731</v>
      </c>
      <c r="AT84" s="8">
        <v>26.900692045788631</v>
      </c>
      <c r="AU84" s="8">
        <v>17.339612319124971</v>
      </c>
      <c r="AV84" s="8">
        <v>14.587554613123769</v>
      </c>
      <c r="AW84" s="8">
        <v>0.53715747716350493</v>
      </c>
      <c r="AX84" s="8">
        <v>61.285856967950693</v>
      </c>
      <c r="AY84" s="8">
        <v>27.041124852896679</v>
      </c>
      <c r="AZ84" s="8">
        <v>17.540044867154791</v>
      </c>
      <c r="BA84" s="8">
        <v>15.14901300486957</v>
      </c>
      <c r="BB84" s="8">
        <v>0.54851588535288054</v>
      </c>
      <c r="BC84" s="8">
        <v>58.544825629752012</v>
      </c>
      <c r="BD84" s="8">
        <v>29.23009515610941</v>
      </c>
      <c r="BE84" s="8">
        <v>22.83161020424896</v>
      </c>
      <c r="BF84" s="8">
        <v>19.685342588541179</v>
      </c>
      <c r="BG84" s="8">
        <v>0.7047745373810459</v>
      </c>
      <c r="BH84" s="8">
        <v>59.325707158755407</v>
      </c>
      <c r="BI84" s="8">
        <v>35.602117832383151</v>
      </c>
    </row>
    <row r="85" spans="1:61" x14ac:dyDescent="0.15">
      <c r="A85" s="7">
        <v>2021</v>
      </c>
      <c r="B85" s="7">
        <v>44</v>
      </c>
      <c r="C85" s="7">
        <v>129.71303116932452</v>
      </c>
      <c r="D85" s="7">
        <v>106.41484141196935</v>
      </c>
      <c r="E85" s="8">
        <v>14.6888514253586</v>
      </c>
      <c r="F85" s="8">
        <v>13.32872979990826</v>
      </c>
      <c r="G85" s="8">
        <v>0.51158523687823043</v>
      </c>
      <c r="H85" s="8">
        <v>71.853401344702235</v>
      </c>
      <c r="I85" s="8">
        <v>20.05635289838413</v>
      </c>
      <c r="J85" s="8">
        <v>18.315445357064899</v>
      </c>
      <c r="K85" s="8">
        <v>20.44811381396967</v>
      </c>
      <c r="L85" s="8">
        <v>0.58588349423075936</v>
      </c>
      <c r="M85" s="8">
        <v>66.168835010064655</v>
      </c>
      <c r="N85" s="8">
        <v>29.84836786804145</v>
      </c>
      <c r="O85" s="8">
        <v>291.94400000000002</v>
      </c>
      <c r="P85" s="8">
        <v>287.435</v>
      </c>
      <c r="Q85" s="8">
        <v>98.558600000000013</v>
      </c>
      <c r="R85" s="8">
        <v>-0.35358200000000001</v>
      </c>
      <c r="S85" s="8">
        <v>-0.49215100000000001</v>
      </c>
      <c r="T85" s="7">
        <f>C85-D85</f>
        <v>23.298189757355175</v>
      </c>
      <c r="U85" s="8">
        <f>D85/C85</f>
        <v>0.82038666780562519</v>
      </c>
      <c r="V85" s="8">
        <v>15.505230827575541</v>
      </c>
      <c r="W85" s="8">
        <v>12.760691813725728</v>
      </c>
      <c r="X85" s="8">
        <v>0.55427614678108106</v>
      </c>
      <c r="Y85" s="8">
        <v>72.307854377741549</v>
      </c>
      <c r="Z85" s="8">
        <v>20.961856464720292</v>
      </c>
      <c r="AA85" s="7">
        <v>16.91033809232022</v>
      </c>
      <c r="AB85" s="7">
        <v>16.604402813847699</v>
      </c>
      <c r="AC85" s="7">
        <v>0.57007982050592021</v>
      </c>
      <c r="AD85" s="7">
        <v>69.238344693903102</v>
      </c>
      <c r="AE85" s="7">
        <v>25.405112166380871</v>
      </c>
      <c r="AF85" s="8">
        <v>18.373281331600161</v>
      </c>
      <c r="AG85" s="8">
        <v>20.746326453141961</v>
      </c>
      <c r="AH85" s="8">
        <v>0.60655989263793264</v>
      </c>
      <c r="AI85" s="8">
        <v>65.562229637494426</v>
      </c>
      <c r="AJ85" s="8">
        <v>28.792905737848312</v>
      </c>
      <c r="AK85" s="8">
        <v>18.30983955877802</v>
      </c>
      <c r="AL85" s="8">
        <v>20.419209314387359</v>
      </c>
      <c r="AM85" s="8">
        <v>0.58387941770743534</v>
      </c>
      <c r="AN85" s="8">
        <v>66.227630723038942</v>
      </c>
      <c r="AO85" s="8">
        <v>29.950669382779331</v>
      </c>
      <c r="AP85" s="8">
        <v>18.95839904009901</v>
      </c>
      <c r="AQ85" s="8">
        <v>20.096966663240071</v>
      </c>
      <c r="AR85" s="8">
        <v>0.60664777827363647</v>
      </c>
      <c r="AS85" s="8">
        <v>65.249627260334179</v>
      </c>
      <c r="AT85" s="8">
        <v>28.009908696303459</v>
      </c>
      <c r="AU85" s="8">
        <v>18.645539515707231</v>
      </c>
      <c r="AV85" s="8">
        <v>16.97042534897076</v>
      </c>
      <c r="AW85" s="8">
        <v>0.62659747551374745</v>
      </c>
      <c r="AX85" s="8">
        <v>67.741795003690072</v>
      </c>
      <c r="AY85" s="8">
        <v>26.172434867922551</v>
      </c>
      <c r="AZ85" s="8">
        <v>19.094440963111111</v>
      </c>
      <c r="BA85" s="8">
        <v>21.1832220273586</v>
      </c>
      <c r="BB85" s="8">
        <v>0.56624371392703088</v>
      </c>
      <c r="BC85" s="8">
        <v>66.254317918015573</v>
      </c>
      <c r="BD85" s="8">
        <v>33.487246877353861</v>
      </c>
      <c r="BE85" s="8">
        <v>25.57916377850254</v>
      </c>
      <c r="BF85" s="8">
        <v>25.107067063333599</v>
      </c>
      <c r="BG85" s="8">
        <v>0.60464167387297763</v>
      </c>
      <c r="BH85" s="8">
        <v>62.090937122251567</v>
      </c>
      <c r="BI85" s="8">
        <v>38.857900991859474</v>
      </c>
    </row>
    <row r="86" spans="1:61" x14ac:dyDescent="0.15">
      <c r="A86" s="7">
        <v>2023</v>
      </c>
      <c r="B86" s="7">
        <v>25</v>
      </c>
      <c r="C86" s="9">
        <v>160.41130620918938</v>
      </c>
      <c r="D86" s="7">
        <v>2.4741329539674939</v>
      </c>
      <c r="E86" s="8">
        <v>24.397740912832809</v>
      </c>
      <c r="F86" s="8">
        <v>24.628907506394839</v>
      </c>
      <c r="G86" s="8">
        <v>0.51164249338366252</v>
      </c>
      <c r="H86" s="8">
        <v>71.521694225956168</v>
      </c>
      <c r="I86" s="8">
        <v>43.964144588496517</v>
      </c>
      <c r="J86" s="8">
        <v>24.077457266193811</v>
      </c>
      <c r="K86" s="8">
        <v>24.292226033064772</v>
      </c>
      <c r="L86" s="8">
        <v>0.51726465719007031</v>
      </c>
      <c r="M86" s="8">
        <v>75.785237510124375</v>
      </c>
      <c r="N86" s="8">
        <v>47.412132940947821</v>
      </c>
      <c r="O86" s="7">
        <v>290.404</v>
      </c>
      <c r="P86" s="7">
        <v>285.41699999999997</v>
      </c>
      <c r="Q86" s="7">
        <v>101.49299999999999</v>
      </c>
      <c r="R86" s="7">
        <v>-0.79679900000000004</v>
      </c>
      <c r="S86" s="7">
        <v>-0.13972599999999999</v>
      </c>
      <c r="T86" s="7">
        <f>C86-D86</f>
        <v>157.93717325522189</v>
      </c>
      <c r="U86" s="8">
        <f>D86/C86</f>
        <v>1.542368186155796E-2</v>
      </c>
      <c r="V86" s="8">
        <v>25.520462255092589</v>
      </c>
      <c r="W86" s="8">
        <v>23.198674295118408</v>
      </c>
      <c r="X86" s="8">
        <v>0.50145757132903612</v>
      </c>
      <c r="Y86" s="8">
        <v>75.047244674441487</v>
      </c>
      <c r="Z86" s="8">
        <v>49.077967769277485</v>
      </c>
      <c r="AA86" s="7">
        <v>24.7989597606432</v>
      </c>
      <c r="AB86" s="7">
        <v>23.74545016409159</v>
      </c>
      <c r="AC86" s="7">
        <v>0.50936111425955322</v>
      </c>
      <c r="AD86" s="7">
        <v>75.416241092282931</v>
      </c>
      <c r="AE86" s="7">
        <v>48.245050355112653</v>
      </c>
      <c r="AF86" s="8">
        <v>23.818538107846031</v>
      </c>
      <c r="AG86" s="8">
        <v>24.53011492474122</v>
      </c>
      <c r="AH86" s="8">
        <v>0.5418625464325868</v>
      </c>
      <c r="AI86" s="8">
        <v>75.246766900313943</v>
      </c>
      <c r="AJ86" s="8">
        <v>46.947436615595713</v>
      </c>
      <c r="AK86" s="8">
        <v>24.097935881140231</v>
      </c>
      <c r="AL86" s="8">
        <v>24.273410758661129</v>
      </c>
      <c r="AM86" s="8">
        <v>0.51531914375063803</v>
      </c>
      <c r="AN86" s="8">
        <v>75.827826603757458</v>
      </c>
      <c r="AO86" s="8">
        <v>47.448887027337669</v>
      </c>
      <c r="AP86" s="8">
        <v>25.05527494882493</v>
      </c>
      <c r="AQ86" s="8">
        <v>23.739001321886509</v>
      </c>
      <c r="AR86" s="8">
        <v>0.51088813427825652</v>
      </c>
      <c r="AS86" s="8">
        <v>76.845298996414328</v>
      </c>
      <c r="AT86" s="8">
        <v>48.563388698462198</v>
      </c>
      <c r="AU86" s="8">
        <v>22.753427697606291</v>
      </c>
      <c r="AV86" s="8">
        <v>29.893200718891141</v>
      </c>
      <c r="AW86" s="8">
        <v>0.63131019897400542</v>
      </c>
      <c r="AX86" s="8">
        <v>64.243616882392132</v>
      </c>
      <c r="AY86" s="8">
        <v>47.477566196940479</v>
      </c>
      <c r="AZ86" s="8">
        <v>24.37248485916621</v>
      </c>
      <c r="BA86" s="8">
        <v>24.507154097894588</v>
      </c>
      <c r="BB86" s="8">
        <v>0.52013045849048067</v>
      </c>
      <c r="BC86" s="8">
        <v>74.223170022666409</v>
      </c>
      <c r="BD86" s="8">
        <v>48.109214964943369</v>
      </c>
      <c r="BE86" s="8">
        <v>24.03643559166332</v>
      </c>
      <c r="BF86" s="8">
        <v>30.428007747463841</v>
      </c>
      <c r="BG86" s="8">
        <v>0.6277444804615967</v>
      </c>
      <c r="BH86" s="8">
        <v>63.160604890889772</v>
      </c>
      <c r="BI86" s="8">
        <v>48.969103120054648</v>
      </c>
    </row>
    <row r="87" spans="1:61" x14ac:dyDescent="0.15">
      <c r="A87" s="7">
        <v>2023</v>
      </c>
      <c r="B87" s="7">
        <v>43</v>
      </c>
      <c r="C87" s="9">
        <v>32.663721416089295</v>
      </c>
      <c r="D87" s="7">
        <v>16.976094243162549</v>
      </c>
      <c r="E87" s="8">
        <v>27.682729900802659</v>
      </c>
      <c r="F87" s="8">
        <v>24.408106791354989</v>
      </c>
      <c r="G87" s="8">
        <v>0.5117122767668284</v>
      </c>
      <c r="H87" s="8">
        <v>68.220642437590982</v>
      </c>
      <c r="I87" s="8">
        <v>53.21820720175625</v>
      </c>
      <c r="J87" s="8">
        <v>24.78813275859331</v>
      </c>
      <c r="K87" s="8">
        <v>20.78241637000032</v>
      </c>
      <c r="L87" s="8">
        <v>0.47349685759362281</v>
      </c>
      <c r="M87" s="8">
        <v>78.340494207404262</v>
      </c>
      <c r="N87" s="8">
        <v>47.634675764607408</v>
      </c>
      <c r="O87" s="7">
        <v>289.59800000000001</v>
      </c>
      <c r="P87" s="7">
        <v>284.18700000000001</v>
      </c>
      <c r="Q87" s="7">
        <v>101.646</v>
      </c>
      <c r="R87" s="7">
        <v>-0.599661</v>
      </c>
      <c r="S87" s="7">
        <v>-0.132857</v>
      </c>
      <c r="T87" s="7">
        <f>C87-D87</f>
        <v>15.687627172926746</v>
      </c>
      <c r="U87" s="8">
        <f>D87/C87</f>
        <v>0.51972321300782864</v>
      </c>
      <c r="V87" s="8">
        <v>26.867877601980428</v>
      </c>
      <c r="W87" s="8">
        <v>20.641502163900682</v>
      </c>
      <c r="X87" s="8">
        <v>0.47851516709130837</v>
      </c>
      <c r="Y87" s="8">
        <v>77.621022724871793</v>
      </c>
      <c r="Z87" s="8">
        <v>50.359514072256118</v>
      </c>
      <c r="AA87" s="7">
        <v>25.828005180286869</v>
      </c>
      <c r="AB87" s="7">
        <v>20.711959266950501</v>
      </c>
      <c r="AC87" s="7">
        <v>0.47600601234246559</v>
      </c>
      <c r="AD87" s="7">
        <v>77.980758466138028</v>
      </c>
      <c r="AE87" s="7">
        <v>48.997094918431763</v>
      </c>
      <c r="AF87" s="8">
        <v>24.48951792394902</v>
      </c>
      <c r="AG87" s="8">
        <v>20.710056169259691</v>
      </c>
      <c r="AH87" s="8">
        <v>0.49184821623182789</v>
      </c>
      <c r="AI87" s="8">
        <v>77.886978952124949</v>
      </c>
      <c r="AJ87" s="8">
        <v>46.330630890860078</v>
      </c>
      <c r="AK87" s="8">
        <v>24.805741146869309</v>
      </c>
      <c r="AL87" s="8">
        <v>20.786683226038761</v>
      </c>
      <c r="AM87" s="8">
        <v>0.47241473503705728</v>
      </c>
      <c r="AN87" s="8">
        <v>78.367236591832551</v>
      </c>
      <c r="AO87" s="8">
        <v>47.711571235971448</v>
      </c>
      <c r="AP87" s="8">
        <v>25.911404044476811</v>
      </c>
      <c r="AQ87" s="8">
        <v>20.647768705985349</v>
      </c>
      <c r="AR87" s="8">
        <v>0.47519724160913968</v>
      </c>
      <c r="AS87" s="8">
        <v>78.748498932952145</v>
      </c>
      <c r="AT87" s="8">
        <v>48.827537328146867</v>
      </c>
      <c r="AU87" s="8">
        <v>26.34277834034495</v>
      </c>
      <c r="AV87" s="8">
        <v>26.835730113485479</v>
      </c>
      <c r="AW87" s="8">
        <v>0.54228524772985642</v>
      </c>
      <c r="AX87" s="8">
        <v>71.788982460194106</v>
      </c>
      <c r="AY87" s="8">
        <v>62.008376048078198</v>
      </c>
      <c r="AZ87" s="8">
        <v>25.29755496378635</v>
      </c>
      <c r="BA87" s="8">
        <v>21.36670388246629</v>
      </c>
      <c r="BB87" s="8">
        <v>0.48373477979109553</v>
      </c>
      <c r="BC87" s="8">
        <v>76.996160911517109</v>
      </c>
      <c r="BD87" s="8">
        <v>49.263067098576848</v>
      </c>
      <c r="BE87" s="8">
        <v>23.650105120309629</v>
      </c>
      <c r="BF87" s="8">
        <v>29.37858382876264</v>
      </c>
      <c r="BG87" s="8">
        <v>0.65941389421290153</v>
      </c>
      <c r="BH87" s="8">
        <v>62.428293025809523</v>
      </c>
      <c r="BI87" s="8">
        <v>44.708941847283917</v>
      </c>
    </row>
    <row r="88" spans="1:61" x14ac:dyDescent="0.15">
      <c r="A88" s="7">
        <v>2022</v>
      </c>
      <c r="B88" s="7">
        <v>33</v>
      </c>
      <c r="C88" s="7">
        <v>65.825375433415559</v>
      </c>
      <c r="D88" s="7">
        <v>43.064511508702225</v>
      </c>
      <c r="E88" s="8">
        <v>17.266612426979972</v>
      </c>
      <c r="F88" s="8">
        <v>9.1107237972135273</v>
      </c>
      <c r="G88" s="8">
        <v>0.51198243945578026</v>
      </c>
      <c r="H88" s="8">
        <v>61.537508588702053</v>
      </c>
      <c r="I88" s="8">
        <v>25.853449376064681</v>
      </c>
      <c r="J88" s="8">
        <v>21.455080820279441</v>
      </c>
      <c r="K88" s="8">
        <v>12.54084156672134</v>
      </c>
      <c r="L88" s="8">
        <v>0.58481741696821155</v>
      </c>
      <c r="M88" s="8">
        <v>57.515492877410857</v>
      </c>
      <c r="N88" s="8">
        <v>34.00434450798717</v>
      </c>
      <c r="O88" s="8">
        <v>288.39400000000001</v>
      </c>
      <c r="P88" s="8">
        <v>282.065</v>
      </c>
      <c r="Q88" s="8">
        <v>79.024799999999999</v>
      </c>
      <c r="R88" s="8">
        <v>0.38528299999999999</v>
      </c>
      <c r="S88" s="8">
        <v>1.11748</v>
      </c>
      <c r="T88" s="7">
        <f>C88-D88</f>
        <v>22.760863924713334</v>
      </c>
      <c r="U88" s="8">
        <f>D88/C88</f>
        <v>0.65422356082516131</v>
      </c>
      <c r="V88" s="8">
        <v>15.857755054312179</v>
      </c>
      <c r="W88" s="8">
        <v>7.0659988793237254</v>
      </c>
      <c r="X88" s="8">
        <v>0.49800030364362502</v>
      </c>
      <c r="Y88" s="8">
        <v>60.676922606084084</v>
      </c>
      <c r="Z88" s="8">
        <v>24.034538136729488</v>
      </c>
      <c r="AA88" s="7">
        <v>18.65641793729581</v>
      </c>
      <c r="AB88" s="7">
        <v>9.8034202230225329</v>
      </c>
      <c r="AC88" s="7">
        <v>0.54140886030591828</v>
      </c>
      <c r="AD88" s="7">
        <v>59.09620774174747</v>
      </c>
      <c r="AE88" s="7">
        <v>29.019441322358329</v>
      </c>
      <c r="AF88" s="8">
        <v>21.901910556357599</v>
      </c>
      <c r="AG88" s="8">
        <v>13.565633880803651</v>
      </c>
      <c r="AH88" s="8">
        <v>0.59077943881596984</v>
      </c>
      <c r="AI88" s="8">
        <v>58.003589918321062</v>
      </c>
      <c r="AJ88" s="8">
        <v>34.044884402001607</v>
      </c>
      <c r="AK88" s="8">
        <v>21.369337187817582</v>
      </c>
      <c r="AL88" s="8">
        <v>12.34419078806088</v>
      </c>
      <c r="AM88" s="8">
        <v>0.58367334492293821</v>
      </c>
      <c r="AN88" s="8">
        <v>57.421830325654881</v>
      </c>
      <c r="AO88" s="8">
        <v>33.996565173955091</v>
      </c>
      <c r="AP88" s="8">
        <v>20.178180886347558</v>
      </c>
      <c r="AQ88" s="8">
        <v>10.07844419927194</v>
      </c>
      <c r="AR88" s="8">
        <v>0.57861901348706701</v>
      </c>
      <c r="AS88" s="8">
        <v>55.965389196433968</v>
      </c>
      <c r="AT88" s="8">
        <v>32.29861360402662</v>
      </c>
      <c r="AU88" s="8">
        <v>19.56505705148421</v>
      </c>
      <c r="AV88" s="8">
        <v>10.86323629464891</v>
      </c>
      <c r="AW88" s="8">
        <v>0.52578585153175772</v>
      </c>
      <c r="AX88" s="8">
        <v>58.561683064691657</v>
      </c>
      <c r="AY88" s="8">
        <v>31.848186660401151</v>
      </c>
      <c r="AZ88" s="8">
        <v>24.57023207663579</v>
      </c>
      <c r="BA88" s="8">
        <v>16.717762484439941</v>
      </c>
      <c r="BB88" s="8">
        <v>0.63979970085706739</v>
      </c>
      <c r="BC88" s="8">
        <v>56.877275495033757</v>
      </c>
      <c r="BD88" s="8">
        <v>40.687361006548912</v>
      </c>
      <c r="BE88" s="8">
        <v>22.345418545895789</v>
      </c>
      <c r="BF88" s="8">
        <v>25.82904316195577</v>
      </c>
      <c r="BG88" s="8">
        <v>0.65984910146533415</v>
      </c>
      <c r="BH88" s="8">
        <v>57.175116186616748</v>
      </c>
      <c r="BI88" s="8">
        <v>41.899240512344427</v>
      </c>
    </row>
    <row r="89" spans="1:61" x14ac:dyDescent="0.15">
      <c r="A89" s="7">
        <v>2021</v>
      </c>
      <c r="B89" s="7">
        <v>99</v>
      </c>
      <c r="C89" s="7">
        <v>34.029414858426044</v>
      </c>
      <c r="D89" s="7">
        <v>3.9696047556855962</v>
      </c>
      <c r="E89" s="8">
        <v>14.632418016838781</v>
      </c>
      <c r="F89" s="8">
        <v>8.1804107117705147</v>
      </c>
      <c r="G89" s="8">
        <v>0.51299204923700148</v>
      </c>
      <c r="H89" s="8">
        <v>69.858805240112218</v>
      </c>
      <c r="I89" s="8">
        <v>22.91204860599591</v>
      </c>
      <c r="J89" s="8">
        <v>18.179939501461892</v>
      </c>
      <c r="K89" s="8">
        <v>12.24525250062657</v>
      </c>
      <c r="L89" s="8">
        <v>0.52265488390352399</v>
      </c>
      <c r="M89" s="8">
        <v>62.602897961938723</v>
      </c>
      <c r="N89" s="8">
        <v>30.764643478786301</v>
      </c>
      <c r="O89" s="8">
        <v>293.81299999999999</v>
      </c>
      <c r="P89" s="8">
        <v>288.71899999999999</v>
      </c>
      <c r="Q89" s="8">
        <v>95.701800000000006</v>
      </c>
      <c r="R89" s="8">
        <v>-7.8985600000000003E-2</v>
      </c>
      <c r="S89" s="8">
        <v>-0.18102199999999999</v>
      </c>
      <c r="T89" s="7">
        <f>C89-D89</f>
        <v>30.05981010274045</v>
      </c>
      <c r="U89" s="8">
        <f>D89/C89</f>
        <v>0.11665216026195291</v>
      </c>
      <c r="V89" s="8">
        <v>11.966718911953627</v>
      </c>
      <c r="W89" s="8">
        <v>5.2605127080742022</v>
      </c>
      <c r="X89" s="8">
        <v>0.50190067018676443</v>
      </c>
      <c r="Y89" s="8">
        <v>75.378361602272932</v>
      </c>
      <c r="Z89" s="8">
        <v>16.884892525246681</v>
      </c>
      <c r="AA89" s="7">
        <v>15.07332920670776</v>
      </c>
      <c r="AB89" s="7">
        <v>8.7528826043503862</v>
      </c>
      <c r="AC89" s="7">
        <v>0.51227777704514421</v>
      </c>
      <c r="AD89" s="7">
        <v>68.990629782105827</v>
      </c>
      <c r="AE89" s="7">
        <v>23.824768002016491</v>
      </c>
      <c r="AF89" s="8">
        <v>18.011104681165381</v>
      </c>
      <c r="AG89" s="8">
        <v>10.843045590985559</v>
      </c>
      <c r="AH89" s="8">
        <v>0.53037392649107318</v>
      </c>
      <c r="AI89" s="8">
        <v>61.059690162226019</v>
      </c>
      <c r="AJ89" s="8">
        <v>31.193260579955489</v>
      </c>
      <c r="AK89" s="8">
        <v>18.216521003764001</v>
      </c>
      <c r="AL89" s="8">
        <v>12.549069184904001</v>
      </c>
      <c r="AM89" s="8">
        <v>0.52098239612114239</v>
      </c>
      <c r="AN89" s="8">
        <v>62.937265360670047</v>
      </c>
      <c r="AO89" s="8">
        <v>30.671774854615009</v>
      </c>
      <c r="AP89" s="8">
        <v>18.488529570789421</v>
      </c>
      <c r="AQ89" s="8">
        <v>12.76925641968697</v>
      </c>
      <c r="AR89" s="8">
        <v>0.48854474645510548</v>
      </c>
      <c r="AS89" s="8">
        <v>62.221735409589151</v>
      </c>
      <c r="AT89" s="8">
        <v>30.652118178597981</v>
      </c>
      <c r="AU89" s="8">
        <v>18.410530097015489</v>
      </c>
      <c r="AV89" s="8">
        <v>15.5901902160087</v>
      </c>
      <c r="AW89" s="8">
        <v>0.52636635662129128</v>
      </c>
      <c r="AX89" s="8">
        <v>62.61300729730646</v>
      </c>
      <c r="AY89" s="8">
        <v>30.138865312360039</v>
      </c>
      <c r="AZ89" s="8">
        <v>19.35781560046502</v>
      </c>
      <c r="BA89" s="8">
        <v>16.533159203261491</v>
      </c>
      <c r="BB89" s="8">
        <v>0.58000559123174356</v>
      </c>
      <c r="BC89" s="8">
        <v>60.967025732673108</v>
      </c>
      <c r="BD89" s="8">
        <v>33.812902418810083</v>
      </c>
      <c r="BE89" s="8">
        <v>23.711015655132819</v>
      </c>
      <c r="BF89" s="8">
        <v>21.21834461425291</v>
      </c>
      <c r="BG89" s="8">
        <v>0.72341317551759454</v>
      </c>
      <c r="BH89" s="8">
        <v>60.060616364789389</v>
      </c>
      <c r="BI89" s="8">
        <v>39.151536789429308</v>
      </c>
    </row>
    <row r="90" spans="1:61" x14ac:dyDescent="0.15">
      <c r="A90" s="7">
        <v>2021</v>
      </c>
      <c r="B90" s="7">
        <v>68</v>
      </c>
      <c r="C90" s="7">
        <v>6.1543766330517418</v>
      </c>
      <c r="D90" s="7">
        <v>3.8876880801567437</v>
      </c>
      <c r="E90" s="8">
        <v>21.140308177262622</v>
      </c>
      <c r="F90" s="8">
        <v>10.59760823196144</v>
      </c>
      <c r="G90" s="8">
        <v>0.51366245079465167</v>
      </c>
      <c r="H90" s="8">
        <v>67.777971827499911</v>
      </c>
      <c r="I90" s="8">
        <v>35.440598965687293</v>
      </c>
      <c r="J90" s="8">
        <v>32.397165082734936</v>
      </c>
      <c r="K90" s="8">
        <v>17.644182325299148</v>
      </c>
      <c r="L90" s="8">
        <v>0.57298070500378606</v>
      </c>
      <c r="M90" s="8">
        <v>59.609928197540093</v>
      </c>
      <c r="N90" s="8">
        <v>40.694393735634598</v>
      </c>
      <c r="O90" s="8">
        <v>290.298</v>
      </c>
      <c r="P90" s="8">
        <v>286.24400000000003</v>
      </c>
      <c r="Q90" s="8">
        <v>97.636300000000006</v>
      </c>
      <c r="R90" s="8">
        <v>-0.29185899999999998</v>
      </c>
      <c r="S90" s="8">
        <v>-0.59228499999999995</v>
      </c>
      <c r="T90" s="7">
        <f>C90-D90</f>
        <v>2.266688552894998</v>
      </c>
      <c r="U90" s="8">
        <f>D90/C90</f>
        <v>0.63169485911507728</v>
      </c>
      <c r="V90" s="8">
        <v>21.921599807925922</v>
      </c>
      <c r="W90" s="8">
        <v>10.298157365819652</v>
      </c>
      <c r="X90" s="8">
        <v>0.54715684713777679</v>
      </c>
      <c r="Y90" s="8">
        <v>66.521605056899517</v>
      </c>
      <c r="Z90" s="8">
        <v>36.719032493682896</v>
      </c>
      <c r="AA90" s="7">
        <v>27.159382445330429</v>
      </c>
      <c r="AB90" s="7">
        <v>13.9711698455594</v>
      </c>
      <c r="AC90" s="7">
        <v>0.56006877607078143</v>
      </c>
      <c r="AD90" s="7">
        <v>63.065766627219801</v>
      </c>
      <c r="AE90" s="7">
        <v>38.706713114658747</v>
      </c>
      <c r="AF90" s="8">
        <v>33.519422783481829</v>
      </c>
      <c r="AG90" s="8">
        <v>17.91953056924708</v>
      </c>
      <c r="AH90" s="8">
        <v>0.58646117929364827</v>
      </c>
      <c r="AI90" s="8">
        <v>61.144587587720871</v>
      </c>
      <c r="AJ90" s="8">
        <v>42.484496020215232</v>
      </c>
      <c r="AK90" s="8">
        <v>32.296322160991508</v>
      </c>
      <c r="AL90" s="8">
        <v>17.619440306244041</v>
      </c>
      <c r="AM90" s="8">
        <v>0.57176938748467043</v>
      </c>
      <c r="AN90" s="8">
        <v>59.472028019458129</v>
      </c>
      <c r="AO90" s="8">
        <v>40.533540177243722</v>
      </c>
      <c r="AP90" s="8">
        <v>31.095863773820579</v>
      </c>
      <c r="AQ90" s="8">
        <v>16.503416967027</v>
      </c>
      <c r="AR90" s="8">
        <v>0.56117959352688795</v>
      </c>
      <c r="AS90" s="8">
        <v>59.257769816612303</v>
      </c>
      <c r="AT90" s="8">
        <v>40.538480176070088</v>
      </c>
      <c r="AU90" s="8">
        <v>27.3285585897539</v>
      </c>
      <c r="AV90" s="8">
        <v>18.204141299968821</v>
      </c>
      <c r="AW90" s="8">
        <v>0.57678325939612951</v>
      </c>
      <c r="AX90" s="8">
        <v>59.467256331678911</v>
      </c>
      <c r="AY90" s="8">
        <v>43.460911572574041</v>
      </c>
      <c r="AZ90" s="8">
        <v>33.305194385626592</v>
      </c>
      <c r="BA90" s="8">
        <v>18.49214083252123</v>
      </c>
      <c r="BB90" s="8">
        <v>0.60909160377711713</v>
      </c>
      <c r="BC90" s="8">
        <v>60.359414934863743</v>
      </c>
      <c r="BD90" s="8">
        <v>40.057018604496008</v>
      </c>
      <c r="BE90" s="8">
        <v>33.428037784304763</v>
      </c>
      <c r="BF90" s="8">
        <v>28.682372395233969</v>
      </c>
      <c r="BG90" s="8">
        <v>0.64906179182754487</v>
      </c>
      <c r="BH90" s="8">
        <v>66.898934330112979</v>
      </c>
      <c r="BI90" s="8">
        <v>54.865699779111928</v>
      </c>
    </row>
    <row r="91" spans="1:61" x14ac:dyDescent="0.15">
      <c r="A91" s="7">
        <v>2023</v>
      </c>
      <c r="B91" s="7">
        <v>70</v>
      </c>
      <c r="C91" s="9">
        <v>136.81498092996304</v>
      </c>
      <c r="D91" s="7">
        <v>9.8094116745281141</v>
      </c>
      <c r="E91" s="8">
        <v>37.948315811487028</v>
      </c>
      <c r="F91" s="8">
        <v>17.48986755328945</v>
      </c>
      <c r="G91" s="8">
        <v>0.51375762179837403</v>
      </c>
      <c r="H91" s="8">
        <v>82.445039975523017</v>
      </c>
      <c r="I91" s="8">
        <v>66.487975600986459</v>
      </c>
      <c r="J91" s="8">
        <v>37.731314458378563</v>
      </c>
      <c r="K91" s="8">
        <v>24.330967680794888</v>
      </c>
      <c r="L91" s="8">
        <v>0.61179714682429476</v>
      </c>
      <c r="M91" s="8">
        <v>82.513632186951568</v>
      </c>
      <c r="N91" s="8">
        <v>72.433786253447394</v>
      </c>
      <c r="O91" s="7">
        <v>289.43400000000003</v>
      </c>
      <c r="P91" s="7">
        <v>281.07799999999997</v>
      </c>
      <c r="Q91" s="7">
        <v>101.042</v>
      </c>
      <c r="R91" s="7">
        <v>-0.20651</v>
      </c>
      <c r="S91" s="7">
        <v>0.31779600000000002</v>
      </c>
      <c r="T91" s="7">
        <f>C91-D91</f>
        <v>127.00556925543492</v>
      </c>
      <c r="U91" s="8">
        <f>D91/C91</f>
        <v>7.1698374021991418E-2</v>
      </c>
      <c r="V91" s="8">
        <v>35.447232790800697</v>
      </c>
      <c r="W91" s="8">
        <v>21.62795181517205</v>
      </c>
      <c r="X91" s="8">
        <v>0.55904345905239505</v>
      </c>
      <c r="Y91" s="8">
        <v>83.146700746442647</v>
      </c>
      <c r="Z91" s="8">
        <v>64.71950270367897</v>
      </c>
      <c r="AA91" s="7">
        <v>36.58927362458963</v>
      </c>
      <c r="AB91" s="7">
        <v>22.979459747983469</v>
      </c>
      <c r="AC91" s="7">
        <v>0.58542030293834491</v>
      </c>
      <c r="AD91" s="7">
        <v>82.830166466697108</v>
      </c>
      <c r="AE91" s="7">
        <v>68.576644478563182</v>
      </c>
      <c r="AF91" s="8">
        <v>38.953720343264308</v>
      </c>
      <c r="AG91" s="8">
        <v>25.741637853251699</v>
      </c>
      <c r="AH91" s="8">
        <v>0.64219215416747932</v>
      </c>
      <c r="AI91" s="8">
        <v>82.612603363675021</v>
      </c>
      <c r="AJ91" s="8">
        <v>73.643163535907206</v>
      </c>
      <c r="AK91" s="8">
        <v>37.620293012975289</v>
      </c>
      <c r="AL91" s="8">
        <v>24.202847681153312</v>
      </c>
      <c r="AM91" s="8">
        <v>0.60903660902747392</v>
      </c>
      <c r="AN91" s="8">
        <v>82.504643418794473</v>
      </c>
      <c r="AO91" s="8">
        <v>72.323948092819521</v>
      </c>
      <c r="AP91" s="8">
        <v>36.37526408401029</v>
      </c>
      <c r="AQ91" s="8">
        <v>23.217923933678861</v>
      </c>
      <c r="AR91" s="8">
        <v>0.58156850803790916</v>
      </c>
      <c r="AS91" s="8">
        <v>83.178014781505865</v>
      </c>
      <c r="AT91" s="8">
        <v>67.977873783386855</v>
      </c>
      <c r="AU91" s="8">
        <v>34.47645209363359</v>
      </c>
      <c r="AV91" s="8">
        <v>26.51788161393694</v>
      </c>
      <c r="AW91" s="8">
        <v>0.64986749685094947</v>
      </c>
      <c r="AX91" s="8">
        <v>69.557360709733459</v>
      </c>
      <c r="AY91" s="8">
        <v>65.451590441528822</v>
      </c>
      <c r="AZ91" s="8">
        <v>37.364258052422741</v>
      </c>
      <c r="BA91" s="8">
        <v>22.191883134429659</v>
      </c>
      <c r="BB91" s="8">
        <v>0.59584240398781652</v>
      </c>
      <c r="BC91" s="8">
        <v>82.146584733451135</v>
      </c>
      <c r="BD91" s="8">
        <v>70.668569459907488</v>
      </c>
      <c r="BE91" s="8">
        <v>30.681627246011701</v>
      </c>
      <c r="BF91" s="8">
        <v>25.615985949754791</v>
      </c>
      <c r="BG91" s="8">
        <v>0.54894299616697551</v>
      </c>
      <c r="BH91" s="8">
        <v>74.651961209328277</v>
      </c>
      <c r="BI91" s="8">
        <v>70.584253959710836</v>
      </c>
    </row>
    <row r="92" spans="1:61" x14ac:dyDescent="0.15">
      <c r="A92" s="7">
        <v>2023</v>
      </c>
      <c r="B92" s="7">
        <v>19</v>
      </c>
      <c r="C92" s="9">
        <v>98.701138325124418</v>
      </c>
      <c r="D92" s="7">
        <v>4.6308899632315867</v>
      </c>
      <c r="E92" s="8">
        <v>14.070205543783089</v>
      </c>
      <c r="F92" s="8">
        <v>10.91513517064671</v>
      </c>
      <c r="G92" s="8">
        <v>0.5153743697155263</v>
      </c>
      <c r="H92" s="8">
        <v>63.996438484996723</v>
      </c>
      <c r="I92" s="8">
        <v>25.84412175974191</v>
      </c>
      <c r="J92" s="8">
        <v>16.57343417536816</v>
      </c>
      <c r="K92" s="8">
        <v>14.063233697648879</v>
      </c>
      <c r="L92" s="8">
        <v>0.46592373217429289</v>
      </c>
      <c r="M92" s="8">
        <v>64.893282743716682</v>
      </c>
      <c r="N92" s="8">
        <v>29.27994195215555</v>
      </c>
      <c r="O92" s="7">
        <v>293.63200000000001</v>
      </c>
      <c r="P92" s="7">
        <v>289.06900000000002</v>
      </c>
      <c r="Q92" s="7">
        <v>96.552700000000002</v>
      </c>
      <c r="R92" s="7">
        <v>-0.68699500000000002</v>
      </c>
      <c r="S92" s="7">
        <v>-0.54032100000000005</v>
      </c>
      <c r="T92" s="7">
        <f>C92-D92</f>
        <v>94.070248361892837</v>
      </c>
      <c r="U92" s="8">
        <f>D92/C92</f>
        <v>4.6918303494913105E-2</v>
      </c>
      <c r="V92" s="8">
        <v>13.176475829373661</v>
      </c>
      <c r="W92" s="8">
        <v>10.54606423006954</v>
      </c>
      <c r="X92" s="8">
        <v>0.53091875293604507</v>
      </c>
      <c r="Y92" s="8">
        <v>64.481321713127201</v>
      </c>
      <c r="Z92" s="8">
        <v>25.019082205301547</v>
      </c>
      <c r="AA92" s="7">
        <v>14.874955002370911</v>
      </c>
      <c r="AB92" s="7">
        <v>12.30464896385921</v>
      </c>
      <c r="AC92" s="7">
        <v>0.49842124255516901</v>
      </c>
      <c r="AD92" s="7">
        <v>64.687302228421942</v>
      </c>
      <c r="AE92" s="7">
        <v>27.149512078728549</v>
      </c>
      <c r="AF92" s="8">
        <v>16.169635687149391</v>
      </c>
      <c r="AG92" s="8">
        <v>13.44527782579061</v>
      </c>
      <c r="AH92" s="8">
        <v>0.47242615551451239</v>
      </c>
      <c r="AI92" s="8">
        <v>63.124940504687032</v>
      </c>
      <c r="AJ92" s="8">
        <v>28.50692978043606</v>
      </c>
      <c r="AK92" s="8">
        <v>16.630474724015968</v>
      </c>
      <c r="AL92" s="8">
        <v>14.150526104627451</v>
      </c>
      <c r="AM92" s="8">
        <v>0.46500520026868208</v>
      </c>
      <c r="AN92" s="8">
        <v>65.143078655425697</v>
      </c>
      <c r="AO92" s="8">
        <v>29.389137602146238</v>
      </c>
      <c r="AP92" s="8">
        <v>16.011458451961779</v>
      </c>
      <c r="AQ92" s="8">
        <v>14.658041626284721</v>
      </c>
      <c r="AR92" s="8">
        <v>0.46245103058418252</v>
      </c>
      <c r="AS92" s="8">
        <v>67.488092274282764</v>
      </c>
      <c r="AT92" s="8">
        <v>29.968364010312481</v>
      </c>
      <c r="AU92" s="8">
        <v>17.2031064707204</v>
      </c>
      <c r="AV92" s="8">
        <v>15.464602410362369</v>
      </c>
      <c r="AW92" s="8">
        <v>0.47846158547451351</v>
      </c>
      <c r="AX92" s="8">
        <v>62.505709131068123</v>
      </c>
      <c r="AY92" s="8">
        <v>30.00127642023795</v>
      </c>
      <c r="AZ92" s="8">
        <v>17.271851166217939</v>
      </c>
      <c r="BA92" s="8">
        <v>15.616319814232909</v>
      </c>
      <c r="BB92" s="8">
        <v>0.46903845380586773</v>
      </c>
      <c r="BC92" s="8">
        <v>65.699940255270945</v>
      </c>
      <c r="BD92" s="8">
        <v>30.413933860835101</v>
      </c>
      <c r="BE92" s="8">
        <v>18.878957656781701</v>
      </c>
      <c r="BF92" s="8">
        <v>17.733868994013449</v>
      </c>
      <c r="BG92" s="8">
        <v>0.48437162067238237</v>
      </c>
      <c r="BH92" s="8">
        <v>60.124131560139247</v>
      </c>
      <c r="BI92" s="8">
        <v>32.234433892050511</v>
      </c>
    </row>
    <row r="93" spans="1:61" x14ac:dyDescent="0.15">
      <c r="A93" s="7">
        <v>2023</v>
      </c>
      <c r="B93" s="7">
        <v>97</v>
      </c>
      <c r="C93" s="9">
        <v>108.4260464554374</v>
      </c>
      <c r="D93" s="7">
        <v>36.867579318899473</v>
      </c>
      <c r="E93" s="8">
        <v>31.13469829292249</v>
      </c>
      <c r="F93" s="8">
        <v>17.712446398506579</v>
      </c>
      <c r="G93" s="8">
        <v>0.51547159432838641</v>
      </c>
      <c r="H93" s="8">
        <v>65.526823562005006</v>
      </c>
      <c r="I93" s="8">
        <v>58.49454404073466</v>
      </c>
      <c r="J93" s="8">
        <v>29.776823287024278</v>
      </c>
      <c r="K93" s="8">
        <v>23.088536292867779</v>
      </c>
      <c r="L93" s="8">
        <v>0.5532827105593896</v>
      </c>
      <c r="M93" s="8">
        <v>67.49669216314571</v>
      </c>
      <c r="N93" s="8">
        <v>80.229708217421503</v>
      </c>
      <c r="O93" s="7">
        <v>280.565</v>
      </c>
      <c r="P93" s="7">
        <v>269.25900000000001</v>
      </c>
      <c r="Q93" s="7">
        <v>77.5685</v>
      </c>
      <c r="R93" s="7">
        <v>-0.36519299999999999</v>
      </c>
      <c r="S93" s="7">
        <v>-0.28236699999999998</v>
      </c>
      <c r="T93" s="7">
        <f>C93-D93</f>
        <v>71.558467136537928</v>
      </c>
      <c r="U93" s="8">
        <f>D93/C93</f>
        <v>0.34002511872506463</v>
      </c>
      <c r="V93" s="8">
        <v>27.886068659726959</v>
      </c>
      <c r="W93" s="8">
        <v>24.455129479261402</v>
      </c>
      <c r="X93" s="8">
        <v>0.59992660684741805</v>
      </c>
      <c r="Y93" s="8">
        <v>63.325124221624762</v>
      </c>
      <c r="Z93" s="8">
        <v>72.666470173794991</v>
      </c>
      <c r="AA93" s="7">
        <v>28.831445973375619</v>
      </c>
      <c r="AB93" s="7">
        <v>23.77183288606459</v>
      </c>
      <c r="AC93" s="7">
        <v>0.57660465870340383</v>
      </c>
      <c r="AD93" s="7">
        <v>65.410908192385236</v>
      </c>
      <c r="AE93" s="7">
        <v>76.448089195608247</v>
      </c>
      <c r="AF93" s="8">
        <v>29.512743691055999</v>
      </c>
      <c r="AG93" s="8">
        <v>22.311619485839319</v>
      </c>
      <c r="AH93" s="8">
        <v>0.53134211688746391</v>
      </c>
      <c r="AI93" s="8">
        <v>68.265548426395597</v>
      </c>
      <c r="AJ93" s="8">
        <v>81.235791603358805</v>
      </c>
      <c r="AK93" s="8">
        <v>29.818188146218759</v>
      </c>
      <c r="AL93" s="8">
        <v>23.21023086836394</v>
      </c>
      <c r="AM93" s="8">
        <v>0.5567194379012157</v>
      </c>
      <c r="AN93" s="8">
        <v>67.376260173867934</v>
      </c>
      <c r="AO93" s="8">
        <v>80.072117482534864</v>
      </c>
      <c r="AP93" s="8">
        <v>30.161590334894068</v>
      </c>
      <c r="AQ93" s="8">
        <v>22.16576130698034</v>
      </c>
      <c r="AR93" s="8">
        <v>0.5404538991653165</v>
      </c>
      <c r="AS93" s="8">
        <v>67.993976316709521</v>
      </c>
      <c r="AT93" s="8">
        <v>77.95277814686915</v>
      </c>
      <c r="AU93" s="8">
        <v>28.498633775680311</v>
      </c>
      <c r="AV93" s="8">
        <v>24.289440753864969</v>
      </c>
      <c r="AW93" s="8">
        <v>0.58478861544599103</v>
      </c>
      <c r="AX93" s="8">
        <v>64.916459829213295</v>
      </c>
      <c r="AY93" s="8">
        <v>76.901371716893124</v>
      </c>
      <c r="AZ93" s="8">
        <v>31.8915325013851</v>
      </c>
      <c r="BA93" s="8">
        <v>23.618977162764221</v>
      </c>
      <c r="BB93" s="8">
        <v>0.56526669004653518</v>
      </c>
      <c r="BC93" s="8">
        <v>67.696581774971946</v>
      </c>
      <c r="BD93" s="8">
        <v>83.598725957271881</v>
      </c>
      <c r="BE93" s="8">
        <v>27.10254226018224</v>
      </c>
      <c r="BF93" s="8">
        <v>26.442959688284532</v>
      </c>
      <c r="BG93" s="8">
        <v>0.62751758583651407</v>
      </c>
      <c r="BH93" s="8">
        <v>64.138849400086187</v>
      </c>
      <c r="BI93" s="8">
        <v>76.182743005074911</v>
      </c>
    </row>
    <row r="94" spans="1:61" x14ac:dyDescent="0.15">
      <c r="A94" s="7">
        <v>2021</v>
      </c>
      <c r="B94" s="7">
        <v>121</v>
      </c>
      <c r="C94" s="7">
        <v>39.675339542498918</v>
      </c>
      <c r="D94" s="7">
        <v>5.8660292169331729</v>
      </c>
      <c r="E94" s="8">
        <v>23.547401538197381</v>
      </c>
      <c r="F94" s="8">
        <v>14.82243601677297</v>
      </c>
      <c r="G94" s="8">
        <v>0.51587710066864056</v>
      </c>
      <c r="H94" s="8">
        <v>74.237249423994697</v>
      </c>
      <c r="I94" s="8">
        <v>36.579221775173067</v>
      </c>
      <c r="J94" s="8">
        <v>32.682994163491173</v>
      </c>
      <c r="K94" s="8">
        <v>27.017844239913231</v>
      </c>
      <c r="L94" s="8">
        <v>0.60850613719864322</v>
      </c>
      <c r="M94" s="8">
        <v>63.117414356912782</v>
      </c>
      <c r="N94" s="8">
        <v>52.667557118031752</v>
      </c>
      <c r="O94" s="8">
        <v>290.39800000000002</v>
      </c>
      <c r="P94" s="8">
        <v>285.68</v>
      </c>
      <c r="Q94" s="8">
        <v>98.673600000000008</v>
      </c>
      <c r="R94" s="8">
        <v>-0.45216000000000001</v>
      </c>
      <c r="S94" s="8">
        <v>-0.51105999999999996</v>
      </c>
      <c r="T94" s="7">
        <f>C94-D94</f>
        <v>33.809310325565747</v>
      </c>
      <c r="U94" s="8">
        <f>D94/C94</f>
        <v>0.14785076283089338</v>
      </c>
      <c r="V94" s="8">
        <v>26.191220435425187</v>
      </c>
      <c r="W94" s="8">
        <v>17.10040429620873</v>
      </c>
      <c r="X94" s="8">
        <v>0.65031592209608868</v>
      </c>
      <c r="Y94" s="8">
        <v>72.376065383246527</v>
      </c>
      <c r="Z94" s="8">
        <v>38.162968770474123</v>
      </c>
      <c r="AA94" s="7">
        <v>29.43710729945818</v>
      </c>
      <c r="AB94" s="7">
        <v>22.05912426806098</v>
      </c>
      <c r="AC94" s="7">
        <v>0.62941102964736595</v>
      </c>
      <c r="AD94" s="7">
        <v>67.746739870079651</v>
      </c>
      <c r="AE94" s="7">
        <v>45.415262944252937</v>
      </c>
      <c r="AF94" s="8">
        <v>31.65014767953566</v>
      </c>
      <c r="AG94" s="8">
        <v>28.663159053284112</v>
      </c>
      <c r="AH94" s="8">
        <v>0.62986607617752888</v>
      </c>
      <c r="AI94" s="8">
        <v>61.975299201073177</v>
      </c>
      <c r="AJ94" s="8">
        <v>52.418718745981423</v>
      </c>
      <c r="AK94" s="8">
        <v>32.793999204696277</v>
      </c>
      <c r="AL94" s="8">
        <v>26.84101424485516</v>
      </c>
      <c r="AM94" s="8">
        <v>0.60621048054170301</v>
      </c>
      <c r="AN94" s="8">
        <v>63.240163034382647</v>
      </c>
      <c r="AO94" s="8">
        <v>52.694300989625397</v>
      </c>
      <c r="AP94" s="8">
        <v>32.785574845157228</v>
      </c>
      <c r="AQ94" s="8">
        <v>26.80812941521555</v>
      </c>
      <c r="AR94" s="8">
        <v>0.65072866342541968</v>
      </c>
      <c r="AS94" s="8">
        <v>63.296591098383473</v>
      </c>
      <c r="AT94" s="8">
        <v>50.525115949803478</v>
      </c>
      <c r="AU94" s="8">
        <v>27.48196875995836</v>
      </c>
      <c r="AV94" s="8">
        <v>19.938514462057519</v>
      </c>
      <c r="AW94" s="8">
        <v>0.57076572684712368</v>
      </c>
      <c r="AX94" s="8">
        <v>66.860988091149309</v>
      </c>
      <c r="AY94" s="8">
        <v>39.2165157157295</v>
      </c>
      <c r="AZ94" s="8">
        <v>33.329490187620429</v>
      </c>
      <c r="BA94" s="8">
        <v>27.23212560931373</v>
      </c>
      <c r="BB94" s="8">
        <v>0.59623532538499169</v>
      </c>
      <c r="BC94" s="8">
        <v>62.819817764836152</v>
      </c>
      <c r="BD94" s="8">
        <v>54.327640742181487</v>
      </c>
      <c r="BE94" s="8">
        <v>32.578890898120278</v>
      </c>
      <c r="BF94" s="8">
        <v>26.837112292798189</v>
      </c>
      <c r="BG94" s="8">
        <v>0.5410476048897771</v>
      </c>
      <c r="BH94" s="8">
        <v>67.288964993279649</v>
      </c>
      <c r="BI94" s="8">
        <v>51.109480417030703</v>
      </c>
    </row>
    <row r="95" spans="1:61" x14ac:dyDescent="0.15">
      <c r="A95" s="7">
        <v>2021</v>
      </c>
      <c r="B95" s="7">
        <v>124</v>
      </c>
      <c r="C95" s="7">
        <v>20.532347180240141</v>
      </c>
      <c r="D95" s="7">
        <v>1.1498097241485561</v>
      </c>
      <c r="E95" s="8">
        <v>24.113740357807831</v>
      </c>
      <c r="F95" s="8">
        <v>14.19688776802592</v>
      </c>
      <c r="G95" s="8">
        <v>0.51624878421882836</v>
      </c>
      <c r="H95" s="8">
        <v>74.380590820444198</v>
      </c>
      <c r="I95" s="8">
        <v>51.573536330497276</v>
      </c>
      <c r="J95" s="8">
        <v>39.057635444931982</v>
      </c>
      <c r="K95" s="8">
        <v>28.13066476431009</v>
      </c>
      <c r="L95" s="8">
        <v>0.67498372407870244</v>
      </c>
      <c r="M95" s="8">
        <v>55.648857938033608</v>
      </c>
      <c r="N95" s="8">
        <v>70.913062690909513</v>
      </c>
      <c r="O95" s="8">
        <v>283.76299999999998</v>
      </c>
      <c r="P95" s="8">
        <v>278.077</v>
      </c>
      <c r="Q95" s="8">
        <v>85.694500000000005</v>
      </c>
      <c r="R95" s="8">
        <v>-0.17974899999999999</v>
      </c>
      <c r="S95" s="8">
        <v>-3.3436899999999999E-2</v>
      </c>
      <c r="T95" s="7">
        <f>C95-D95</f>
        <v>19.382537456091583</v>
      </c>
      <c r="U95" s="8">
        <f>D95/C95</f>
        <v>5.5999916329834254E-2</v>
      </c>
      <c r="V95" s="8">
        <v>21.236770677974619</v>
      </c>
      <c r="W95" s="8">
        <v>10.059690110233348</v>
      </c>
      <c r="X95" s="8">
        <v>0.4685635317078769</v>
      </c>
      <c r="Y95" s="8">
        <v>78.016398585513627</v>
      </c>
      <c r="Z95" s="8">
        <v>50.64896506711149</v>
      </c>
      <c r="AA95" s="7">
        <v>30.1472030614533</v>
      </c>
      <c r="AB95" s="7">
        <v>19.095177437271719</v>
      </c>
      <c r="AC95" s="7">
        <v>0.57177362789328967</v>
      </c>
      <c r="AD95" s="7">
        <v>66.832628261773621</v>
      </c>
      <c r="AE95" s="7">
        <v>60.781013879010501</v>
      </c>
      <c r="AF95" s="8">
        <v>36.321289909815427</v>
      </c>
      <c r="AG95" s="8">
        <v>27.457361338171332</v>
      </c>
      <c r="AH95" s="8">
        <v>0.65066996193701798</v>
      </c>
      <c r="AI95" s="8">
        <v>58.041849529756952</v>
      </c>
      <c r="AJ95" s="8">
        <v>65.223390088069067</v>
      </c>
      <c r="AK95" s="8">
        <v>39.494521433735457</v>
      </c>
      <c r="AL95" s="8">
        <v>28.238164650314388</v>
      </c>
      <c r="AM95" s="8">
        <v>0.67886566876678445</v>
      </c>
      <c r="AN95" s="8">
        <v>55.266791972923713</v>
      </c>
      <c r="AO95" s="8">
        <v>71.821478024119301</v>
      </c>
      <c r="AP95" s="8">
        <v>41.206034828811141</v>
      </c>
      <c r="AQ95" s="8">
        <v>27.756333277145579</v>
      </c>
      <c r="AR95" s="8">
        <v>0.6815222783918683</v>
      </c>
      <c r="AS95" s="8">
        <v>53.399071776048018</v>
      </c>
      <c r="AT95" s="8">
        <v>78.778801670100236</v>
      </c>
      <c r="AU95" s="8">
        <v>33.890226788451074</v>
      </c>
      <c r="AV95" s="8">
        <v>20.592670115814411</v>
      </c>
      <c r="AW95" s="8">
        <v>0.54655164979146975</v>
      </c>
      <c r="AX95" s="8">
        <v>62.283889379523352</v>
      </c>
      <c r="AY95" s="8">
        <v>64.058039863984504</v>
      </c>
      <c r="AZ95" s="8">
        <v>37.447113527823888</v>
      </c>
      <c r="BA95" s="8">
        <v>30.579551121681408</v>
      </c>
      <c r="BB95" s="8">
        <v>0.67097793434219155</v>
      </c>
      <c r="BC95" s="8">
        <v>54.023241171712321</v>
      </c>
      <c r="BD95" s="8">
        <v>66.903709474994074</v>
      </c>
      <c r="BE95" s="8">
        <v>27.967223869343972</v>
      </c>
      <c r="BF95" s="8">
        <v>26.569948145298749</v>
      </c>
      <c r="BG95" s="8">
        <v>0.55905325346995016</v>
      </c>
      <c r="BH95" s="8">
        <v>64.74000635446167</v>
      </c>
      <c r="BI95" s="8">
        <v>53.551639265725314</v>
      </c>
    </row>
    <row r="96" spans="1:61" x14ac:dyDescent="0.15">
      <c r="A96" s="7">
        <v>2021</v>
      </c>
      <c r="B96" s="7">
        <v>143</v>
      </c>
      <c r="C96" s="7">
        <v>6.3914366446567437</v>
      </c>
      <c r="D96" s="7">
        <v>1.1377933149323505</v>
      </c>
      <c r="E96" s="8">
        <v>26.087523604209402</v>
      </c>
      <c r="F96" s="8">
        <v>13.62034135471708</v>
      </c>
      <c r="G96" s="8">
        <v>0.51830383889866194</v>
      </c>
      <c r="H96" s="8">
        <v>73.139619363646901</v>
      </c>
      <c r="I96" s="8">
        <v>41.337012463099903</v>
      </c>
      <c r="J96" s="8">
        <v>30.25365179765847</v>
      </c>
      <c r="K96" s="8">
        <v>18.473001051945388</v>
      </c>
      <c r="L96" s="8">
        <v>0.574497645266699</v>
      </c>
      <c r="M96" s="8">
        <v>62.730786715748167</v>
      </c>
      <c r="N96" s="8">
        <v>47.076068816378083</v>
      </c>
      <c r="O96" s="8">
        <v>287.185</v>
      </c>
      <c r="P96" s="8">
        <v>282.49599999999998</v>
      </c>
      <c r="Q96" s="8">
        <v>92.4726</v>
      </c>
      <c r="R96" s="8">
        <v>-0.132074</v>
      </c>
      <c r="S96" s="8">
        <v>-0.17327300000000001</v>
      </c>
      <c r="T96" s="7">
        <f>C96-D96</f>
        <v>5.253643329724393</v>
      </c>
      <c r="U96" s="8">
        <f>D96/C96</f>
        <v>0.17801839839616471</v>
      </c>
      <c r="V96" s="8">
        <v>23.616181816388689</v>
      </c>
      <c r="W96" s="8">
        <v>10.709070914256031</v>
      </c>
      <c r="X96" s="8">
        <v>0.48284353647548928</v>
      </c>
      <c r="Y96" s="8">
        <v>78.712474812513477</v>
      </c>
      <c r="Z96" s="8">
        <v>36.837401012105843</v>
      </c>
      <c r="AA96" s="7">
        <v>26.93491680702358</v>
      </c>
      <c r="AB96" s="7">
        <v>14.59103598310071</v>
      </c>
      <c r="AC96" s="7">
        <v>0.52867059087109414</v>
      </c>
      <c r="AD96" s="7">
        <v>70.721630764130822</v>
      </c>
      <c r="AE96" s="7">
        <v>41.956734914241963</v>
      </c>
      <c r="AF96" s="8">
        <v>29.547021522697861</v>
      </c>
      <c r="AG96" s="8">
        <v>18.566578275448371</v>
      </c>
      <c r="AH96" s="8">
        <v>0.56750036224283351</v>
      </c>
      <c r="AI96" s="8">
        <v>62.793305477821889</v>
      </c>
      <c r="AJ96" s="8">
        <v>46.090108460480792</v>
      </c>
      <c r="AK96" s="8">
        <v>30.388614594972019</v>
      </c>
      <c r="AL96" s="8">
        <v>18.45512827703563</v>
      </c>
      <c r="AM96" s="8">
        <v>0.57583409082240089</v>
      </c>
      <c r="AN96" s="8">
        <v>62.718845949391223</v>
      </c>
      <c r="AO96" s="8">
        <v>47.264382241923812</v>
      </c>
      <c r="AP96" s="8">
        <v>28.903059916526789</v>
      </c>
      <c r="AQ96" s="8">
        <v>17.892632127317601</v>
      </c>
      <c r="AR96" s="8">
        <v>0.54320726388158935</v>
      </c>
      <c r="AS96" s="8">
        <v>58.544606278978399</v>
      </c>
      <c r="AT96" s="8">
        <v>42.617139277228823</v>
      </c>
      <c r="AU96" s="8">
        <v>26.942499418801059</v>
      </c>
      <c r="AV96" s="8">
        <v>16.315807925365789</v>
      </c>
      <c r="AW96" s="8">
        <v>0.53109285445242282</v>
      </c>
      <c r="AX96" s="8">
        <v>61.896030353384297</v>
      </c>
      <c r="AY96" s="8">
        <v>38.024566284907003</v>
      </c>
      <c r="AZ96" s="8">
        <v>33.639437048029762</v>
      </c>
      <c r="BA96" s="8">
        <v>22.140940200135521</v>
      </c>
      <c r="BB96" s="8">
        <v>0.63184972482784396</v>
      </c>
      <c r="BC96" s="8">
        <v>61.455386253372538</v>
      </c>
      <c r="BD96" s="8">
        <v>53.439697605005087</v>
      </c>
      <c r="BE96" s="8">
        <v>36.676639837857302</v>
      </c>
      <c r="BF96" s="8">
        <v>28.282452360519901</v>
      </c>
      <c r="BG96" s="8">
        <v>0.61479514981183081</v>
      </c>
      <c r="BH96" s="8">
        <v>60.661952853810313</v>
      </c>
      <c r="BI96" s="8">
        <v>71.382760344556843</v>
      </c>
    </row>
    <row r="97" spans="1:61" x14ac:dyDescent="0.15">
      <c r="A97" s="7">
        <v>2023</v>
      </c>
      <c r="B97" s="7">
        <v>37</v>
      </c>
      <c r="C97" s="9">
        <v>98.231631731818695</v>
      </c>
      <c r="D97" s="7">
        <v>33.494378362103454</v>
      </c>
      <c r="E97" s="8">
        <v>29.694737829399731</v>
      </c>
      <c r="F97" s="8">
        <v>24.054294597858949</v>
      </c>
      <c r="G97" s="8">
        <v>0.51842685916293596</v>
      </c>
      <c r="H97" s="8">
        <v>69.332309268814953</v>
      </c>
      <c r="I97" s="8">
        <v>56.956309566794523</v>
      </c>
      <c r="J97" s="8">
        <v>26.813303241267011</v>
      </c>
      <c r="K97" s="8">
        <v>22.12303815546252</v>
      </c>
      <c r="L97" s="8">
        <v>0.4872277100967386</v>
      </c>
      <c r="M97" s="8">
        <v>77.55654275602501</v>
      </c>
      <c r="N97" s="8">
        <v>51.889910817687984</v>
      </c>
      <c r="O97" s="7">
        <v>289.57600000000002</v>
      </c>
      <c r="P97" s="7">
        <v>284.15600000000001</v>
      </c>
      <c r="Q97" s="7">
        <v>101.59</v>
      </c>
      <c r="R97" s="7">
        <v>-0.652277</v>
      </c>
      <c r="S97" s="7">
        <v>-9.6185699999999999E-2</v>
      </c>
      <c r="T97" s="7">
        <f>C97-D97</f>
        <v>64.737253369715233</v>
      </c>
      <c r="U97" s="8">
        <f>D97/C97</f>
        <v>0.34097344991220507</v>
      </c>
      <c r="V97" s="8">
        <v>28.221294960526489</v>
      </c>
      <c r="W97" s="8">
        <v>20.876960188988637</v>
      </c>
      <c r="X97" s="8">
        <v>0.4959104817904576</v>
      </c>
      <c r="Y97" s="8">
        <v>77.495964179723387</v>
      </c>
      <c r="Z97" s="8">
        <v>52.9597666134189</v>
      </c>
      <c r="AA97" s="7">
        <v>27.51729910089675</v>
      </c>
      <c r="AB97" s="7">
        <v>21.499999172225579</v>
      </c>
      <c r="AC97" s="7">
        <v>0.4915690959435981</v>
      </c>
      <c r="AD97" s="7">
        <v>77.526253467874199</v>
      </c>
      <c r="AE97" s="7">
        <v>52.424838715553442</v>
      </c>
      <c r="AF97" s="8">
        <v>26.421690038822309</v>
      </c>
      <c r="AG97" s="8">
        <v>21.929584605467209</v>
      </c>
      <c r="AH97" s="8">
        <v>0.50370265259400626</v>
      </c>
      <c r="AI97" s="8">
        <v>75.365985426120375</v>
      </c>
      <c r="AJ97" s="8">
        <v>50.60803584070748</v>
      </c>
      <c r="AK97" s="8">
        <v>26.83757842003714</v>
      </c>
      <c r="AL97" s="8">
        <v>22.135029884751869</v>
      </c>
      <c r="AM97" s="8">
        <v>0.48620646726873279</v>
      </c>
      <c r="AN97" s="8">
        <v>77.692330238310419</v>
      </c>
      <c r="AO97" s="8">
        <v>51.969371224111768</v>
      </c>
      <c r="AP97" s="8">
        <v>27.962094250913729</v>
      </c>
      <c r="AQ97" s="8">
        <v>22.087441770270662</v>
      </c>
      <c r="AR97" s="8">
        <v>0.50022082835068471</v>
      </c>
      <c r="AS97" s="8">
        <v>78.68568954123154</v>
      </c>
      <c r="AT97" s="8">
        <v>52.864489494841521</v>
      </c>
      <c r="AU97" s="8">
        <v>29.94292818582219</v>
      </c>
      <c r="AV97" s="8">
        <v>27.105786024113449</v>
      </c>
      <c r="AW97" s="8">
        <v>0.64548266635097507</v>
      </c>
      <c r="AX97" s="8">
        <v>66.697764564182606</v>
      </c>
      <c r="AY97" s="8">
        <v>64.832391299203081</v>
      </c>
      <c r="AZ97" s="8">
        <v>27.07358894804727</v>
      </c>
      <c r="BA97" s="8">
        <v>22.491636049211419</v>
      </c>
      <c r="BB97" s="8">
        <v>0.49463836374657311</v>
      </c>
      <c r="BC97" s="8">
        <v>76.232349483012158</v>
      </c>
      <c r="BD97" s="8">
        <v>53.277252645809149</v>
      </c>
      <c r="BE97" s="8">
        <v>25.52210932081115</v>
      </c>
      <c r="BF97" s="8">
        <v>30.44196840347243</v>
      </c>
      <c r="BG97" s="8">
        <v>0.65695701004041096</v>
      </c>
      <c r="BH97" s="8">
        <v>67.194711154756519</v>
      </c>
      <c r="BI97" s="8">
        <v>53.253163857099352</v>
      </c>
    </row>
    <row r="98" spans="1:61" x14ac:dyDescent="0.15">
      <c r="A98" s="7">
        <v>2021</v>
      </c>
      <c r="B98" s="7">
        <v>58</v>
      </c>
      <c r="C98" s="7">
        <v>100.18833341585751</v>
      </c>
      <c r="D98" s="7">
        <v>67.477344261619066</v>
      </c>
      <c r="E98" s="8">
        <v>21.279152885049751</v>
      </c>
      <c r="F98" s="8">
        <v>12.294866246962091</v>
      </c>
      <c r="G98" s="8">
        <v>0.5185559392976582</v>
      </c>
      <c r="H98" s="8">
        <v>58.410733634427913</v>
      </c>
      <c r="I98" s="8">
        <v>33.963361679042222</v>
      </c>
      <c r="J98" s="8">
        <v>23.382078110634438</v>
      </c>
      <c r="K98" s="8">
        <v>13.584944979490709</v>
      </c>
      <c r="L98" s="8">
        <v>0.57870974705899514</v>
      </c>
      <c r="M98" s="8">
        <v>57.067533003150537</v>
      </c>
      <c r="N98" s="8">
        <v>35.185785691556283</v>
      </c>
      <c r="O98" s="8">
        <v>288.71899999999999</v>
      </c>
      <c r="P98" s="8">
        <v>285.09699999999998</v>
      </c>
      <c r="Q98" s="8">
        <v>88.100700000000003</v>
      </c>
      <c r="R98" s="8">
        <v>-0.50922999999999996</v>
      </c>
      <c r="S98" s="8">
        <v>0.31817800000000002</v>
      </c>
      <c r="T98" s="7">
        <f>C98-D98</f>
        <v>32.710989154238447</v>
      </c>
      <c r="U98" s="8">
        <f>D98/C98</f>
        <v>0.67350500762935095</v>
      </c>
      <c r="V98" s="8">
        <v>21.662792016409441</v>
      </c>
      <c r="W98" s="8">
        <v>10.68953181400911</v>
      </c>
      <c r="X98" s="8">
        <v>0.48267115413388983</v>
      </c>
      <c r="Y98" s="8">
        <v>58.612154527928077</v>
      </c>
      <c r="Z98" s="8">
        <v>33.338255656941222</v>
      </c>
      <c r="AA98" s="7">
        <v>22.522435063521939</v>
      </c>
      <c r="AB98" s="7">
        <v>12.137238396749909</v>
      </c>
      <c r="AC98" s="7">
        <v>0.53069045059644249</v>
      </c>
      <c r="AD98" s="7">
        <v>57.839843765539307</v>
      </c>
      <c r="AE98" s="7">
        <v>34.262020674248753</v>
      </c>
      <c r="AF98" s="8">
        <v>23.34125611105414</v>
      </c>
      <c r="AG98" s="8">
        <v>13.850413101218709</v>
      </c>
      <c r="AH98" s="8">
        <v>0.56266473557380459</v>
      </c>
      <c r="AI98" s="8">
        <v>55.464483736442098</v>
      </c>
      <c r="AJ98" s="8">
        <v>36.487402922566638</v>
      </c>
      <c r="AK98" s="8">
        <v>23.3893197152784</v>
      </c>
      <c r="AL98" s="8">
        <v>13.53785235289482</v>
      </c>
      <c r="AM98" s="8">
        <v>0.58155604637990921</v>
      </c>
      <c r="AN98" s="8">
        <v>57.351905379165068</v>
      </c>
      <c r="AO98" s="8">
        <v>34.954885748347508</v>
      </c>
      <c r="AP98" s="8">
        <v>23.622474596878739</v>
      </c>
      <c r="AQ98" s="8">
        <v>11.671841477669121</v>
      </c>
      <c r="AR98" s="8">
        <v>0.52868986315184907</v>
      </c>
      <c r="AS98" s="8">
        <v>57.095994352384842</v>
      </c>
      <c r="AT98" s="8">
        <v>34.412267805436151</v>
      </c>
      <c r="AU98" s="8">
        <v>21.73568279452434</v>
      </c>
      <c r="AV98" s="8">
        <v>14.51289112310133</v>
      </c>
      <c r="AW98" s="8">
        <v>0.59843656395086275</v>
      </c>
      <c r="AX98" s="8">
        <v>60.024815491194261</v>
      </c>
      <c r="AY98" s="8">
        <v>34.689710123171977</v>
      </c>
      <c r="AZ98" s="8">
        <v>23.645910638607671</v>
      </c>
      <c r="BA98" s="8">
        <v>15.434593551821569</v>
      </c>
      <c r="BB98" s="8">
        <v>0.62835811426340216</v>
      </c>
      <c r="BC98" s="8">
        <v>58.958084180335902</v>
      </c>
      <c r="BD98" s="8">
        <v>35.217691477126593</v>
      </c>
      <c r="BE98" s="8">
        <v>23.333875510304399</v>
      </c>
      <c r="BF98" s="8">
        <v>22.39084920153271</v>
      </c>
      <c r="BG98" s="8">
        <v>0.56743507571144647</v>
      </c>
      <c r="BH98" s="8">
        <v>63.943142974208257</v>
      </c>
      <c r="BI98" s="8">
        <v>45.080759500836223</v>
      </c>
    </row>
    <row r="99" spans="1:61" x14ac:dyDescent="0.15">
      <c r="A99" s="7">
        <v>2022</v>
      </c>
      <c r="B99" s="7">
        <v>81</v>
      </c>
      <c r="C99" s="7">
        <v>54.967508696019834</v>
      </c>
      <c r="D99" s="7">
        <v>17.164770037948628</v>
      </c>
      <c r="E99" s="8">
        <v>24.737143456651879</v>
      </c>
      <c r="F99" s="8">
        <v>17.701723348753308</v>
      </c>
      <c r="G99" s="8">
        <v>0.51886987219618663</v>
      </c>
      <c r="H99" s="8">
        <v>76.456041360605553</v>
      </c>
      <c r="I99" s="8">
        <v>56.024254915003617</v>
      </c>
      <c r="J99" s="8">
        <v>35.371191348690751</v>
      </c>
      <c r="K99" s="8">
        <v>27.689271175304469</v>
      </c>
      <c r="L99" s="8">
        <v>0.56770982948482274</v>
      </c>
      <c r="M99" s="8">
        <v>60.768226820717601</v>
      </c>
      <c r="N99" s="8">
        <v>87.489568923422567</v>
      </c>
      <c r="O99" s="8">
        <v>279.47300000000001</v>
      </c>
      <c r="P99" s="8">
        <v>266.33300000000003</v>
      </c>
      <c r="Q99" s="8">
        <v>86.499200000000002</v>
      </c>
      <c r="R99" s="8">
        <v>1.70967</v>
      </c>
      <c r="S99" s="8">
        <v>0.279169</v>
      </c>
      <c r="T99" s="7">
        <f>C99-D99</f>
        <v>37.802738658071206</v>
      </c>
      <c r="U99" s="8">
        <f>D99/C99</f>
        <v>0.31227120248204954</v>
      </c>
      <c r="V99" s="8">
        <v>33.012576840169935</v>
      </c>
      <c r="W99" s="8">
        <v>23.50292612748737</v>
      </c>
      <c r="X99" s="8">
        <v>0.45199719804839555</v>
      </c>
      <c r="Y99" s="8">
        <v>64.498813531155278</v>
      </c>
      <c r="Z99" s="8">
        <v>80.697400782141912</v>
      </c>
      <c r="AA99" s="7">
        <v>34.191884094430343</v>
      </c>
      <c r="AB99" s="7">
        <v>25.59609865139592</v>
      </c>
      <c r="AC99" s="7">
        <v>0.50985351376660915</v>
      </c>
      <c r="AD99" s="7">
        <v>62.63352017593644</v>
      </c>
      <c r="AE99" s="7">
        <v>84.09348485278224</v>
      </c>
      <c r="AF99" s="8">
        <v>36.613812255576789</v>
      </c>
      <c r="AG99" s="8">
        <v>30.403636013785771</v>
      </c>
      <c r="AH99" s="8">
        <v>0.74942034372271493</v>
      </c>
      <c r="AI99" s="8">
        <v>60.382067588904633</v>
      </c>
      <c r="AJ99" s="8">
        <v>76.64722275650297</v>
      </c>
      <c r="AK99" s="8">
        <v>35.308856189578151</v>
      </c>
      <c r="AL99" s="8">
        <v>27.55310706993755</v>
      </c>
      <c r="AM99" s="8">
        <v>0.55859445587837431</v>
      </c>
      <c r="AN99" s="8">
        <v>60.787598213090341</v>
      </c>
      <c r="AO99" s="8">
        <v>88.033467203037418</v>
      </c>
      <c r="AP99" s="8">
        <v>29.471275864709781</v>
      </c>
      <c r="AQ99" s="8">
        <v>23.675100229253069</v>
      </c>
      <c r="AR99" s="8">
        <v>0.41799253980633172</v>
      </c>
      <c r="AS99" s="8">
        <v>65.699993946677139</v>
      </c>
      <c r="AT99" s="8">
        <v>81.154464230893197</v>
      </c>
      <c r="AU99" s="8">
        <v>34.92050860328694</v>
      </c>
      <c r="AV99" s="8">
        <v>25.797549148762851</v>
      </c>
      <c r="AW99" s="8">
        <v>0.51981980136691719</v>
      </c>
      <c r="AX99" s="8">
        <v>62.188300810457697</v>
      </c>
      <c r="AY99" s="8">
        <v>84.601791899056124</v>
      </c>
      <c r="AZ99" s="8">
        <v>36.375851904876129</v>
      </c>
      <c r="BA99" s="8">
        <v>29.663277430673759</v>
      </c>
      <c r="BB99" s="8">
        <v>0.57993278261118475</v>
      </c>
      <c r="BC99" s="8">
        <v>59.20253262931891</v>
      </c>
      <c r="BD99" s="8">
        <v>90.740113573465948</v>
      </c>
      <c r="BE99" s="8">
        <v>34.573312319043758</v>
      </c>
      <c r="BF99" s="8">
        <v>26.121107651082671</v>
      </c>
      <c r="BG99" s="8">
        <v>0.58928472399005261</v>
      </c>
      <c r="BH99" s="8">
        <v>62.206673652276031</v>
      </c>
      <c r="BI99" s="8">
        <v>85.880993312653374</v>
      </c>
    </row>
    <row r="100" spans="1:61" x14ac:dyDescent="0.15">
      <c r="A100" s="7">
        <v>2023</v>
      </c>
      <c r="B100" s="7">
        <v>14</v>
      </c>
      <c r="C100" s="9">
        <v>36.645536947457806</v>
      </c>
      <c r="D100" s="7">
        <v>18.094609313658548</v>
      </c>
      <c r="E100" s="8">
        <v>23.491420633802189</v>
      </c>
      <c r="F100" s="8">
        <v>25.027785743799239</v>
      </c>
      <c r="G100" s="8">
        <v>0.51989421003340097</v>
      </c>
      <c r="H100" s="8">
        <v>71.849110831240665</v>
      </c>
      <c r="I100" s="8">
        <v>41.07490036656975</v>
      </c>
      <c r="J100" s="8">
        <v>23.280557941415221</v>
      </c>
      <c r="K100" s="8">
        <v>24.700799152404439</v>
      </c>
      <c r="L100" s="8">
        <v>0.51179739233806631</v>
      </c>
      <c r="M100" s="8">
        <v>75.252712967248073</v>
      </c>
      <c r="N100" s="8">
        <v>45.311999620760517</v>
      </c>
      <c r="O100" s="7">
        <v>290.50700000000001</v>
      </c>
      <c r="P100" s="7">
        <v>285.65199999999999</v>
      </c>
      <c r="Q100" s="7">
        <v>101.479</v>
      </c>
      <c r="R100" s="7">
        <v>-0.83709900000000004</v>
      </c>
      <c r="S100" s="7">
        <v>-0.13327900000000001</v>
      </c>
      <c r="T100" s="7">
        <f>C100-D100</f>
        <v>18.550927633799258</v>
      </c>
      <c r="U100" s="8">
        <f>D100/C100</f>
        <v>0.49377388956266383</v>
      </c>
      <c r="V100" s="8">
        <v>24.31696299347016</v>
      </c>
      <c r="W100" s="8">
        <v>22.35731896930012</v>
      </c>
      <c r="X100" s="8">
        <v>0.47542018096508731</v>
      </c>
      <c r="Y100" s="8">
        <v>72.948385603052884</v>
      </c>
      <c r="Z100" s="8">
        <v>45.676401541296201</v>
      </c>
      <c r="AA100" s="7">
        <v>23.79876046744269</v>
      </c>
      <c r="AB100" s="7">
        <v>23.52905906085228</v>
      </c>
      <c r="AC100" s="7">
        <v>0.49360878665157681</v>
      </c>
      <c r="AD100" s="7">
        <v>74.100549285150478</v>
      </c>
      <c r="AE100" s="7">
        <v>45.494200581028359</v>
      </c>
      <c r="AF100" s="8">
        <v>23.37356916796023</v>
      </c>
      <c r="AG100" s="8">
        <v>24.998984675848579</v>
      </c>
      <c r="AH100" s="8">
        <v>0.52752552707678146</v>
      </c>
      <c r="AI100" s="8">
        <v>73.842628041499864</v>
      </c>
      <c r="AJ100" s="8">
        <v>44.76001289350053</v>
      </c>
      <c r="AK100" s="8">
        <v>23.274518114118951</v>
      </c>
      <c r="AL100" s="8">
        <v>24.681436016031</v>
      </c>
      <c r="AM100" s="8">
        <v>0.51077606167677903</v>
      </c>
      <c r="AN100" s="8">
        <v>75.344279004391751</v>
      </c>
      <c r="AO100" s="8">
        <v>45.347843729330293</v>
      </c>
      <c r="AP100" s="8">
        <v>24.014325128486789</v>
      </c>
      <c r="AQ100" s="8">
        <v>23.85055573430617</v>
      </c>
      <c r="AR100" s="8">
        <v>0.50316506216282886</v>
      </c>
      <c r="AS100" s="8">
        <v>76.467947710244047</v>
      </c>
      <c r="AT100" s="8">
        <v>45.876074804773452</v>
      </c>
      <c r="AU100" s="8">
        <v>22.70420976987339</v>
      </c>
      <c r="AV100" s="8">
        <v>26.053585397376199</v>
      </c>
      <c r="AW100" s="8">
        <v>0.56677940270062777</v>
      </c>
      <c r="AX100" s="8">
        <v>69.137662291387855</v>
      </c>
      <c r="AY100" s="8">
        <v>48.651653853535009</v>
      </c>
      <c r="AZ100" s="8">
        <v>23.616082323233371</v>
      </c>
      <c r="BA100" s="8">
        <v>24.743906726403079</v>
      </c>
      <c r="BB100" s="8">
        <v>0.51457891885284501</v>
      </c>
      <c r="BC100" s="8">
        <v>73.846219323644192</v>
      </c>
      <c r="BD100" s="8">
        <v>46.431574722154679</v>
      </c>
      <c r="BE100" s="8">
        <v>24.829217814525109</v>
      </c>
      <c r="BF100" s="8">
        <v>30.519570187650981</v>
      </c>
      <c r="BG100" s="8">
        <v>0.63945907418154624</v>
      </c>
      <c r="BH100" s="8">
        <v>66.096682990507475</v>
      </c>
      <c r="BI100" s="8">
        <v>55.072464085092641</v>
      </c>
    </row>
    <row r="101" spans="1:61" x14ac:dyDescent="0.15">
      <c r="A101" s="7">
        <v>2023</v>
      </c>
      <c r="B101" s="7">
        <v>106</v>
      </c>
      <c r="C101" s="9">
        <v>10.032053291842463</v>
      </c>
      <c r="D101" s="7">
        <v>5.9704939191639603</v>
      </c>
      <c r="E101" s="8">
        <v>13.067814650340599</v>
      </c>
      <c r="F101" s="8">
        <v>9.9940157687139859</v>
      </c>
      <c r="G101" s="8">
        <v>0.51997103518364007</v>
      </c>
      <c r="H101" s="8">
        <v>66.164409796193766</v>
      </c>
      <c r="I101" s="8">
        <v>24.646317818088171</v>
      </c>
      <c r="J101" s="8">
        <v>16.204244060425161</v>
      </c>
      <c r="K101" s="8">
        <v>14.17589846620797</v>
      </c>
      <c r="L101" s="8">
        <v>0.46891261097185433</v>
      </c>
      <c r="M101" s="8">
        <v>65.393825632399896</v>
      </c>
      <c r="N101" s="8">
        <v>29.036131822264231</v>
      </c>
      <c r="O101" s="7">
        <v>293.58199999999999</v>
      </c>
      <c r="P101" s="7">
        <v>289.56599999999997</v>
      </c>
      <c r="Q101" s="7">
        <v>98.436899999999994</v>
      </c>
      <c r="R101" s="7">
        <v>-1.1038300000000001</v>
      </c>
      <c r="S101" s="7">
        <v>-1.5261800000000001</v>
      </c>
      <c r="T101" s="7">
        <f>C101-D101</f>
        <v>4.0615593726785022</v>
      </c>
      <c r="U101" s="8">
        <f>D101/C101</f>
        <v>0.59514176664301133</v>
      </c>
      <c r="V101" s="8">
        <v>12.511144494680678</v>
      </c>
      <c r="W101" s="8">
        <v>9.9548375014966712</v>
      </c>
      <c r="X101" s="8">
        <v>0.52381218355393711</v>
      </c>
      <c r="Y101" s="8">
        <v>66.546848632131557</v>
      </c>
      <c r="Z101" s="8">
        <v>23.811580359941608</v>
      </c>
      <c r="AA101" s="7">
        <v>14.35769427755292</v>
      </c>
      <c r="AB101" s="7">
        <v>12.065367983852321</v>
      </c>
      <c r="AC101" s="7">
        <v>0.49636239726289572</v>
      </c>
      <c r="AD101" s="7">
        <v>65.970337132265726</v>
      </c>
      <c r="AE101" s="7">
        <v>26.42385609110292</v>
      </c>
      <c r="AF101" s="8">
        <v>16.041262939247851</v>
      </c>
      <c r="AG101" s="8">
        <v>13.533037472714771</v>
      </c>
      <c r="AH101" s="8">
        <v>0.47953621929993001</v>
      </c>
      <c r="AI101" s="8">
        <v>62.87253975742113</v>
      </c>
      <c r="AJ101" s="8">
        <v>28.511472745989881</v>
      </c>
      <c r="AK101" s="8">
        <v>16.23008591950757</v>
      </c>
      <c r="AL101" s="8">
        <v>14.27782881914349</v>
      </c>
      <c r="AM101" s="8">
        <v>0.46722815950055691</v>
      </c>
      <c r="AN101" s="8">
        <v>65.793594107527696</v>
      </c>
      <c r="AO101" s="8">
        <v>29.119320389243331</v>
      </c>
      <c r="AP101" s="8">
        <v>15.817407057743329</v>
      </c>
      <c r="AQ101" s="8">
        <v>14.42093964819513</v>
      </c>
      <c r="AR101" s="8">
        <v>0.46233469576455499</v>
      </c>
      <c r="AS101" s="8">
        <v>67.578450360356953</v>
      </c>
      <c r="AT101" s="8">
        <v>29.422899890628639</v>
      </c>
      <c r="AU101" s="8">
        <v>16.241082348978662</v>
      </c>
      <c r="AV101" s="8">
        <v>15.012922647314911</v>
      </c>
      <c r="AW101" s="8">
        <v>0.4689272976427834</v>
      </c>
      <c r="AX101" s="8">
        <v>63.517612536682378</v>
      </c>
      <c r="AY101" s="8">
        <v>28.464485351601361</v>
      </c>
      <c r="AZ101" s="8">
        <v>16.462935249433951</v>
      </c>
      <c r="BA101" s="8">
        <v>15.42520732868754</v>
      </c>
      <c r="BB101" s="8">
        <v>0.46343477567896552</v>
      </c>
      <c r="BC101" s="8">
        <v>66.504119212945668</v>
      </c>
      <c r="BD101" s="8">
        <v>29.470009507015241</v>
      </c>
      <c r="BE101" s="8">
        <v>18.485460728436649</v>
      </c>
      <c r="BF101" s="8">
        <v>17.298740124031909</v>
      </c>
      <c r="BG101" s="8">
        <v>0.48534332321469098</v>
      </c>
      <c r="BH101" s="8">
        <v>59.362470400772942</v>
      </c>
      <c r="BI101" s="8">
        <v>30.964967216174291</v>
      </c>
    </row>
    <row r="102" spans="1:61" x14ac:dyDescent="0.15">
      <c r="A102" s="7">
        <v>2023</v>
      </c>
      <c r="B102" s="7">
        <v>6</v>
      </c>
      <c r="C102" s="9">
        <v>175.57767127218955</v>
      </c>
      <c r="D102" s="7">
        <v>85.756694088652694</v>
      </c>
      <c r="E102" s="8">
        <v>23.96361427926427</v>
      </c>
      <c r="F102" s="8">
        <v>28.06816530397565</v>
      </c>
      <c r="G102" s="8">
        <v>0.52191536004351924</v>
      </c>
      <c r="H102" s="8">
        <v>69.249820753308754</v>
      </c>
      <c r="I102" s="8">
        <v>40.626797771222968</v>
      </c>
      <c r="J102" s="8">
        <v>23.046444117707001</v>
      </c>
      <c r="K102" s="8">
        <v>28.449478783805251</v>
      </c>
      <c r="L102" s="8">
        <v>0.51077992962707286</v>
      </c>
      <c r="M102" s="8">
        <v>75.278199659087434</v>
      </c>
      <c r="N102" s="8">
        <v>42.958311682060987</v>
      </c>
      <c r="O102" s="7">
        <v>290.69400000000002</v>
      </c>
      <c r="P102" s="7">
        <v>285.89499999999998</v>
      </c>
      <c r="Q102" s="7">
        <v>101.577</v>
      </c>
      <c r="R102" s="7">
        <v>-0.75934400000000002</v>
      </c>
      <c r="S102" s="7">
        <v>-0.205397</v>
      </c>
      <c r="T102" s="7">
        <f>C102-D102</f>
        <v>89.820977183536854</v>
      </c>
      <c r="U102" s="8">
        <f>D102/C102</f>
        <v>0.48842596821840889</v>
      </c>
      <c r="V102" s="8">
        <v>23.095086499250801</v>
      </c>
      <c r="W102" s="8">
        <v>20.649220228352409</v>
      </c>
      <c r="X102" s="8">
        <v>0.4623608885417464</v>
      </c>
      <c r="Y102" s="8">
        <v>71.370865261002749</v>
      </c>
      <c r="Z102" s="8">
        <v>43.808560233969978</v>
      </c>
      <c r="AA102" s="7">
        <v>23.070765308478901</v>
      </c>
      <c r="AB102" s="7">
        <v>24.54934950607883</v>
      </c>
      <c r="AC102" s="7">
        <v>0.48657040908440963</v>
      </c>
      <c r="AD102" s="7">
        <v>73.324532460045091</v>
      </c>
      <c r="AE102" s="7">
        <v>43.383435958015482</v>
      </c>
      <c r="AF102" s="8">
        <v>22.986890427746879</v>
      </c>
      <c r="AG102" s="8">
        <v>28.50536952067489</v>
      </c>
      <c r="AH102" s="8">
        <v>0.51581076921213487</v>
      </c>
      <c r="AI102" s="8">
        <v>75.195138204161779</v>
      </c>
      <c r="AJ102" s="8">
        <v>42.434532444747411</v>
      </c>
      <c r="AK102" s="8">
        <v>23.04992337526437</v>
      </c>
      <c r="AL102" s="8">
        <v>28.446213524024198</v>
      </c>
      <c r="AM102" s="8">
        <v>0.51048601691305029</v>
      </c>
      <c r="AN102" s="8">
        <v>75.283052291980027</v>
      </c>
      <c r="AO102" s="8">
        <v>42.988912017170968</v>
      </c>
      <c r="AP102" s="8">
        <v>22.95033156465491</v>
      </c>
      <c r="AQ102" s="8">
        <v>25.938672851153211</v>
      </c>
      <c r="AR102" s="8">
        <v>0.50917574766894402</v>
      </c>
      <c r="AS102" s="8">
        <v>75.896440367438444</v>
      </c>
      <c r="AT102" s="8">
        <v>42.926972854296068</v>
      </c>
      <c r="AU102" s="8">
        <v>26.300477473675379</v>
      </c>
      <c r="AV102" s="8">
        <v>29.093825696227182</v>
      </c>
      <c r="AW102" s="8">
        <v>0.66291622459988742</v>
      </c>
      <c r="AX102" s="8">
        <v>64.841015076203419</v>
      </c>
      <c r="AY102" s="8">
        <v>51.563336354773497</v>
      </c>
      <c r="AZ102" s="8">
        <v>23.201564476461741</v>
      </c>
      <c r="BA102" s="8">
        <v>27.925408699781912</v>
      </c>
      <c r="BB102" s="8">
        <v>0.52034454207821357</v>
      </c>
      <c r="BC102" s="8">
        <v>73.599086045493692</v>
      </c>
      <c r="BD102" s="8">
        <v>43.881689741414966</v>
      </c>
      <c r="BE102" s="8">
        <v>24.86538287879284</v>
      </c>
      <c r="BF102" s="8">
        <v>30.45139316711337</v>
      </c>
      <c r="BG102" s="8">
        <v>0.6490881863931991</v>
      </c>
      <c r="BH102" s="8">
        <v>64.139580811876343</v>
      </c>
      <c r="BI102" s="8">
        <v>54.047352416228087</v>
      </c>
    </row>
    <row r="103" spans="1:61" x14ac:dyDescent="0.15">
      <c r="A103" s="7">
        <v>2020</v>
      </c>
      <c r="B103" s="7">
        <v>47</v>
      </c>
      <c r="C103" s="7">
        <v>15.55002621591022</v>
      </c>
      <c r="D103" s="7">
        <v>3.3115966884616808</v>
      </c>
      <c r="E103" s="8">
        <v>19.0439630007392</v>
      </c>
      <c r="F103" s="8">
        <v>11.489949731021531</v>
      </c>
      <c r="G103" s="8">
        <v>0.52268282905448482</v>
      </c>
      <c r="H103" s="8">
        <v>72.094767684463932</v>
      </c>
      <c r="I103" s="8">
        <v>28.260035780858001</v>
      </c>
      <c r="J103" s="8">
        <v>23.002047716066549</v>
      </c>
      <c r="K103" s="8">
        <v>16.855759979959629</v>
      </c>
      <c r="L103" s="8">
        <v>0.60379472702557513</v>
      </c>
      <c r="M103" s="8">
        <v>67.685472043119134</v>
      </c>
      <c r="N103" s="8">
        <v>36.15165303556887</v>
      </c>
      <c r="O103" s="8">
        <v>294.452</v>
      </c>
      <c r="P103" s="8">
        <v>290.02699999999999</v>
      </c>
      <c r="Q103" s="8">
        <v>97.531999999999996</v>
      </c>
      <c r="R103" s="8">
        <v>-0.77690099999999995</v>
      </c>
      <c r="S103" s="8">
        <v>-0.408084</v>
      </c>
      <c r="T103" s="7">
        <f>C103-D103</f>
        <v>12.23842952744854</v>
      </c>
      <c r="U103" s="8">
        <f>D103/C103</f>
        <v>0.21296405822604825</v>
      </c>
      <c r="V103" s="8">
        <v>18.546754208619994</v>
      </c>
      <c r="W103" s="8">
        <v>11.414184205074491</v>
      </c>
      <c r="X103" s="8">
        <v>0.55259145605050775</v>
      </c>
      <c r="Y103" s="8">
        <v>72.141598168563078</v>
      </c>
      <c r="Z103" s="8">
        <v>27.73164482738531</v>
      </c>
      <c r="AA103" s="7">
        <v>20.774400962343272</v>
      </c>
      <c r="AB103" s="7">
        <v>14.13497209251706</v>
      </c>
      <c r="AC103" s="7">
        <v>0.57819309153804144</v>
      </c>
      <c r="AD103" s="7">
        <v>69.913535105841106</v>
      </c>
      <c r="AE103" s="7">
        <v>31.94164893147709</v>
      </c>
      <c r="AF103" s="8">
        <v>22.697330128412609</v>
      </c>
      <c r="AG103" s="8">
        <v>15.394297094653931</v>
      </c>
      <c r="AH103" s="8">
        <v>0.55466152983481776</v>
      </c>
      <c r="AI103" s="8">
        <v>64.407608699945712</v>
      </c>
      <c r="AJ103" s="8">
        <v>36.187349269409523</v>
      </c>
      <c r="AK103" s="8">
        <v>23.05778350492422</v>
      </c>
      <c r="AL103" s="8">
        <v>17.12307565223788</v>
      </c>
      <c r="AM103" s="8">
        <v>0.61278166317721061</v>
      </c>
      <c r="AN103" s="8">
        <v>68.285024896651493</v>
      </c>
      <c r="AO103" s="8">
        <v>36.145123849749069</v>
      </c>
      <c r="AP103" s="8">
        <v>24.64883709318368</v>
      </c>
      <c r="AQ103" s="8">
        <v>17.4359122162316</v>
      </c>
      <c r="AR103" s="8">
        <v>0.62265429498373293</v>
      </c>
      <c r="AS103" s="8">
        <v>66.479304529389708</v>
      </c>
      <c r="AT103" s="8">
        <v>37.33116403450294</v>
      </c>
      <c r="AU103" s="8">
        <v>20.04673767600735</v>
      </c>
      <c r="AV103" s="8">
        <v>16.485324376650741</v>
      </c>
      <c r="AW103" s="8">
        <v>0.57906345877702869</v>
      </c>
      <c r="AX103" s="8">
        <v>69.688537407527065</v>
      </c>
      <c r="AY103" s="8">
        <v>33.929400738822899</v>
      </c>
      <c r="AZ103" s="8">
        <v>21.913805725547519</v>
      </c>
      <c r="BA103" s="8">
        <v>18.216095164477711</v>
      </c>
      <c r="BB103" s="8">
        <v>0.62914987492243968</v>
      </c>
      <c r="BC103" s="8">
        <v>68.363027444808154</v>
      </c>
      <c r="BD103" s="8">
        <v>36.669300357766417</v>
      </c>
      <c r="BE103" s="8">
        <v>21.36399239104983</v>
      </c>
      <c r="BF103" s="8">
        <v>19.49969592642989</v>
      </c>
      <c r="BG103" s="8">
        <v>0.68545113222291498</v>
      </c>
      <c r="BH103" s="8">
        <v>68.154367584710585</v>
      </c>
      <c r="BI103" s="8">
        <v>37.635791200756287</v>
      </c>
    </row>
    <row r="104" spans="1:61" x14ac:dyDescent="0.15">
      <c r="A104" s="7">
        <v>2023</v>
      </c>
      <c r="B104" s="7">
        <v>86</v>
      </c>
      <c r="C104" s="9">
        <v>50.912209708904172</v>
      </c>
      <c r="D104" s="7">
        <v>18.653894081571003</v>
      </c>
      <c r="E104" s="8">
        <v>24.758757860884231</v>
      </c>
      <c r="F104" s="8">
        <v>15.12854051588878</v>
      </c>
      <c r="G104" s="8">
        <v>0.52355714062897585</v>
      </c>
      <c r="H104" s="8">
        <v>63.31281244518118</v>
      </c>
      <c r="I104" s="8">
        <v>42.558306783460367</v>
      </c>
      <c r="J104" s="8">
        <v>28.37278454153428</v>
      </c>
      <c r="K104" s="8">
        <v>22.414038316298281</v>
      </c>
      <c r="L104" s="8">
        <v>0.56725168966812933</v>
      </c>
      <c r="M104" s="8">
        <v>58.853816891161287</v>
      </c>
      <c r="N104" s="8">
        <v>52.095012645179601</v>
      </c>
      <c r="O104" s="7">
        <v>285.85500000000002</v>
      </c>
      <c r="P104" s="7">
        <v>281.07400000000001</v>
      </c>
      <c r="Q104" s="7">
        <v>85.5989</v>
      </c>
      <c r="R104" s="7">
        <v>-0.32064100000000001</v>
      </c>
      <c r="S104" s="7">
        <v>-0.171795</v>
      </c>
      <c r="T104" s="7">
        <f>C104-D104</f>
        <v>32.258315627333168</v>
      </c>
      <c r="U104" s="8">
        <f>D104/C104</f>
        <v>0.36639333056307266</v>
      </c>
      <c r="V104" s="8">
        <v>24.6005827604384</v>
      </c>
      <c r="W104" s="8">
        <v>11.594996253105698</v>
      </c>
      <c r="X104" s="8">
        <v>0.5099223522659847</v>
      </c>
      <c r="Y104" s="8">
        <v>64.387800643868218</v>
      </c>
      <c r="Z104" s="8">
        <v>41.776583668877144</v>
      </c>
      <c r="AA104" s="7">
        <v>26.48668365098634</v>
      </c>
      <c r="AB104" s="7">
        <v>17.00451728470199</v>
      </c>
      <c r="AC104" s="7">
        <v>0.53858702096705702</v>
      </c>
      <c r="AD104" s="7">
        <v>61.620808767514752</v>
      </c>
      <c r="AE104" s="7">
        <v>46.935798157028373</v>
      </c>
      <c r="AF104" s="8">
        <v>28.61372768183282</v>
      </c>
      <c r="AG104" s="8">
        <v>22.065347167558929</v>
      </c>
      <c r="AH104" s="8">
        <v>0.57665075582619751</v>
      </c>
      <c r="AI104" s="8">
        <v>59.29342011201004</v>
      </c>
      <c r="AJ104" s="8">
        <v>51.72283347262028</v>
      </c>
      <c r="AK104" s="8">
        <v>28.338944949701389</v>
      </c>
      <c r="AL104" s="8">
        <v>22.463010725865381</v>
      </c>
      <c r="AM104" s="8">
        <v>0.56593162485115522</v>
      </c>
      <c r="AN104" s="8">
        <v>58.792076210171089</v>
      </c>
      <c r="AO104" s="8">
        <v>52.147283862664807</v>
      </c>
      <c r="AP104" s="8">
        <v>28.83249387010444</v>
      </c>
      <c r="AQ104" s="8">
        <v>18.841117975873409</v>
      </c>
      <c r="AR104" s="8">
        <v>0.54928957245327292</v>
      </c>
      <c r="AS104" s="8">
        <v>59.400543663284843</v>
      </c>
      <c r="AT104" s="8">
        <v>52.493868765957679</v>
      </c>
      <c r="AU104" s="8">
        <v>25.27992383171598</v>
      </c>
      <c r="AV104" s="8">
        <v>18.583895989950701</v>
      </c>
      <c r="AW104" s="8">
        <v>0.59334929392230329</v>
      </c>
      <c r="AX104" s="8">
        <v>66.586459475939108</v>
      </c>
      <c r="AY104" s="8">
        <v>50.258456128378583</v>
      </c>
      <c r="AZ104" s="8">
        <v>29.668378088526389</v>
      </c>
      <c r="BA104" s="8">
        <v>28.090370535092742</v>
      </c>
      <c r="BB104" s="8">
        <v>0.61498922415101631</v>
      </c>
      <c r="BC104" s="8">
        <v>55.30252556881824</v>
      </c>
      <c r="BD104" s="8">
        <v>53.31006906539529</v>
      </c>
      <c r="BE104" s="8">
        <v>19.163321688459419</v>
      </c>
      <c r="BF104" s="8">
        <v>15.015125888054699</v>
      </c>
      <c r="BG104" s="8">
        <v>0.66966466248730538</v>
      </c>
      <c r="BH104" s="8">
        <v>62.57659105123151</v>
      </c>
      <c r="BI104" s="8">
        <v>39.223000014167773</v>
      </c>
    </row>
    <row r="105" spans="1:61" x14ac:dyDescent="0.15">
      <c r="A105" s="7">
        <v>2017</v>
      </c>
      <c r="B105" s="7">
        <v>19</v>
      </c>
      <c r="C105" s="7">
        <v>22.252702076580725</v>
      </c>
      <c r="D105" s="7">
        <v>11.736185213739137</v>
      </c>
      <c r="E105" s="8">
        <v>22.60943352661976</v>
      </c>
      <c r="F105" s="8">
        <v>13.52774315428243</v>
      </c>
      <c r="G105" s="8">
        <v>0.52364141985478418</v>
      </c>
      <c r="H105" s="8">
        <v>74.682029480622475</v>
      </c>
      <c r="I105" s="8">
        <v>37.070813576936267</v>
      </c>
      <c r="J105" s="8">
        <v>26.38910126835485</v>
      </c>
      <c r="K105" s="8">
        <v>20.5455352657678</v>
      </c>
      <c r="L105" s="8">
        <v>0.61257445220751516</v>
      </c>
      <c r="M105" s="8">
        <v>68.598267818273854</v>
      </c>
      <c r="N105" s="8">
        <v>43.891795731904132</v>
      </c>
      <c r="O105" s="8">
        <v>293.44299999999998</v>
      </c>
      <c r="P105" s="8">
        <v>288.8</v>
      </c>
      <c r="Q105" s="8">
        <v>96.557000000000002</v>
      </c>
      <c r="R105" s="8">
        <v>-0.71762999999999999</v>
      </c>
      <c r="S105" s="8">
        <v>-0.51575599999999999</v>
      </c>
      <c r="T105" s="7">
        <f>C105-D105</f>
        <v>10.516516862841588</v>
      </c>
      <c r="U105" s="8">
        <f>D105/C105</f>
        <v>0.52740494944614291</v>
      </c>
      <c r="V105" s="8">
        <v>22.214721748021788</v>
      </c>
      <c r="W105" s="8">
        <v>11.083620113304761</v>
      </c>
      <c r="X105" s="8">
        <v>0.49995503141573217</v>
      </c>
      <c r="Y105" s="8">
        <v>75.869381940275957</v>
      </c>
      <c r="Z105" s="8">
        <v>35.842843990102814</v>
      </c>
      <c r="AA105" s="7">
        <v>24.301911508188319</v>
      </c>
      <c r="AB105" s="7">
        <v>15.81457768953628</v>
      </c>
      <c r="AC105" s="7">
        <v>0.55626474181162366</v>
      </c>
      <c r="AD105" s="7">
        <v>72.233824879274906</v>
      </c>
      <c r="AE105" s="7">
        <v>39.867319861003473</v>
      </c>
      <c r="AF105" s="8">
        <v>26.6907957096107</v>
      </c>
      <c r="AG105" s="8">
        <v>19.076879762125809</v>
      </c>
      <c r="AH105" s="8">
        <v>0.6006608379339049</v>
      </c>
      <c r="AI105" s="8">
        <v>68.994648615997463</v>
      </c>
      <c r="AJ105" s="8">
        <v>44.363008976315783</v>
      </c>
      <c r="AK105" s="8">
        <v>26.338894617501399</v>
      </c>
      <c r="AL105" s="8">
        <v>20.789942400975281</v>
      </c>
      <c r="AM105" s="8">
        <v>0.61455706305625357</v>
      </c>
      <c r="AN105" s="8">
        <v>68.532303883925309</v>
      </c>
      <c r="AO105" s="8">
        <v>43.813378513670948</v>
      </c>
      <c r="AP105" s="8">
        <v>26.74467744200917</v>
      </c>
      <c r="AQ105" s="8">
        <v>18.02854787785305</v>
      </c>
      <c r="AR105" s="8">
        <v>0.57895241905380601</v>
      </c>
      <c r="AS105" s="8">
        <v>68.481621890459166</v>
      </c>
      <c r="AT105" s="8">
        <v>45.013128592163532</v>
      </c>
      <c r="AU105" s="8">
        <v>25.75823539879347</v>
      </c>
      <c r="AV105" s="8">
        <v>20.755990327894722</v>
      </c>
      <c r="AW105" s="8">
        <v>0.63216723316957513</v>
      </c>
      <c r="AX105" s="8">
        <v>65.923827329753138</v>
      </c>
      <c r="AY105" s="8">
        <v>41.626280324251013</v>
      </c>
      <c r="AZ105" s="8">
        <v>27.350640084699911</v>
      </c>
      <c r="BA105" s="8">
        <v>24.199082058528489</v>
      </c>
      <c r="BB105" s="8">
        <v>0.63324832712396972</v>
      </c>
      <c r="BC105" s="8">
        <v>66.094043329162034</v>
      </c>
      <c r="BD105" s="8">
        <v>45.871694341695637</v>
      </c>
      <c r="BE105" s="8">
        <v>27.037351823566912</v>
      </c>
      <c r="BF105" s="8">
        <v>24.07372482156638</v>
      </c>
      <c r="BG105" s="8">
        <v>0.75113604416325253</v>
      </c>
      <c r="BH105" s="8">
        <v>64.03575463696157</v>
      </c>
      <c r="BI105" s="8">
        <v>44.589394071830291</v>
      </c>
    </row>
    <row r="106" spans="1:61" x14ac:dyDescent="0.15">
      <c r="A106" s="7">
        <v>2022</v>
      </c>
      <c r="B106" s="7">
        <v>139</v>
      </c>
      <c r="C106" s="7">
        <v>24.536506042713331</v>
      </c>
      <c r="D106" s="7">
        <v>15.797421861440766</v>
      </c>
      <c r="E106" s="8">
        <v>18.577127283299731</v>
      </c>
      <c r="F106" s="8">
        <v>10.76978598901877</v>
      </c>
      <c r="G106" s="8">
        <v>0.52404342208858579</v>
      </c>
      <c r="H106" s="8">
        <v>53.009242782035429</v>
      </c>
      <c r="I106" s="8">
        <v>27.47152529170064</v>
      </c>
      <c r="J106" s="8">
        <v>21.76489397923201</v>
      </c>
      <c r="K106" s="8">
        <v>14.59783745600749</v>
      </c>
      <c r="L106" s="8">
        <v>0.56448740634361194</v>
      </c>
      <c r="M106" s="8">
        <v>53.741977891966279</v>
      </c>
      <c r="N106" s="8">
        <v>33.898967179024119</v>
      </c>
      <c r="O106" s="8">
        <v>291.48700000000002</v>
      </c>
      <c r="P106" s="8">
        <v>286.35300000000001</v>
      </c>
      <c r="Q106" s="8">
        <v>96.474500000000006</v>
      </c>
      <c r="R106" s="8">
        <v>-0.35069</v>
      </c>
      <c r="S106" s="8">
        <v>-0.54424399999999995</v>
      </c>
      <c r="T106" s="7">
        <f>C106-D106</f>
        <v>8.739084181272565</v>
      </c>
      <c r="U106" s="8">
        <f>D106/C106</f>
        <v>0.64383338988609451</v>
      </c>
      <c r="V106" s="8">
        <v>18.54754837237245</v>
      </c>
      <c r="W106" s="8">
        <v>9.5852213169287701</v>
      </c>
      <c r="X106" s="8">
        <v>0.52025956157923703</v>
      </c>
      <c r="Y106" s="8">
        <v>52.191159519158056</v>
      </c>
      <c r="Z106" s="8">
        <v>25.899266777546963</v>
      </c>
      <c r="AA106" s="7">
        <v>20.15622117580223</v>
      </c>
      <c r="AB106" s="7">
        <v>12.09152938646813</v>
      </c>
      <c r="AC106" s="7">
        <v>0.54237348396142449</v>
      </c>
      <c r="AD106" s="7">
        <v>52.966568705562167</v>
      </c>
      <c r="AE106" s="7">
        <v>29.899116978285541</v>
      </c>
      <c r="AF106" s="8">
        <v>23.29202734362616</v>
      </c>
      <c r="AG106" s="8">
        <v>15.104759736795449</v>
      </c>
      <c r="AH106" s="8">
        <v>0.54491779250049266</v>
      </c>
      <c r="AI106" s="8">
        <v>52.993708637083763</v>
      </c>
      <c r="AJ106" s="8">
        <v>37.035316462319088</v>
      </c>
      <c r="AK106" s="8">
        <v>21.603106832687821</v>
      </c>
      <c r="AL106" s="8">
        <v>14.54413323393983</v>
      </c>
      <c r="AM106" s="8">
        <v>0.56656064503806347</v>
      </c>
      <c r="AN106" s="8">
        <v>53.821250829364381</v>
      </c>
      <c r="AO106" s="8">
        <v>33.566696918324567</v>
      </c>
      <c r="AP106" s="8">
        <v>23.14558866105186</v>
      </c>
      <c r="AQ106" s="8">
        <v>14.52733984910971</v>
      </c>
      <c r="AR106" s="8">
        <v>0.56898673529994825</v>
      </c>
      <c r="AS106" s="8">
        <v>52.53355082641724</v>
      </c>
      <c r="AT106" s="8">
        <v>34.417936501625348</v>
      </c>
      <c r="AU106" s="8">
        <v>20.838124546416079</v>
      </c>
      <c r="AV106" s="8">
        <v>13.431011120044539</v>
      </c>
      <c r="AW106" s="8">
        <v>0.58509622432252983</v>
      </c>
      <c r="AX106" s="8">
        <v>59.72209907261044</v>
      </c>
      <c r="AY106" s="8">
        <v>31.736582195707321</v>
      </c>
      <c r="AZ106" s="8">
        <v>21.716257853342789</v>
      </c>
      <c r="BA106" s="8">
        <v>15.550900220091441</v>
      </c>
      <c r="BB106" s="8">
        <v>0.59095829808245104</v>
      </c>
      <c r="BC106" s="8">
        <v>55.353122296516887</v>
      </c>
      <c r="BD106" s="8">
        <v>34.382943419618833</v>
      </c>
      <c r="BE106" s="8">
        <v>24.13328217648267</v>
      </c>
      <c r="BF106" s="8">
        <v>20.778680282562899</v>
      </c>
      <c r="BG106" s="8">
        <v>0.48305668193695511</v>
      </c>
      <c r="BH106" s="8">
        <v>58.367758667151357</v>
      </c>
      <c r="BI106" s="8">
        <v>43.482131505861197</v>
      </c>
    </row>
    <row r="107" spans="1:61" x14ac:dyDescent="0.15">
      <c r="A107" s="7">
        <v>2022</v>
      </c>
      <c r="B107" s="7">
        <v>51</v>
      </c>
      <c r="C107" s="7">
        <v>130.83870635071017</v>
      </c>
      <c r="D107" s="7">
        <v>32.373361056063693</v>
      </c>
      <c r="E107" s="8">
        <v>14.13730901006036</v>
      </c>
      <c r="F107" s="8">
        <v>11.4420015657289</v>
      </c>
      <c r="G107" s="8">
        <v>0.52557920652120926</v>
      </c>
      <c r="H107" s="8">
        <v>68.000816263419836</v>
      </c>
      <c r="I107" s="8">
        <v>18.51992737392122</v>
      </c>
      <c r="J107" s="8">
        <v>19.53177922397326</v>
      </c>
      <c r="K107" s="8">
        <v>22.13751759573773</v>
      </c>
      <c r="L107" s="8">
        <v>0.63547836549683645</v>
      </c>
      <c r="M107" s="8">
        <v>63.743576961741212</v>
      </c>
      <c r="N107" s="8">
        <v>30.17191562013646</v>
      </c>
      <c r="O107" s="8">
        <v>291.47300000000001</v>
      </c>
      <c r="P107" s="8">
        <v>285.822</v>
      </c>
      <c r="Q107" s="8">
        <v>98.225800000000007</v>
      </c>
      <c r="R107" s="8">
        <v>-0.53111200000000003</v>
      </c>
      <c r="S107" s="8">
        <v>-0.47488000000000002</v>
      </c>
      <c r="T107" s="7">
        <f>C107-D107</f>
        <v>98.465345294646482</v>
      </c>
      <c r="U107" s="8">
        <f>D107/C107</f>
        <v>0.24742954098986303</v>
      </c>
      <c r="V107" s="8">
        <v>13.70983426916434</v>
      </c>
      <c r="W107" s="8">
        <v>9.0056847120977501</v>
      </c>
      <c r="X107" s="8">
        <v>0.48306265105039403</v>
      </c>
      <c r="Y107" s="8">
        <v>68.509601357686364</v>
      </c>
      <c r="Z107" s="8">
        <v>17.028177546521142</v>
      </c>
      <c r="AA107" s="7">
        <v>16.6208067465688</v>
      </c>
      <c r="AB107" s="7">
        <v>15.57160115391774</v>
      </c>
      <c r="AC107" s="7">
        <v>0.55927050827361524</v>
      </c>
      <c r="AD107" s="7">
        <v>66.126589159713788</v>
      </c>
      <c r="AE107" s="7">
        <v>23.600046583328801</v>
      </c>
      <c r="AF107" s="8">
        <v>18.817084250501232</v>
      </c>
      <c r="AG107" s="8">
        <v>22.993017919637431</v>
      </c>
      <c r="AH107" s="8">
        <v>0.62573734113562784</v>
      </c>
      <c r="AI107" s="8">
        <v>65.668456079936519</v>
      </c>
      <c r="AJ107" s="8">
        <v>28.306303775797069</v>
      </c>
      <c r="AK107" s="8">
        <v>19.57968256405826</v>
      </c>
      <c r="AL107" s="8">
        <v>22.080176597857889</v>
      </c>
      <c r="AM107" s="8">
        <v>0.63613127005062697</v>
      </c>
      <c r="AN107" s="8">
        <v>63.614559489331299</v>
      </c>
      <c r="AO107" s="8">
        <v>30.296960628095349</v>
      </c>
      <c r="AP107" s="8">
        <v>21.291364337518381</v>
      </c>
      <c r="AQ107" s="8">
        <v>22.72017380429935</v>
      </c>
      <c r="AR107" s="8">
        <v>0.60883802779370322</v>
      </c>
      <c r="AS107" s="8">
        <v>62.95861996373737</v>
      </c>
      <c r="AT107" s="8">
        <v>31.81728784885053</v>
      </c>
      <c r="AU107" s="8">
        <v>18.337232117654409</v>
      </c>
      <c r="AV107" s="8">
        <v>17.056406923187939</v>
      </c>
      <c r="AW107" s="8">
        <v>0.56052982207212609</v>
      </c>
      <c r="AX107" s="8">
        <v>63.682816009747718</v>
      </c>
      <c r="AY107" s="8">
        <v>24.567856328230011</v>
      </c>
      <c r="AZ107" s="8">
        <v>20.00744453855539</v>
      </c>
      <c r="BA107" s="8">
        <v>23.247564639109811</v>
      </c>
      <c r="BB107" s="8">
        <v>0.63025833318247149</v>
      </c>
      <c r="BC107" s="8">
        <v>62.649133128764163</v>
      </c>
      <c r="BD107" s="8">
        <v>33.306889970618187</v>
      </c>
      <c r="BE107" s="8">
        <v>24.60139549000121</v>
      </c>
      <c r="BF107" s="8">
        <v>25.933274176890979</v>
      </c>
      <c r="BG107" s="8">
        <v>0.51111882011079135</v>
      </c>
      <c r="BH107" s="8">
        <v>57.428778117737018</v>
      </c>
      <c r="BI107" s="8">
        <v>45.984925910696681</v>
      </c>
    </row>
    <row r="108" spans="1:61" x14ac:dyDescent="0.15">
      <c r="A108" s="7">
        <v>2017</v>
      </c>
      <c r="B108" s="7">
        <v>18</v>
      </c>
      <c r="C108" s="7">
        <v>99.036939681852672</v>
      </c>
      <c r="D108" s="7">
        <v>9.2773221846925527</v>
      </c>
      <c r="E108" s="8">
        <v>23.648907901043369</v>
      </c>
      <c r="F108" s="8">
        <v>15.48265794472036</v>
      </c>
      <c r="G108" s="8">
        <v>0.52560811201408653</v>
      </c>
      <c r="H108" s="8">
        <v>75.007729325185053</v>
      </c>
      <c r="I108" s="8">
        <v>37.333083098510357</v>
      </c>
      <c r="J108" s="8">
        <v>25.287942113632521</v>
      </c>
      <c r="K108" s="8">
        <v>20.65488272518693</v>
      </c>
      <c r="L108" s="8">
        <v>0.61546061257614704</v>
      </c>
      <c r="M108" s="8">
        <v>66.995503098576393</v>
      </c>
      <c r="N108" s="8">
        <v>41.808300068704703</v>
      </c>
      <c r="O108" s="8">
        <v>293.00799999999998</v>
      </c>
      <c r="P108" s="8">
        <v>289.084</v>
      </c>
      <c r="Q108" s="8">
        <v>98.256199999999993</v>
      </c>
      <c r="R108" s="8">
        <v>-1.2668200000000001</v>
      </c>
      <c r="S108" s="8">
        <v>-1.4898899999999999</v>
      </c>
      <c r="T108" s="7">
        <f>C108-D108</f>
        <v>89.759617497160122</v>
      </c>
      <c r="U108" s="8">
        <f>D108/C108</f>
        <v>9.3675372184309436E-2</v>
      </c>
      <c r="V108" s="8">
        <v>24.97990953509068</v>
      </c>
      <c r="W108" s="8">
        <v>14.102723507562828</v>
      </c>
      <c r="X108" s="8">
        <v>0.53453512212861143</v>
      </c>
      <c r="Y108" s="8">
        <v>76.466685364817636</v>
      </c>
      <c r="Z108" s="8">
        <v>37.464802768004041</v>
      </c>
      <c r="AA108" s="7">
        <v>25.133925824361601</v>
      </c>
      <c r="AB108" s="7">
        <v>17.378803116374879</v>
      </c>
      <c r="AC108" s="7">
        <v>0.57499786735237923</v>
      </c>
      <c r="AD108" s="7">
        <v>71.731094231697014</v>
      </c>
      <c r="AE108" s="7">
        <v>39.636551418354372</v>
      </c>
      <c r="AF108" s="8">
        <v>25.869866897939861</v>
      </c>
      <c r="AG108" s="8">
        <v>19.808843426526909</v>
      </c>
      <c r="AH108" s="8">
        <v>0.61811716229225944</v>
      </c>
      <c r="AI108" s="8">
        <v>66.88276690307211</v>
      </c>
      <c r="AJ108" s="8">
        <v>41.972938453535093</v>
      </c>
      <c r="AK108" s="8">
        <v>25.205922181113401</v>
      </c>
      <c r="AL108" s="8">
        <v>20.774128524740249</v>
      </c>
      <c r="AM108" s="8">
        <v>0.61508618269392668</v>
      </c>
      <c r="AN108" s="8">
        <v>67.01139280700103</v>
      </c>
      <c r="AO108" s="8">
        <v>41.785094957704104</v>
      </c>
      <c r="AP108" s="8">
        <v>25.237018446079251</v>
      </c>
      <c r="AQ108" s="8">
        <v>17.52295680898337</v>
      </c>
      <c r="AR108" s="8">
        <v>0.58499564808744542</v>
      </c>
      <c r="AS108" s="8">
        <v>66.73025063266482</v>
      </c>
      <c r="AT108" s="8">
        <v>40.052018487466462</v>
      </c>
      <c r="AU108" s="8">
        <v>27.424261227430549</v>
      </c>
      <c r="AV108" s="8">
        <v>22.475926187140569</v>
      </c>
      <c r="AW108" s="8">
        <v>0.62512227164067291</v>
      </c>
      <c r="AX108" s="8">
        <v>67.183886000514434</v>
      </c>
      <c r="AY108" s="8">
        <v>42.589438386696003</v>
      </c>
      <c r="AZ108" s="8">
        <v>26.52875089436888</v>
      </c>
      <c r="BA108" s="8">
        <v>25.164526098613599</v>
      </c>
      <c r="BB108" s="8">
        <v>0.65512151003836427</v>
      </c>
      <c r="BC108" s="8">
        <v>63.630497709451177</v>
      </c>
      <c r="BD108" s="8">
        <v>46.19350767600735</v>
      </c>
      <c r="BE108" s="8">
        <v>28.520112081399851</v>
      </c>
      <c r="BF108" s="8">
        <v>23.978934287517468</v>
      </c>
      <c r="BG108" s="8">
        <v>0.66972926141222666</v>
      </c>
      <c r="BH108" s="8">
        <v>65.699490770450353</v>
      </c>
      <c r="BI108" s="8">
        <v>44.000422289071217</v>
      </c>
    </row>
    <row r="109" spans="1:61" x14ac:dyDescent="0.15">
      <c r="A109" s="7">
        <v>2020</v>
      </c>
      <c r="B109" s="7">
        <v>99</v>
      </c>
      <c r="C109" s="7">
        <v>14.931681641822742</v>
      </c>
      <c r="D109" s="7">
        <v>13.715663621045099</v>
      </c>
      <c r="E109" s="8">
        <v>17.085016768295318</v>
      </c>
      <c r="F109" s="8">
        <v>10.12146339783942</v>
      </c>
      <c r="G109" s="8">
        <v>0.52587708909864794</v>
      </c>
      <c r="H109" s="8">
        <v>74.660315224097658</v>
      </c>
      <c r="I109" s="8">
        <v>26.556421103677661</v>
      </c>
      <c r="J109" s="8">
        <v>20.80649115447034</v>
      </c>
      <c r="K109" s="8">
        <v>14.049932674965</v>
      </c>
      <c r="L109" s="8">
        <v>0.55733609813134222</v>
      </c>
      <c r="M109" s="8">
        <v>66.855802433171121</v>
      </c>
      <c r="N109" s="8">
        <v>35.294208115684498</v>
      </c>
      <c r="O109" s="8">
        <v>293.51100000000002</v>
      </c>
      <c r="P109" s="8">
        <v>288.93900000000002</v>
      </c>
      <c r="Q109" s="8">
        <v>95.777000000000001</v>
      </c>
      <c r="R109" s="8">
        <v>-4.4453899999999998E-2</v>
      </c>
      <c r="S109" s="8">
        <v>-3.09958E-2</v>
      </c>
      <c r="T109" s="7">
        <f>C109-D109</f>
        <v>1.2160180207776428</v>
      </c>
      <c r="U109" s="8">
        <f>D109/C109</f>
        <v>0.91856121433960591</v>
      </c>
      <c r="V109" s="8">
        <v>14.375644214146003</v>
      </c>
      <c r="W109" s="8">
        <v>7.2691323260327998</v>
      </c>
      <c r="X109" s="8">
        <v>0.49953874191962244</v>
      </c>
      <c r="Y109" s="8">
        <v>80.481621399308793</v>
      </c>
      <c r="Z109" s="8">
        <v>19.975180412837744</v>
      </c>
      <c r="AA109" s="7">
        <v>17.591067684308172</v>
      </c>
      <c r="AB109" s="7">
        <v>10.6595325004989</v>
      </c>
      <c r="AC109" s="7">
        <v>0.52843742002548233</v>
      </c>
      <c r="AD109" s="7">
        <v>73.668711916239957</v>
      </c>
      <c r="AE109" s="7">
        <v>27.634694264261121</v>
      </c>
      <c r="AF109" s="8">
        <v>20.644028816064338</v>
      </c>
      <c r="AG109" s="8">
        <v>12.647106924224399</v>
      </c>
      <c r="AH109" s="8">
        <v>0.56139003044821734</v>
      </c>
      <c r="AI109" s="8">
        <v>64.955929078530858</v>
      </c>
      <c r="AJ109" s="8">
        <v>35.599282506312669</v>
      </c>
      <c r="AK109" s="8">
        <v>20.840639303108698</v>
      </c>
      <c r="AL109" s="8">
        <v>14.34479425777873</v>
      </c>
      <c r="AM109" s="8">
        <v>0.55648399736334409</v>
      </c>
      <c r="AN109" s="8">
        <v>67.25513903231689</v>
      </c>
      <c r="AO109" s="8">
        <v>35.230084173242567</v>
      </c>
      <c r="AP109" s="8">
        <v>21.417722438531761</v>
      </c>
      <c r="AQ109" s="8">
        <v>14.198008873348829</v>
      </c>
      <c r="AR109" s="8">
        <v>0.53020491887519505</v>
      </c>
      <c r="AS109" s="8">
        <v>65.985713533657375</v>
      </c>
      <c r="AT109" s="8">
        <v>35.589591996488601</v>
      </c>
      <c r="AU109" s="8">
        <v>20.892685327295212</v>
      </c>
      <c r="AV109" s="8">
        <v>16.964628165920772</v>
      </c>
      <c r="AW109" s="8">
        <v>0.57351396598438265</v>
      </c>
      <c r="AX109" s="8">
        <v>64.487086279632948</v>
      </c>
      <c r="AY109" s="8">
        <v>35.405576543191941</v>
      </c>
      <c r="AZ109" s="8">
        <v>23.08321302681064</v>
      </c>
      <c r="BA109" s="8">
        <v>19.379533298445342</v>
      </c>
      <c r="BB109" s="8">
        <v>0.63277082935137063</v>
      </c>
      <c r="BC109" s="8">
        <v>64.2313661439659</v>
      </c>
      <c r="BD109" s="8">
        <v>40.339537317682023</v>
      </c>
      <c r="BE109" s="8">
        <v>24.519677101406749</v>
      </c>
      <c r="BF109" s="8">
        <v>22.429509457339371</v>
      </c>
      <c r="BG109" s="8">
        <v>0.75753690509853666</v>
      </c>
      <c r="BH109" s="8">
        <v>60.522199175267112</v>
      </c>
      <c r="BI109" s="8">
        <v>42.689895393509588</v>
      </c>
    </row>
    <row r="110" spans="1:61" x14ac:dyDescent="0.15">
      <c r="A110" s="7">
        <v>2020</v>
      </c>
      <c r="B110" s="7">
        <v>53</v>
      </c>
      <c r="C110" s="7">
        <v>282.75438571034749</v>
      </c>
      <c r="D110" s="7">
        <v>141.2334847508923</v>
      </c>
      <c r="E110" s="8">
        <v>24.18142276782843</v>
      </c>
      <c r="F110" s="8">
        <v>16.534741374189199</v>
      </c>
      <c r="G110" s="8">
        <v>0.52644125623540194</v>
      </c>
      <c r="H110" s="8">
        <v>54.956738034477148</v>
      </c>
      <c r="I110" s="8">
        <v>36.941988863403409</v>
      </c>
      <c r="J110" s="8">
        <v>32.0146805970193</v>
      </c>
      <c r="K110" s="8">
        <v>22.60103418157621</v>
      </c>
      <c r="L110" s="8">
        <v>0.63024197080408861</v>
      </c>
      <c r="M110" s="8">
        <v>55.144654404358853</v>
      </c>
      <c r="N110" s="8">
        <v>46.917450264529073</v>
      </c>
      <c r="O110" s="8">
        <v>277.78199999999998</v>
      </c>
      <c r="P110" s="8">
        <v>272.08699999999999</v>
      </c>
      <c r="Q110" s="8">
        <v>97.917500000000004</v>
      </c>
      <c r="R110" s="8">
        <v>1.0607500000000001</v>
      </c>
      <c r="S110" s="8">
        <v>0.54585399999999995</v>
      </c>
      <c r="T110" s="7">
        <f>C110-D110</f>
        <v>141.52090095945519</v>
      </c>
      <c r="U110" s="8">
        <f>D110/C110</f>
        <v>0.4994917564092935</v>
      </c>
      <c r="V110" s="8">
        <v>16.361800803025723</v>
      </c>
      <c r="W110" s="8">
        <v>10.681528870781328</v>
      </c>
      <c r="X110" s="8">
        <v>0.5703779349305983</v>
      </c>
      <c r="Y110" s="8">
        <v>53.597131291286566</v>
      </c>
      <c r="Z110" s="8">
        <v>27.450734048033546</v>
      </c>
      <c r="AA110" s="7">
        <v>24.188240700022511</v>
      </c>
      <c r="AB110" s="7">
        <v>16.641281526178769</v>
      </c>
      <c r="AC110" s="7">
        <v>0.60030995286734345</v>
      </c>
      <c r="AD110" s="7">
        <v>54.370892847822709</v>
      </c>
      <c r="AE110" s="7">
        <v>37.184092156281309</v>
      </c>
      <c r="AF110" s="8">
        <v>34.378053045099968</v>
      </c>
      <c r="AG110" s="8">
        <v>24.474673904368832</v>
      </c>
      <c r="AH110" s="8">
        <v>0.62842069408108425</v>
      </c>
      <c r="AI110" s="8">
        <v>57.399352852562501</v>
      </c>
      <c r="AJ110" s="8">
        <v>49.461080245806833</v>
      </c>
      <c r="AK110" s="8">
        <v>31.750092712223221</v>
      </c>
      <c r="AL110" s="8">
        <v>22.391273603413332</v>
      </c>
      <c r="AM110" s="8">
        <v>0.63044586915966083</v>
      </c>
      <c r="AN110" s="8">
        <v>54.892232957308572</v>
      </c>
      <c r="AO110" s="8">
        <v>46.632681912847247</v>
      </c>
      <c r="AP110" s="8">
        <v>23.448635014394839</v>
      </c>
      <c r="AQ110" s="8">
        <v>15.949743246387319</v>
      </c>
      <c r="AR110" s="8">
        <v>0.64786703783579502</v>
      </c>
      <c r="AS110" s="8">
        <v>53.692321700154288</v>
      </c>
      <c r="AT110" s="8">
        <v>36.480419174289658</v>
      </c>
      <c r="AU110" s="8">
        <v>25.685499541699421</v>
      </c>
      <c r="AV110" s="8">
        <v>17.25196905523282</v>
      </c>
      <c r="AW110" s="8">
        <v>0.61053389403622182</v>
      </c>
      <c r="AX110" s="8">
        <v>58.880657091007137</v>
      </c>
      <c r="AY110" s="8">
        <v>38.618365679603571</v>
      </c>
      <c r="AZ110" s="8">
        <v>34.770894445777373</v>
      </c>
      <c r="BA110" s="8">
        <v>25.289007348236581</v>
      </c>
      <c r="BB110" s="8">
        <v>0.64437089423901894</v>
      </c>
      <c r="BC110" s="8">
        <v>55.907256043912703</v>
      </c>
      <c r="BD110" s="8">
        <v>50.466406373930617</v>
      </c>
      <c r="BE110" s="8">
        <v>26.212926324350491</v>
      </c>
      <c r="BF110" s="8">
        <v>21.709824600144</v>
      </c>
      <c r="BG110" s="8">
        <v>0.61315059242846393</v>
      </c>
      <c r="BH110" s="8">
        <v>59.013719852041497</v>
      </c>
      <c r="BI110" s="8">
        <v>42.314599943743879</v>
      </c>
    </row>
    <row r="111" spans="1:61" x14ac:dyDescent="0.15">
      <c r="A111" s="7">
        <v>2021</v>
      </c>
      <c r="B111" s="7">
        <v>21</v>
      </c>
      <c r="C111" s="7">
        <v>183.06159464391635</v>
      </c>
      <c r="D111" s="7">
        <v>15.210251907194106</v>
      </c>
      <c r="E111" s="8">
        <v>28.605275127980939</v>
      </c>
      <c r="F111" s="8">
        <v>24.271790510406539</v>
      </c>
      <c r="G111" s="8">
        <v>0.52696080781211885</v>
      </c>
      <c r="H111" s="8">
        <v>72.975010668067043</v>
      </c>
      <c r="I111" s="8">
        <v>38.898435655485997</v>
      </c>
      <c r="J111" s="8">
        <v>34.648447047330301</v>
      </c>
      <c r="K111" s="8">
        <v>30.17196187730093</v>
      </c>
      <c r="L111" s="8">
        <v>0.62703868109610161</v>
      </c>
      <c r="M111" s="8">
        <v>64.319652373102258</v>
      </c>
      <c r="N111" s="8">
        <v>57.026777876548998</v>
      </c>
      <c r="O111" s="8">
        <v>290.45400000000001</v>
      </c>
      <c r="P111" s="8">
        <v>285.334</v>
      </c>
      <c r="Q111" s="8">
        <v>101.001</v>
      </c>
      <c r="R111" s="8">
        <v>-0.58589100000000005</v>
      </c>
      <c r="S111" s="8">
        <v>-0.17005899999999999</v>
      </c>
      <c r="T111" s="7">
        <f>C111-D111</f>
        <v>167.85134273672224</v>
      </c>
      <c r="U111" s="8">
        <f>D111/C111</f>
        <v>8.3088164597169833E-2</v>
      </c>
      <c r="V111" s="8">
        <v>33.097725109776526</v>
      </c>
      <c r="W111" s="8">
        <v>25.841128862099147</v>
      </c>
      <c r="X111" s="8">
        <v>0.65765702359918887</v>
      </c>
      <c r="Y111" s="8">
        <v>67.712558977985935</v>
      </c>
      <c r="Z111" s="8">
        <v>50.667812468837518</v>
      </c>
      <c r="AA111" s="7">
        <v>33.873086078553413</v>
      </c>
      <c r="AB111" s="7">
        <v>28.006545369700039</v>
      </c>
      <c r="AC111" s="7">
        <v>0.64234785234764524</v>
      </c>
      <c r="AD111" s="7">
        <v>66.016105675544097</v>
      </c>
      <c r="AE111" s="7">
        <v>53.847295172693258</v>
      </c>
      <c r="AF111" s="8">
        <v>35.106480304481721</v>
      </c>
      <c r="AG111" s="8">
        <v>31.281834955303161</v>
      </c>
      <c r="AH111" s="8">
        <v>0.63259446752394288</v>
      </c>
      <c r="AI111" s="8">
        <v>64.127118224169422</v>
      </c>
      <c r="AJ111" s="8">
        <v>56.833905627605027</v>
      </c>
      <c r="AK111" s="8">
        <v>34.618549983828927</v>
      </c>
      <c r="AL111" s="8">
        <v>30.09951747425071</v>
      </c>
      <c r="AM111" s="8">
        <v>0.62667603996242882</v>
      </c>
      <c r="AN111" s="8">
        <v>64.332219595213203</v>
      </c>
      <c r="AO111" s="8">
        <v>57.039367167357703</v>
      </c>
      <c r="AP111" s="8">
        <v>33.602893106441527</v>
      </c>
      <c r="AQ111" s="8">
        <v>27.882673926461219</v>
      </c>
      <c r="AR111" s="8">
        <v>0.60102082814324387</v>
      </c>
      <c r="AS111" s="8">
        <v>65.630875956488225</v>
      </c>
      <c r="AT111" s="8">
        <v>54.162732253453669</v>
      </c>
      <c r="AU111" s="8">
        <v>36.639964973116918</v>
      </c>
      <c r="AV111" s="8">
        <v>26.00934502214551</v>
      </c>
      <c r="AW111" s="8">
        <v>0.5410259570638648</v>
      </c>
      <c r="AX111" s="8">
        <v>69.571677010435977</v>
      </c>
      <c r="AY111" s="8">
        <v>56.939576590746817</v>
      </c>
      <c r="AZ111" s="8">
        <v>35.037122956241873</v>
      </c>
      <c r="BA111" s="8">
        <v>28.953635697981252</v>
      </c>
      <c r="BB111" s="8">
        <v>0.61623720064492826</v>
      </c>
      <c r="BC111" s="8">
        <v>65.59833280147933</v>
      </c>
      <c r="BD111" s="8">
        <v>57.063384774069377</v>
      </c>
      <c r="BE111" s="8">
        <v>40.655061029047452</v>
      </c>
      <c r="BF111" s="8">
        <v>28.894575564666319</v>
      </c>
      <c r="BG111" s="8">
        <v>0.48583322078585872</v>
      </c>
      <c r="BH111" s="8">
        <v>64.63463228178594</v>
      </c>
      <c r="BI111" s="8">
        <v>63.130285597487592</v>
      </c>
    </row>
    <row r="112" spans="1:61" x14ac:dyDescent="0.15">
      <c r="A112" s="7">
        <v>2023</v>
      </c>
      <c r="B112" s="7">
        <v>134</v>
      </c>
      <c r="C112" s="9">
        <v>10.874872093495904</v>
      </c>
      <c r="D112" s="7">
        <v>6.2214067542123956</v>
      </c>
      <c r="E112" s="8">
        <v>20.80384132568582</v>
      </c>
      <c r="F112" s="8">
        <v>10.13525265552685</v>
      </c>
      <c r="G112" s="8">
        <v>0.5275068763116042</v>
      </c>
      <c r="H112" s="8">
        <v>65.396581585180499</v>
      </c>
      <c r="I112" s="8">
        <v>30.45775051797548</v>
      </c>
      <c r="J112" s="8">
        <v>25.290394958092779</v>
      </c>
      <c r="K112" s="8">
        <v>13.785388622710069</v>
      </c>
      <c r="L112" s="8">
        <v>0.57112247652372805</v>
      </c>
      <c r="M112" s="8">
        <v>58.960000863585407</v>
      </c>
      <c r="N112" s="8">
        <v>36.97788759657282</v>
      </c>
      <c r="O112" s="7">
        <v>291.84500000000003</v>
      </c>
      <c r="P112" s="7">
        <v>284.935</v>
      </c>
      <c r="Q112" s="7">
        <v>82.842500000000001</v>
      </c>
      <c r="R112" s="7">
        <v>0.59218499999999996</v>
      </c>
      <c r="S112" s="7">
        <v>1.1437999999999999</v>
      </c>
      <c r="T112" s="7">
        <f>C112-D112</f>
        <v>4.6534653392835086</v>
      </c>
      <c r="U112" s="8">
        <f>D112/C112</f>
        <v>0.57209010834557994</v>
      </c>
      <c r="V112" s="8">
        <v>19.791195598051697</v>
      </c>
      <c r="W112" s="8">
        <v>8.6573612698914317</v>
      </c>
      <c r="X112" s="8">
        <v>0.53078096885592119</v>
      </c>
      <c r="Y112" s="8">
        <v>66.245917196802694</v>
      </c>
      <c r="Z112" s="8">
        <v>28.725668691101653</v>
      </c>
      <c r="AA112" s="7">
        <v>22.540795278072238</v>
      </c>
      <c r="AB112" s="7">
        <v>11.221374946300751</v>
      </c>
      <c r="AC112" s="7">
        <v>0.55095172268982462</v>
      </c>
      <c r="AD112" s="7">
        <v>62.60295903019405</v>
      </c>
      <c r="AE112" s="7">
        <v>32.851778143837237</v>
      </c>
      <c r="AF112" s="8">
        <v>25.436108693161579</v>
      </c>
      <c r="AG112" s="8">
        <v>14.049831035853041</v>
      </c>
      <c r="AH112" s="8">
        <v>0.58178596701949614</v>
      </c>
      <c r="AI112" s="8">
        <v>58.938035762638663</v>
      </c>
      <c r="AJ112" s="8">
        <v>36.339666019654182</v>
      </c>
      <c r="AK112" s="8">
        <v>25.263867810578031</v>
      </c>
      <c r="AL112" s="8">
        <v>13.73724695027758</v>
      </c>
      <c r="AM112" s="8">
        <v>0.5691811908565283</v>
      </c>
      <c r="AN112" s="8">
        <v>58.963999604491427</v>
      </c>
      <c r="AO112" s="8">
        <v>37.094075668411151</v>
      </c>
      <c r="AP112" s="8">
        <v>26.063216949234828</v>
      </c>
      <c r="AQ112" s="8">
        <v>12.9888630504394</v>
      </c>
      <c r="AR112" s="8">
        <v>0.58731839658488227</v>
      </c>
      <c r="AS112" s="8">
        <v>58.289025303992418</v>
      </c>
      <c r="AT112" s="8">
        <v>37.513132158669698</v>
      </c>
      <c r="AU112" s="8">
        <v>24.765145198997931</v>
      </c>
      <c r="AV112" s="8">
        <v>12.955221615670251</v>
      </c>
      <c r="AW112" s="8">
        <v>0.61698211305161732</v>
      </c>
      <c r="AX112" s="8">
        <v>56.750655378264867</v>
      </c>
      <c r="AY112" s="8">
        <v>36.545832938821192</v>
      </c>
      <c r="AZ112" s="8">
        <v>26.268053208732621</v>
      </c>
      <c r="BA112" s="8">
        <v>17.28159201220252</v>
      </c>
      <c r="BB112" s="8">
        <v>0.60960281260889537</v>
      </c>
      <c r="BC112" s="8">
        <v>54.69761196356832</v>
      </c>
      <c r="BD112" s="8">
        <v>40.554755514315033</v>
      </c>
      <c r="BE112" s="8">
        <v>19.72365700152357</v>
      </c>
      <c r="BF112" s="8">
        <v>18.447939562638439</v>
      </c>
      <c r="BG112" s="8">
        <v>0.62471930439144729</v>
      </c>
      <c r="BH112" s="8">
        <v>59.964837733761478</v>
      </c>
      <c r="BI112" s="8">
        <v>37.783126161474897</v>
      </c>
    </row>
    <row r="113" spans="1:61" x14ac:dyDescent="0.15">
      <c r="A113" s="7">
        <v>2021</v>
      </c>
      <c r="B113" s="7">
        <v>95</v>
      </c>
      <c r="C113" s="7">
        <v>26.414622771522222</v>
      </c>
      <c r="D113" s="7">
        <v>22.978248597112927</v>
      </c>
      <c r="E113" s="8">
        <v>24.806353186298821</v>
      </c>
      <c r="F113" s="8">
        <v>16.258044251079411</v>
      </c>
      <c r="G113" s="8">
        <v>0.5282067321177798</v>
      </c>
      <c r="H113" s="8">
        <v>57.559309960572463</v>
      </c>
      <c r="I113" s="8">
        <v>39.703413676668028</v>
      </c>
      <c r="J113" s="8">
        <v>29.886689382872319</v>
      </c>
      <c r="K113" s="8">
        <v>21.534108036515981</v>
      </c>
      <c r="L113" s="8">
        <v>0.57930743345529578</v>
      </c>
      <c r="M113" s="8">
        <v>59.029252542122137</v>
      </c>
      <c r="N113" s="8">
        <v>45.146877305912163</v>
      </c>
      <c r="O113" s="8">
        <v>289.38</v>
      </c>
      <c r="P113" s="8">
        <v>286.02999999999997</v>
      </c>
      <c r="Q113" s="8">
        <v>91.837999999999994</v>
      </c>
      <c r="R113" s="8">
        <v>-1.4562200000000001E-2</v>
      </c>
      <c r="S113" s="8">
        <v>-0.486869</v>
      </c>
      <c r="T113" s="7">
        <f>C113-D113</f>
        <v>3.4363741744092948</v>
      </c>
      <c r="U113" s="8">
        <f>D113/C113</f>
        <v>0.86990636950855593</v>
      </c>
      <c r="V113" s="8">
        <v>25.04550558792144</v>
      </c>
      <c r="W113" s="8">
        <v>15.808017199968361</v>
      </c>
      <c r="X113" s="8">
        <v>0.50527411215945628</v>
      </c>
      <c r="Y113" s="8">
        <v>57.888731025194829</v>
      </c>
      <c r="Z113" s="8">
        <v>39.27023094456333</v>
      </c>
      <c r="AA113" s="7">
        <v>27.46609748539688</v>
      </c>
      <c r="AB113" s="7">
        <v>18.671062618242171</v>
      </c>
      <c r="AC113" s="7">
        <v>0.54229077280737603</v>
      </c>
      <c r="AD113" s="7">
        <v>58.458991783658483</v>
      </c>
      <c r="AE113" s="7">
        <v>42.208554125237747</v>
      </c>
      <c r="AF113" s="8">
        <v>29.803049245814531</v>
      </c>
      <c r="AG113" s="8">
        <v>21.990927327709699</v>
      </c>
      <c r="AH113" s="8">
        <v>0.57747045232949124</v>
      </c>
      <c r="AI113" s="8">
        <v>59.162375857204189</v>
      </c>
      <c r="AJ113" s="8">
        <v>45.790075683877539</v>
      </c>
      <c r="AK113" s="8">
        <v>29.894365330089268</v>
      </c>
      <c r="AL113" s="8">
        <v>21.49218413621837</v>
      </c>
      <c r="AM113" s="8">
        <v>0.57947601962284934</v>
      </c>
      <c r="AN113" s="8">
        <v>59.017035351000033</v>
      </c>
      <c r="AO113" s="8">
        <v>45.08784874650317</v>
      </c>
      <c r="AP113" s="8">
        <v>28.985253160232631</v>
      </c>
      <c r="AQ113" s="8">
        <v>20.087771749399099</v>
      </c>
      <c r="AR113" s="8">
        <v>0.54117074972383372</v>
      </c>
      <c r="AS113" s="8">
        <v>59.130310298016987</v>
      </c>
      <c r="AT113" s="8">
        <v>43.62154130288593</v>
      </c>
      <c r="AU113" s="8">
        <v>25.849317323802701</v>
      </c>
      <c r="AV113" s="8">
        <v>21.39510251206304</v>
      </c>
      <c r="AW113" s="8">
        <v>0.54264405010872918</v>
      </c>
      <c r="AX113" s="8">
        <v>63.948357531114013</v>
      </c>
      <c r="AY113" s="8">
        <v>39.135176912008319</v>
      </c>
      <c r="AZ113" s="8">
        <v>30.854902502057001</v>
      </c>
      <c r="BA113" s="8">
        <v>24.289739563521302</v>
      </c>
      <c r="BB113" s="8">
        <v>0.63432463161758545</v>
      </c>
      <c r="BC113" s="8">
        <v>58.500102802633158</v>
      </c>
      <c r="BD113" s="8">
        <v>47.020020629398672</v>
      </c>
      <c r="BE113" s="8">
        <v>22.60781129169694</v>
      </c>
      <c r="BF113" s="8">
        <v>24.56297831205849</v>
      </c>
      <c r="BG113" s="8">
        <v>0.50006287515028502</v>
      </c>
      <c r="BH113" s="8">
        <v>72.654173530716022</v>
      </c>
      <c r="BI113" s="8">
        <v>39.982922350387483</v>
      </c>
    </row>
    <row r="114" spans="1:61" x14ac:dyDescent="0.15">
      <c r="A114" s="7">
        <v>2023</v>
      </c>
      <c r="B114" s="7">
        <v>141</v>
      </c>
      <c r="C114" s="9">
        <v>23.213827582659821</v>
      </c>
      <c r="D114" s="7">
        <v>7.0857732166422638</v>
      </c>
      <c r="E114" s="8">
        <v>35.543064074494637</v>
      </c>
      <c r="F114" s="8">
        <v>27.206471379969091</v>
      </c>
      <c r="G114" s="8">
        <v>0.52906189713854501</v>
      </c>
      <c r="H114" s="8">
        <v>77.740138935747979</v>
      </c>
      <c r="I114" s="8">
        <v>64.397950683417193</v>
      </c>
      <c r="J114" s="8">
        <v>32.217694419605948</v>
      </c>
      <c r="K114" s="8">
        <v>26.678148068481079</v>
      </c>
      <c r="L114" s="8">
        <v>0.52153048765802101</v>
      </c>
      <c r="M114" s="8">
        <v>81.028803703448418</v>
      </c>
      <c r="N114" s="8">
        <v>58.450555823081039</v>
      </c>
      <c r="O114" s="7">
        <v>287.77800000000002</v>
      </c>
      <c r="P114" s="7">
        <v>280.20400000000001</v>
      </c>
      <c r="Q114" s="7">
        <v>100.066</v>
      </c>
      <c r="R114" s="7">
        <v>6.1054700000000003E-2</v>
      </c>
      <c r="S114" s="7">
        <v>-0.104959</v>
      </c>
      <c r="T114" s="7">
        <f>C114-D114</f>
        <v>16.128054366017558</v>
      </c>
      <c r="U114" s="8">
        <f>D114/C114</f>
        <v>0.30523933166175354</v>
      </c>
      <c r="V114" s="8">
        <v>29.779454476553113</v>
      </c>
      <c r="W114" s="8">
        <v>24.062601898985001</v>
      </c>
      <c r="X114" s="8">
        <v>0.48125197659745533</v>
      </c>
      <c r="Y114" s="8">
        <v>80.938153285884695</v>
      </c>
      <c r="Z114" s="8">
        <v>56.669707616918721</v>
      </c>
      <c r="AA114" s="7">
        <v>30.99857444807953</v>
      </c>
      <c r="AB114" s="7">
        <v>25.37037498373304</v>
      </c>
      <c r="AC114" s="7">
        <v>0.50139123212773817</v>
      </c>
      <c r="AD114" s="7">
        <v>80.983478494666556</v>
      </c>
      <c r="AE114" s="7">
        <v>57.56013171999988</v>
      </c>
      <c r="AF114" s="8">
        <v>32.862758905237619</v>
      </c>
      <c r="AG114" s="8">
        <v>26.62427026637738</v>
      </c>
      <c r="AH114" s="8">
        <v>0.52394906004530062</v>
      </c>
      <c r="AI114" s="8">
        <v>79.948870881554257</v>
      </c>
      <c r="AJ114" s="8">
        <v>59.122389716646779</v>
      </c>
      <c r="AK114" s="8">
        <v>32.174379120979168</v>
      </c>
      <c r="AL114" s="8">
        <v>26.68176589761206</v>
      </c>
      <c r="AM114" s="8">
        <v>0.52136808345264474</v>
      </c>
      <c r="AN114" s="8">
        <v>81.101319883953082</v>
      </c>
      <c r="AO114" s="8">
        <v>58.405442991146259</v>
      </c>
      <c r="AP114" s="8">
        <v>29.969589348705771</v>
      </c>
      <c r="AQ114" s="8">
        <v>24.98413121790065</v>
      </c>
      <c r="AR114" s="8">
        <v>0.48744287221946969</v>
      </c>
      <c r="AS114" s="8">
        <v>82.134624811192793</v>
      </c>
      <c r="AT114" s="8">
        <v>55.719550860091687</v>
      </c>
      <c r="AU114" s="8">
        <v>27.54035642511095</v>
      </c>
      <c r="AV114" s="8">
        <v>23.448455088970611</v>
      </c>
      <c r="AW114" s="8">
        <v>0.48339536430299629</v>
      </c>
      <c r="AX114" s="8">
        <v>76.762304519007728</v>
      </c>
      <c r="AY114" s="8">
        <v>54.35111931461141</v>
      </c>
      <c r="AZ114" s="8">
        <v>32.386297061538819</v>
      </c>
      <c r="BA114" s="8">
        <v>26.58548118723705</v>
      </c>
      <c r="BB114" s="8">
        <v>0.53994095651521989</v>
      </c>
      <c r="BC114" s="8">
        <v>80.472133367444343</v>
      </c>
      <c r="BD114" s="8">
        <v>59.898269075649146</v>
      </c>
      <c r="BE114" s="8">
        <v>30.241041038234371</v>
      </c>
      <c r="BF114" s="8">
        <v>27.066380066167</v>
      </c>
      <c r="BG114" s="8">
        <v>0.59944830146388561</v>
      </c>
      <c r="BH114" s="8">
        <v>73.000985923395149</v>
      </c>
      <c r="BI114" s="8">
        <v>62.690571488165418</v>
      </c>
    </row>
    <row r="115" spans="1:61" x14ac:dyDescent="0.15">
      <c r="A115" s="7">
        <v>2023</v>
      </c>
      <c r="B115" s="7">
        <v>119</v>
      </c>
      <c r="C115" s="9">
        <v>150.39968337926044</v>
      </c>
      <c r="D115" s="7">
        <v>116.64443741872751</v>
      </c>
      <c r="E115" s="8">
        <v>36.631627161513563</v>
      </c>
      <c r="F115" s="8">
        <v>17.213469337915779</v>
      </c>
      <c r="G115" s="8">
        <v>0.52907120226135362</v>
      </c>
      <c r="H115" s="8">
        <v>84.780924371290084</v>
      </c>
      <c r="I115" s="8">
        <v>62.982860794825903</v>
      </c>
      <c r="J115" s="8">
        <v>40.112777398180867</v>
      </c>
      <c r="K115" s="8">
        <v>27.957783635602571</v>
      </c>
      <c r="L115" s="8">
        <v>0.6381036113205053</v>
      </c>
      <c r="M115" s="8">
        <v>80.197738955063429</v>
      </c>
      <c r="N115" s="8">
        <v>70.630884720917635</v>
      </c>
      <c r="O115" s="7">
        <v>289.02600000000001</v>
      </c>
      <c r="P115" s="7">
        <v>279.87200000000001</v>
      </c>
      <c r="Q115" s="7">
        <v>101.19</v>
      </c>
      <c r="R115" s="7">
        <v>-0.21122099999999999</v>
      </c>
      <c r="S115" s="7">
        <v>0.56328599999999995</v>
      </c>
      <c r="T115" s="7">
        <f>C115-D115</f>
        <v>33.755245960532932</v>
      </c>
      <c r="U115" s="8">
        <f>D115/C115</f>
        <v>0.77556305171592099</v>
      </c>
      <c r="V115" s="8">
        <v>36.36700514752701</v>
      </c>
      <c r="W115" s="8">
        <v>22.566744302234508</v>
      </c>
      <c r="X115" s="8">
        <v>0.49584393251465986</v>
      </c>
      <c r="Y115" s="8">
        <v>83.158232178454156</v>
      </c>
      <c r="Z115" s="8">
        <v>62.101393824361878</v>
      </c>
      <c r="AA115" s="7">
        <v>38.239891272853939</v>
      </c>
      <c r="AB115" s="7">
        <v>25.262263968918539</v>
      </c>
      <c r="AC115" s="7">
        <v>0.56697377191758258</v>
      </c>
      <c r="AD115" s="7">
        <v>81.677985566758792</v>
      </c>
      <c r="AE115" s="7">
        <v>66.366139272639757</v>
      </c>
      <c r="AF115" s="8">
        <v>40.741273138537068</v>
      </c>
      <c r="AG115" s="8">
        <v>28.629747540275972</v>
      </c>
      <c r="AH115" s="8">
        <v>0.66452874457038447</v>
      </c>
      <c r="AI115" s="8">
        <v>79.779847566364325</v>
      </c>
      <c r="AJ115" s="8">
        <v>70.786567870561484</v>
      </c>
      <c r="AK115" s="8">
        <v>40.044900332514068</v>
      </c>
      <c r="AL115" s="8">
        <v>27.88521204099257</v>
      </c>
      <c r="AM115" s="8">
        <v>0.63524971687113374</v>
      </c>
      <c r="AN115" s="8">
        <v>80.242870909682949</v>
      </c>
      <c r="AO115" s="8">
        <v>70.614071058241734</v>
      </c>
      <c r="AP115" s="8">
        <v>37.69371744079357</v>
      </c>
      <c r="AQ115" s="8">
        <v>25.03178898213725</v>
      </c>
      <c r="AR115" s="8">
        <v>0.55460255720379559</v>
      </c>
      <c r="AS115" s="8">
        <v>82.531374995838831</v>
      </c>
      <c r="AT115" s="8">
        <v>65.208594982219935</v>
      </c>
      <c r="AU115" s="8">
        <v>35.259497339711857</v>
      </c>
      <c r="AV115" s="8">
        <v>27.575043043225861</v>
      </c>
      <c r="AW115" s="8">
        <v>0.68318580030456688</v>
      </c>
      <c r="AX115" s="8">
        <v>71.801564250711877</v>
      </c>
      <c r="AY115" s="8">
        <v>70.942846535390032</v>
      </c>
      <c r="AZ115" s="8">
        <v>39.974910049563931</v>
      </c>
      <c r="BA115" s="8">
        <v>26.057713918345769</v>
      </c>
      <c r="BB115" s="8">
        <v>0.60154698239887361</v>
      </c>
      <c r="BC115" s="8">
        <v>79.272024297741538</v>
      </c>
      <c r="BD115" s="8">
        <v>69.873686234472416</v>
      </c>
      <c r="BE115" s="8">
        <v>37.368664448298347</v>
      </c>
      <c r="BF115" s="8">
        <v>24.281044278809549</v>
      </c>
      <c r="BG115" s="8">
        <v>0.51076947010296525</v>
      </c>
      <c r="BH115" s="8">
        <v>81.718582455011358</v>
      </c>
      <c r="BI115" s="8">
        <v>79.354898169267685</v>
      </c>
    </row>
    <row r="116" spans="1:61" x14ac:dyDescent="0.15">
      <c r="A116" s="7">
        <v>2022</v>
      </c>
      <c r="B116" s="7">
        <v>25</v>
      </c>
      <c r="C116" s="7">
        <v>71.475055027845158</v>
      </c>
      <c r="D116" s="7">
        <v>18.438840219413731</v>
      </c>
      <c r="E116" s="8">
        <v>22.425840925961111</v>
      </c>
      <c r="F116" s="8">
        <v>22.432431448707529</v>
      </c>
      <c r="G116" s="8">
        <v>0.53050205776223291</v>
      </c>
      <c r="H116" s="8">
        <v>70.034229785866017</v>
      </c>
      <c r="I116" s="8">
        <v>29.836313373336559</v>
      </c>
      <c r="J116" s="8">
        <v>26.03876598001618</v>
      </c>
      <c r="K116" s="8">
        <v>31.40504969944724</v>
      </c>
      <c r="L116" s="8">
        <v>0.65500406340904904</v>
      </c>
      <c r="M116" s="8">
        <v>67.266388835229648</v>
      </c>
      <c r="N116" s="8">
        <v>41.384598372319417</v>
      </c>
      <c r="O116" s="8">
        <v>290.58999999999997</v>
      </c>
      <c r="P116" s="8">
        <v>285.31</v>
      </c>
      <c r="Q116" s="8">
        <v>101.504</v>
      </c>
      <c r="R116" s="8">
        <v>-0.947384</v>
      </c>
      <c r="S116" s="8">
        <v>-0.301122</v>
      </c>
      <c r="T116" s="7">
        <f>C116-D116</f>
        <v>53.036214808431424</v>
      </c>
      <c r="U116" s="8">
        <f>D116/C116</f>
        <v>0.25797588000779226</v>
      </c>
      <c r="V116" s="8">
        <v>26.649274340671759</v>
      </c>
      <c r="W116" s="8">
        <v>27.015183181480857</v>
      </c>
      <c r="X116" s="8">
        <v>0.68794055271761767</v>
      </c>
      <c r="Y116" s="8">
        <v>67.657208138133527</v>
      </c>
      <c r="Z116" s="8">
        <v>41.744668191454849</v>
      </c>
      <c r="AA116" s="7">
        <v>26.34402016034397</v>
      </c>
      <c r="AB116" s="7">
        <v>29.210116440464049</v>
      </c>
      <c r="AC116" s="7">
        <v>0.67147230806333336</v>
      </c>
      <c r="AD116" s="7">
        <v>67.461798486681587</v>
      </c>
      <c r="AE116" s="7">
        <v>41.564633281887133</v>
      </c>
      <c r="AF116" s="8">
        <v>24.712935544622919</v>
      </c>
      <c r="AG116" s="8">
        <v>32.532926160106143</v>
      </c>
      <c r="AH116" s="8">
        <v>0.62034306514759174</v>
      </c>
      <c r="AI116" s="8">
        <v>66.599052988208683</v>
      </c>
      <c r="AJ116" s="8">
        <v>38.489468146441872</v>
      </c>
      <c r="AK116" s="8">
        <v>26.144910147308511</v>
      </c>
      <c r="AL116" s="8">
        <v>31.314753456029241</v>
      </c>
      <c r="AM116" s="8">
        <v>0.65777897541873764</v>
      </c>
      <c r="AN116" s="8">
        <v>67.319814828399984</v>
      </c>
      <c r="AO116" s="8">
        <v>41.616378529740139</v>
      </c>
      <c r="AP116" s="8">
        <v>25.66614590231012</v>
      </c>
      <c r="AQ116" s="8">
        <v>29.98099323070528</v>
      </c>
      <c r="AR116" s="8">
        <v>0.64984937025805822</v>
      </c>
      <c r="AS116" s="8">
        <v>67.632021013905927</v>
      </c>
      <c r="AT116" s="8">
        <v>40.432352307865067</v>
      </c>
      <c r="AU116" s="8">
        <v>31.42389018767712</v>
      </c>
      <c r="AV116" s="8">
        <v>29.387938096191409</v>
      </c>
      <c r="AW116" s="8">
        <v>0.56403749941390824</v>
      </c>
      <c r="AX116" s="8">
        <v>62.369961933961868</v>
      </c>
      <c r="AY116" s="8">
        <v>48.846091780258007</v>
      </c>
      <c r="AZ116" s="8">
        <v>27.949822412289201</v>
      </c>
      <c r="BA116" s="8">
        <v>30.077649798253951</v>
      </c>
      <c r="BB116" s="8">
        <v>0.68489236103497331</v>
      </c>
      <c r="BC116" s="8">
        <v>67.332070326644839</v>
      </c>
      <c r="BD116" s="8">
        <v>45.58069676176077</v>
      </c>
      <c r="BE116" s="8">
        <v>32.140582274047567</v>
      </c>
      <c r="BF116" s="8">
        <v>30.998338813448289</v>
      </c>
      <c r="BG116" s="8">
        <v>0.49586612316895701</v>
      </c>
      <c r="BH116" s="8">
        <v>56.446485378059648</v>
      </c>
      <c r="BI116" s="8">
        <v>54.150698652429597</v>
      </c>
    </row>
    <row r="117" spans="1:61" x14ac:dyDescent="0.15">
      <c r="A117" s="7">
        <v>2022</v>
      </c>
      <c r="B117" s="7">
        <v>9</v>
      </c>
      <c r="C117" s="7">
        <v>408.87871741283931</v>
      </c>
      <c r="D117" s="7">
        <v>67.183696270065894</v>
      </c>
      <c r="E117" s="8">
        <v>15.73381181915207</v>
      </c>
      <c r="F117" s="8">
        <v>12.943989533827059</v>
      </c>
      <c r="G117" s="8">
        <v>0.53075638386322033</v>
      </c>
      <c r="H117" s="8">
        <v>69.402118365442206</v>
      </c>
      <c r="I117" s="8">
        <v>21.217174416074698</v>
      </c>
      <c r="J117" s="8">
        <v>21.57373346877834</v>
      </c>
      <c r="K117" s="8">
        <v>25.85164920150504</v>
      </c>
      <c r="L117" s="8">
        <v>0.68729115938315477</v>
      </c>
      <c r="M117" s="8">
        <v>65.994115847247372</v>
      </c>
      <c r="N117" s="8">
        <v>31.97036595980898</v>
      </c>
      <c r="O117" s="8">
        <v>290.63299999999998</v>
      </c>
      <c r="P117" s="8">
        <v>285.51499999999999</v>
      </c>
      <c r="Q117" s="8">
        <v>98.427600000000012</v>
      </c>
      <c r="R117" s="8">
        <v>-0.46962399999999999</v>
      </c>
      <c r="S117" s="8">
        <v>-0.39514100000000002</v>
      </c>
      <c r="T117" s="7">
        <f>C117-D117</f>
        <v>341.69502114277338</v>
      </c>
      <c r="U117" s="8">
        <f>D117/C117</f>
        <v>0.1643120402430519</v>
      </c>
      <c r="V117" s="8">
        <v>14.20985687590392</v>
      </c>
      <c r="W117" s="8">
        <v>7.5261051200109819</v>
      </c>
      <c r="X117" s="8">
        <v>0.47710067351322993</v>
      </c>
      <c r="Y117" s="8">
        <v>70.798506537842314</v>
      </c>
      <c r="Z117" s="8">
        <v>18.811926496279803</v>
      </c>
      <c r="AA117" s="7">
        <v>17.89179517234113</v>
      </c>
      <c r="AB117" s="7">
        <v>16.688877160758011</v>
      </c>
      <c r="AC117" s="7">
        <v>0.58219591644819235</v>
      </c>
      <c r="AD117" s="7">
        <v>68.396311192544843</v>
      </c>
      <c r="AE117" s="7">
        <v>25.391146228044391</v>
      </c>
      <c r="AF117" s="8">
        <v>21.393035300612841</v>
      </c>
      <c r="AG117" s="8">
        <v>26.85063175245913</v>
      </c>
      <c r="AH117" s="8">
        <v>0.65741025395812758</v>
      </c>
      <c r="AI117" s="8">
        <v>66.310628492282433</v>
      </c>
      <c r="AJ117" s="8">
        <v>31.135959430485421</v>
      </c>
      <c r="AK117" s="8">
        <v>21.589384989106971</v>
      </c>
      <c r="AL117" s="8">
        <v>25.765120401224781</v>
      </c>
      <c r="AM117" s="8">
        <v>0.68987935163460723</v>
      </c>
      <c r="AN117" s="8">
        <v>65.966700494074018</v>
      </c>
      <c r="AO117" s="8">
        <v>32.042639690575768</v>
      </c>
      <c r="AP117" s="8">
        <v>23.155856426496399</v>
      </c>
      <c r="AQ117" s="8">
        <v>26.227890859065489</v>
      </c>
      <c r="AR117" s="8">
        <v>0.67825717775557004</v>
      </c>
      <c r="AS117" s="8">
        <v>66.645438019677314</v>
      </c>
      <c r="AT117" s="8">
        <v>33.525104102674</v>
      </c>
      <c r="AU117" s="8">
        <v>24.05889811178228</v>
      </c>
      <c r="AV117" s="8">
        <v>23.498486821358998</v>
      </c>
      <c r="AW117" s="8">
        <v>0.65526437961358397</v>
      </c>
      <c r="AX117" s="8">
        <v>65.188619624683739</v>
      </c>
      <c r="AY117" s="8">
        <v>33.250800967658073</v>
      </c>
      <c r="AZ117" s="8">
        <v>21.929823055555548</v>
      </c>
      <c r="BA117" s="8">
        <v>26.779415752380672</v>
      </c>
      <c r="BB117" s="8">
        <v>0.69682580827740037</v>
      </c>
      <c r="BC117" s="8">
        <v>65.768061727410554</v>
      </c>
      <c r="BD117" s="8">
        <v>34.374154929923549</v>
      </c>
      <c r="BE117" s="8">
        <v>31.13428127561459</v>
      </c>
      <c r="BF117" s="8">
        <v>29.70995045328031</v>
      </c>
      <c r="BG117" s="8">
        <v>0.50306146278839237</v>
      </c>
      <c r="BH117" s="8">
        <v>59.969948030523291</v>
      </c>
      <c r="BI117" s="8">
        <v>52.472365795088052</v>
      </c>
    </row>
    <row r="118" spans="1:61" x14ac:dyDescent="0.15">
      <c r="A118" s="7">
        <v>2023</v>
      </c>
      <c r="B118" s="7">
        <v>96</v>
      </c>
      <c r="C118" s="9">
        <v>98.726101416773361</v>
      </c>
      <c r="D118" s="7">
        <v>88.024444133191935</v>
      </c>
      <c r="E118" s="8">
        <v>27.426890953002161</v>
      </c>
      <c r="F118" s="8">
        <v>25.733697744219452</v>
      </c>
      <c r="G118" s="8">
        <v>0.53226952551854767</v>
      </c>
      <c r="H118" s="8">
        <v>79.473559515438382</v>
      </c>
      <c r="I118" s="8">
        <v>50.816860695038777</v>
      </c>
      <c r="J118" s="8">
        <v>26.996639029945481</v>
      </c>
      <c r="K118" s="8">
        <v>25.05689057885774</v>
      </c>
      <c r="L118" s="8">
        <v>0.53212716923497783</v>
      </c>
      <c r="M118" s="8">
        <v>79.40340522990472</v>
      </c>
      <c r="N118" s="8">
        <v>49.744061048756357</v>
      </c>
      <c r="O118" s="7">
        <v>286.88799999999998</v>
      </c>
      <c r="P118" s="7">
        <v>280.85300000000001</v>
      </c>
      <c r="Q118" s="7">
        <v>100.94799999999999</v>
      </c>
      <c r="R118" s="7">
        <v>0.84862199999999999</v>
      </c>
      <c r="S118" s="7">
        <v>-0.28026099999999998</v>
      </c>
      <c r="T118" s="7">
        <f>C118-D118</f>
        <v>10.701657283581426</v>
      </c>
      <c r="U118" s="8">
        <f>D118/C118</f>
        <v>0.89160255363063257</v>
      </c>
      <c r="V118" s="8">
        <v>26.216693657842239</v>
      </c>
      <c r="W118" s="8">
        <v>22.970629819709742</v>
      </c>
      <c r="X118" s="8">
        <v>0.50156981710840998</v>
      </c>
      <c r="Y118" s="8">
        <v>76.192204480069833</v>
      </c>
      <c r="Z118" s="8">
        <v>52.610954900120426</v>
      </c>
      <c r="AA118" s="7">
        <v>26.60666634389386</v>
      </c>
      <c r="AB118" s="7">
        <v>24.013760199283741</v>
      </c>
      <c r="AC118" s="7">
        <v>0.5168484931716939</v>
      </c>
      <c r="AD118" s="7">
        <v>77.797804854987277</v>
      </c>
      <c r="AE118" s="7">
        <v>51.177507974438392</v>
      </c>
      <c r="AF118" s="8">
        <v>27.22988223232019</v>
      </c>
      <c r="AG118" s="8">
        <v>25.55388229890255</v>
      </c>
      <c r="AH118" s="8">
        <v>0.53228035504921056</v>
      </c>
      <c r="AI118" s="8">
        <v>80.568444056668724</v>
      </c>
      <c r="AJ118" s="8">
        <v>49.627043174661146</v>
      </c>
      <c r="AK118" s="8">
        <v>26.981320026894782</v>
      </c>
      <c r="AL118" s="8">
        <v>25.0242490373336</v>
      </c>
      <c r="AM118" s="8">
        <v>0.53211710826028824</v>
      </c>
      <c r="AN118" s="8">
        <v>79.326887530097522</v>
      </c>
      <c r="AO118" s="8">
        <v>49.751746576788911</v>
      </c>
      <c r="AP118" s="8">
        <v>25.36032172940045</v>
      </c>
      <c r="AQ118" s="8">
        <v>23.714082619800969</v>
      </c>
      <c r="AR118" s="8">
        <v>0.50126208251460713</v>
      </c>
      <c r="AS118" s="8">
        <v>78.663013525714732</v>
      </c>
      <c r="AT118" s="8">
        <v>50.062446320656292</v>
      </c>
      <c r="AU118" s="8">
        <v>25.399114220837831</v>
      </c>
      <c r="AV118" s="8">
        <v>23.158372854125659</v>
      </c>
      <c r="AW118" s="8">
        <v>0.49152719010685181</v>
      </c>
      <c r="AX118" s="8">
        <v>77.020649108932233</v>
      </c>
      <c r="AY118" s="8">
        <v>52.937710126554727</v>
      </c>
      <c r="AZ118" s="8">
        <v>27.101729035295559</v>
      </c>
      <c r="BA118" s="8">
        <v>24.557764670859459</v>
      </c>
      <c r="BB118" s="8">
        <v>0.5465547507194809</v>
      </c>
      <c r="BC118" s="8">
        <v>77.163215304861723</v>
      </c>
      <c r="BD118" s="8">
        <v>51.02097910314221</v>
      </c>
      <c r="BE118" s="8">
        <v>26.022759425144471</v>
      </c>
      <c r="BF118" s="8">
        <v>28.834935142997029</v>
      </c>
      <c r="BG118" s="8">
        <v>0.59714954437343382</v>
      </c>
      <c r="BH118" s="8">
        <v>69.395068388120478</v>
      </c>
      <c r="BI118" s="8">
        <v>56.770853628225296</v>
      </c>
    </row>
    <row r="119" spans="1:61" x14ac:dyDescent="0.15">
      <c r="A119" s="7">
        <v>2022</v>
      </c>
      <c r="B119" s="7">
        <v>22</v>
      </c>
      <c r="C119" s="7">
        <v>233.59212414059792</v>
      </c>
      <c r="D119" s="7">
        <v>66.27446550007744</v>
      </c>
      <c r="E119" s="8">
        <v>25.442809306853668</v>
      </c>
      <c r="F119" s="8">
        <v>15.38504897093696</v>
      </c>
      <c r="G119" s="8">
        <v>0.53294686398822488</v>
      </c>
      <c r="H119" s="8">
        <v>71.033533009841364</v>
      </c>
      <c r="I119" s="8">
        <v>50.447126139017129</v>
      </c>
      <c r="J119" s="8">
        <v>39.181717606101238</v>
      </c>
      <c r="K119" s="8">
        <v>27.27824750708692</v>
      </c>
      <c r="L119" s="8">
        <v>0.73067088474670594</v>
      </c>
      <c r="M119" s="8">
        <v>56.624612680353813</v>
      </c>
      <c r="N119" s="8">
        <v>75.149229605598109</v>
      </c>
      <c r="O119" s="8">
        <v>287.00900000000001</v>
      </c>
      <c r="P119" s="8">
        <v>279.79300000000001</v>
      </c>
      <c r="Q119" s="8">
        <v>92.262799999999999</v>
      </c>
      <c r="R119" s="8">
        <v>-0.29993399999999998</v>
      </c>
      <c r="S119" s="8">
        <v>-0.117661</v>
      </c>
      <c r="T119" s="7">
        <f>C119-D119</f>
        <v>167.31765864052048</v>
      </c>
      <c r="U119" s="8">
        <f>D119/C119</f>
        <v>0.28371875012441417</v>
      </c>
      <c r="V119" s="8">
        <v>24.933445716297761</v>
      </c>
      <c r="W119" s="8">
        <v>15.651563226468259</v>
      </c>
      <c r="X119" s="8">
        <v>0.52978357868771975</v>
      </c>
      <c r="Y119" s="8">
        <v>69.079240870465583</v>
      </c>
      <c r="Z119" s="8">
        <v>48.309654870525435</v>
      </c>
      <c r="AA119" s="7">
        <v>32.057581661199499</v>
      </c>
      <c r="AB119" s="7">
        <v>21.46490536677759</v>
      </c>
      <c r="AC119" s="7">
        <v>0.63022723171721284</v>
      </c>
      <c r="AD119" s="7">
        <v>62.851926775409702</v>
      </c>
      <c r="AE119" s="7">
        <v>61.729442238061772</v>
      </c>
      <c r="AF119" s="8">
        <v>36.891598658185302</v>
      </c>
      <c r="AG119" s="8">
        <v>26.014890647017321</v>
      </c>
      <c r="AH119" s="8">
        <v>0.70064574006193581</v>
      </c>
      <c r="AI119" s="8">
        <v>59.148022654988033</v>
      </c>
      <c r="AJ119" s="8">
        <v>68.175659242286486</v>
      </c>
      <c r="AK119" s="8">
        <v>39.429151757540971</v>
      </c>
      <c r="AL119" s="8">
        <v>27.414745933477111</v>
      </c>
      <c r="AM119" s="8">
        <v>0.73391492855661</v>
      </c>
      <c r="AN119" s="8">
        <v>56.351972778231541</v>
      </c>
      <c r="AO119" s="8">
        <v>75.902683685754738</v>
      </c>
      <c r="AP119" s="8">
        <v>38.50085304743908</v>
      </c>
      <c r="AQ119" s="8">
        <v>27.714826606726881</v>
      </c>
      <c r="AR119" s="8">
        <v>0.72823489967229182</v>
      </c>
      <c r="AS119" s="8">
        <v>53.953922541911069</v>
      </c>
      <c r="AT119" s="8">
        <v>71.83103059358487</v>
      </c>
      <c r="AU119" s="8">
        <v>31.217876774704301</v>
      </c>
      <c r="AV119" s="8">
        <v>21.40614067568599</v>
      </c>
      <c r="AW119" s="8">
        <v>0.58864333365901844</v>
      </c>
      <c r="AX119" s="8">
        <v>58.821508817846997</v>
      </c>
      <c r="AY119" s="8">
        <v>61.542876527648538</v>
      </c>
      <c r="AZ119" s="8">
        <v>38.919262007484633</v>
      </c>
      <c r="BA119" s="8">
        <v>26.965238980954851</v>
      </c>
      <c r="BB119" s="8">
        <v>0.7231017907936349</v>
      </c>
      <c r="BC119" s="8">
        <v>56.841933876142349</v>
      </c>
      <c r="BD119" s="8">
        <v>76.155868249170553</v>
      </c>
      <c r="BE119" s="8">
        <v>34.18317118960217</v>
      </c>
      <c r="BF119" s="8">
        <v>27.655096216083439</v>
      </c>
      <c r="BG119" s="8">
        <v>0.6109315743112782</v>
      </c>
      <c r="BH119" s="8">
        <v>63.453073604006057</v>
      </c>
      <c r="BI119" s="8">
        <v>69.438364362609022</v>
      </c>
    </row>
    <row r="120" spans="1:61" x14ac:dyDescent="0.15">
      <c r="A120" s="7">
        <v>2020</v>
      </c>
      <c r="B120" s="7">
        <v>96</v>
      </c>
      <c r="C120" s="7">
        <v>86.532951673425273</v>
      </c>
      <c r="D120" s="7">
        <v>7.3389088645461342</v>
      </c>
      <c r="E120" s="8">
        <v>30.285062548130401</v>
      </c>
      <c r="F120" s="8">
        <v>21.849611738927049</v>
      </c>
      <c r="G120" s="8">
        <v>0.53294941674881657</v>
      </c>
      <c r="H120" s="8">
        <v>75.324341219894691</v>
      </c>
      <c r="I120" s="8">
        <v>49.933962466945758</v>
      </c>
      <c r="J120" s="8">
        <v>26.056788159291031</v>
      </c>
      <c r="K120" s="8">
        <v>19.752360595309611</v>
      </c>
      <c r="L120" s="8">
        <v>0.5449212753115229</v>
      </c>
      <c r="M120" s="8">
        <v>81.594326502148505</v>
      </c>
      <c r="N120" s="8">
        <v>49.715580394409528</v>
      </c>
      <c r="O120" s="8">
        <v>286.31299999999999</v>
      </c>
      <c r="P120" s="8">
        <v>280.512</v>
      </c>
      <c r="Q120" s="8">
        <v>100.997</v>
      </c>
      <c r="R120" s="8">
        <v>0.860429</v>
      </c>
      <c r="S120" s="8">
        <v>-0.44541900000000001</v>
      </c>
      <c r="T120" s="7">
        <f>C120-D120</f>
        <v>79.194042808879146</v>
      </c>
      <c r="U120" s="8">
        <f>D120/C120</f>
        <v>8.4810568952312204E-2</v>
      </c>
      <c r="V120" s="8">
        <v>31.215621473569492</v>
      </c>
      <c r="W120" s="8">
        <v>23.188480586575032</v>
      </c>
      <c r="X120" s="8">
        <v>0.57717297476895402</v>
      </c>
      <c r="Y120" s="8">
        <v>76.275486683054083</v>
      </c>
      <c r="Z120" s="8">
        <v>54.024522523035031</v>
      </c>
      <c r="AA120" s="7">
        <v>28.636204816430261</v>
      </c>
      <c r="AB120" s="7">
        <v>21.470420590942322</v>
      </c>
      <c r="AC120" s="7">
        <v>0.56104712504023846</v>
      </c>
      <c r="AD120" s="7">
        <v>78.934906592601294</v>
      </c>
      <c r="AE120" s="7">
        <v>51.87005145872228</v>
      </c>
      <c r="AF120" s="8">
        <v>26.974674041756892</v>
      </c>
      <c r="AG120" s="8">
        <v>19.35406065642195</v>
      </c>
      <c r="AH120" s="8">
        <v>0.57088709661480108</v>
      </c>
      <c r="AI120" s="8">
        <v>82.138322034482812</v>
      </c>
      <c r="AJ120" s="8">
        <v>48.623750598565458</v>
      </c>
      <c r="AK120" s="8">
        <v>25.99047566905837</v>
      </c>
      <c r="AL120" s="8">
        <v>19.78113569830629</v>
      </c>
      <c r="AM120" s="8">
        <v>0.543045379511785</v>
      </c>
      <c r="AN120" s="8">
        <v>81.555025648835866</v>
      </c>
      <c r="AO120" s="8">
        <v>49.794459429435243</v>
      </c>
      <c r="AP120" s="8">
        <v>27.983060712545122</v>
      </c>
      <c r="AQ120" s="8">
        <v>20.534565319762581</v>
      </c>
      <c r="AR120" s="8">
        <v>0.53055836059337314</v>
      </c>
      <c r="AS120" s="8">
        <v>79.536544530773114</v>
      </c>
      <c r="AT120" s="8">
        <v>52.255122320975971</v>
      </c>
      <c r="AU120" s="8">
        <v>31.47664827988886</v>
      </c>
      <c r="AV120" s="8">
        <v>23.39603385470398</v>
      </c>
      <c r="AW120" s="8">
        <v>0.55617751599493903</v>
      </c>
      <c r="AX120" s="8">
        <v>74.517869503319744</v>
      </c>
      <c r="AY120" s="8">
        <v>59.572017399094811</v>
      </c>
      <c r="AZ120" s="8">
        <v>27.448382620804381</v>
      </c>
      <c r="BA120" s="8">
        <v>20.83308242559907</v>
      </c>
      <c r="BB120" s="8">
        <v>0.56762335902866834</v>
      </c>
      <c r="BC120" s="8">
        <v>81.485176285379865</v>
      </c>
      <c r="BD120" s="8">
        <v>50.795617038574022</v>
      </c>
      <c r="BE120" s="8">
        <v>33.620472817837182</v>
      </c>
      <c r="BF120" s="8">
        <v>27.31675538995643</v>
      </c>
      <c r="BG120" s="8">
        <v>0.649086601514138</v>
      </c>
      <c r="BH120" s="8">
        <v>73.658907378743436</v>
      </c>
      <c r="BI120" s="8">
        <v>58.871457059772879</v>
      </c>
    </row>
    <row r="121" spans="1:61" x14ac:dyDescent="0.15">
      <c r="A121" s="7">
        <v>2022</v>
      </c>
      <c r="B121" s="7">
        <v>13</v>
      </c>
      <c r="C121" s="7">
        <v>154.15592242441556</v>
      </c>
      <c r="D121" s="7">
        <v>37.851272535714322</v>
      </c>
      <c r="E121" s="8">
        <v>27.19115356430293</v>
      </c>
      <c r="F121" s="8">
        <v>25.358988148228381</v>
      </c>
      <c r="G121" s="8">
        <v>0.53383787896553603</v>
      </c>
      <c r="H121" s="8">
        <v>69.622868693882779</v>
      </c>
      <c r="I121" s="8">
        <v>42.545563044971111</v>
      </c>
      <c r="J121" s="8">
        <v>30.400226273873969</v>
      </c>
      <c r="K121" s="8">
        <v>21.743949254108259</v>
      </c>
      <c r="L121" s="8">
        <v>0.60634724778507543</v>
      </c>
      <c r="M121" s="8">
        <v>80.503225644620102</v>
      </c>
      <c r="N121" s="8">
        <v>49.542697367839722</v>
      </c>
      <c r="O121" s="8">
        <v>286.97000000000003</v>
      </c>
      <c r="P121" s="8">
        <v>280.55</v>
      </c>
      <c r="Q121" s="8">
        <v>101.116</v>
      </c>
      <c r="R121" s="8">
        <v>0.12934899999999999</v>
      </c>
      <c r="S121" s="8">
        <v>7.6824400000000001E-2</v>
      </c>
      <c r="T121" s="7">
        <f>C121-D121</f>
        <v>116.30464988870125</v>
      </c>
      <c r="U121" s="8">
        <f>D121/C121</f>
        <v>0.24553887998868965</v>
      </c>
      <c r="V121" s="8">
        <v>30.152305356072674</v>
      </c>
      <c r="W121" s="8">
        <v>24.534012349652741</v>
      </c>
      <c r="X121" s="8">
        <v>0.65173367106174107</v>
      </c>
      <c r="Y121" s="8">
        <v>67.996694724139473</v>
      </c>
      <c r="Z121" s="8">
        <v>51.704143088026044</v>
      </c>
      <c r="AA121" s="7">
        <v>30.276265814973321</v>
      </c>
      <c r="AB121" s="7">
        <v>23.1389808018805</v>
      </c>
      <c r="AC121" s="7">
        <v>0.62904045942340825</v>
      </c>
      <c r="AD121" s="7">
        <v>74.249960184379788</v>
      </c>
      <c r="AE121" s="7">
        <v>50.623420227932883</v>
      </c>
      <c r="AF121" s="8">
        <v>29.430495263322172</v>
      </c>
      <c r="AG121" s="8">
        <v>20.8903084460934</v>
      </c>
      <c r="AH121" s="8">
        <v>0.60634716261803723</v>
      </c>
      <c r="AI121" s="8">
        <v>82.051069135465866</v>
      </c>
      <c r="AJ121" s="8">
        <v>42.44057947938861</v>
      </c>
      <c r="AK121" s="8">
        <v>30.49144715177593</v>
      </c>
      <c r="AL121" s="8">
        <v>21.824249732357121</v>
      </c>
      <c r="AM121" s="8">
        <v>0.60634725579658777</v>
      </c>
      <c r="AN121" s="8">
        <v>80.357622750050979</v>
      </c>
      <c r="AO121" s="8">
        <v>50.210781013405587</v>
      </c>
      <c r="AP121" s="8">
        <v>29.632439513583041</v>
      </c>
      <c r="AQ121" s="8">
        <v>22.83896276239247</v>
      </c>
      <c r="AR121" s="8">
        <v>0.63095746875953884</v>
      </c>
      <c r="AS121" s="8">
        <v>72.460560212874782</v>
      </c>
      <c r="AT121" s="8">
        <v>48.079448516678973</v>
      </c>
      <c r="AU121" s="8">
        <v>33.548497254419523</v>
      </c>
      <c r="AV121" s="8">
        <v>23.541433793288071</v>
      </c>
      <c r="AW121" s="8">
        <v>0.642291226990371</v>
      </c>
      <c r="AX121" s="8">
        <v>71.795468109217879</v>
      </c>
      <c r="AY121" s="8">
        <v>58.657080415149437</v>
      </c>
      <c r="AZ121" s="8">
        <v>32.719758724462203</v>
      </c>
      <c r="BA121" s="8">
        <v>22.08225852149171</v>
      </c>
      <c r="BB121" s="8">
        <v>0.61770252581996998</v>
      </c>
      <c r="BC121" s="8">
        <v>80.846722854585678</v>
      </c>
      <c r="BD121" s="8">
        <v>58.005940364569433</v>
      </c>
      <c r="BE121" s="8">
        <v>39.230194428233752</v>
      </c>
      <c r="BF121" s="8">
        <v>25.543831424295881</v>
      </c>
      <c r="BG121" s="8">
        <v>0.63954423915504899</v>
      </c>
      <c r="BH121" s="8">
        <v>74.206898093588151</v>
      </c>
      <c r="BI121" s="8">
        <v>78.312582330331807</v>
      </c>
    </row>
    <row r="122" spans="1:61" x14ac:dyDescent="0.15">
      <c r="A122" s="7">
        <v>2022</v>
      </c>
      <c r="B122" s="7">
        <v>127</v>
      </c>
      <c r="C122" s="7">
        <v>62.364108847550519</v>
      </c>
      <c r="D122" s="7">
        <v>18.651125857879894</v>
      </c>
      <c r="E122" s="8">
        <v>28.46800994864482</v>
      </c>
      <c r="F122" s="8">
        <v>18.936944025173862</v>
      </c>
      <c r="G122" s="8">
        <v>0.53388647579909121</v>
      </c>
      <c r="H122" s="8">
        <v>58.877487237357961</v>
      </c>
      <c r="I122" s="8">
        <v>46.76682234457023</v>
      </c>
      <c r="J122" s="8">
        <v>28.99170100349788</v>
      </c>
      <c r="K122" s="8">
        <v>23.238353075838429</v>
      </c>
      <c r="L122" s="8">
        <v>0.5601582441478592</v>
      </c>
      <c r="M122" s="8">
        <v>50.906772742792228</v>
      </c>
      <c r="N122" s="8">
        <v>46.456831471713407</v>
      </c>
      <c r="O122" s="8">
        <v>291.88600000000002</v>
      </c>
      <c r="P122" s="8">
        <v>286.18799999999999</v>
      </c>
      <c r="Q122" s="8">
        <v>96.287899999999993</v>
      </c>
      <c r="R122" s="8">
        <v>-0.86880100000000005</v>
      </c>
      <c r="S122" s="8">
        <v>-0.61917</v>
      </c>
      <c r="T122" s="7">
        <f>C122-D122</f>
        <v>43.712982989670621</v>
      </c>
      <c r="U122" s="8">
        <f>D122/C122</f>
        <v>0.29906826542607534</v>
      </c>
      <c r="V122" s="8">
        <v>28.112928534211818</v>
      </c>
      <c r="W122" s="8">
        <v>20.003873898811289</v>
      </c>
      <c r="X122" s="8">
        <v>0.52944208213983979</v>
      </c>
      <c r="Y122" s="8">
        <v>51.81332097793657</v>
      </c>
      <c r="Z122" s="8">
        <v>46.842825443777407</v>
      </c>
      <c r="AA122" s="7">
        <v>28.552314768854849</v>
      </c>
      <c r="AB122" s="7">
        <v>21.621113487324859</v>
      </c>
      <c r="AC122" s="7">
        <v>0.54480016314384949</v>
      </c>
      <c r="AD122" s="7">
        <v>51.360046860364399</v>
      </c>
      <c r="AE122" s="7">
        <v>46.649828457745407</v>
      </c>
      <c r="AF122" s="8">
        <v>28.268321546949231</v>
      </c>
      <c r="AG122" s="8">
        <v>24.29785254561952</v>
      </c>
      <c r="AH122" s="8">
        <v>0.57289632618989894</v>
      </c>
      <c r="AI122" s="8">
        <v>50.513437084108944</v>
      </c>
      <c r="AJ122" s="8">
        <v>46.781619850775087</v>
      </c>
      <c r="AK122" s="8">
        <v>29.085987561413798</v>
      </c>
      <c r="AL122" s="8">
        <v>23.100256040852091</v>
      </c>
      <c r="AM122" s="8">
        <v>0.5584979400027501</v>
      </c>
      <c r="AN122" s="8">
        <v>50.958040808296573</v>
      </c>
      <c r="AO122" s="8">
        <v>46.414497979884771</v>
      </c>
      <c r="AP122" s="8">
        <v>28.47564205003501</v>
      </c>
      <c r="AQ122" s="8">
        <v>22.25158267720327</v>
      </c>
      <c r="AR122" s="8">
        <v>0.53856261586134935</v>
      </c>
      <c r="AS122" s="8">
        <v>49.399705805245013</v>
      </c>
      <c r="AT122" s="8">
        <v>46.665698230012552</v>
      </c>
      <c r="AU122" s="8">
        <v>26.996705860942068</v>
      </c>
      <c r="AV122" s="8">
        <v>28.848552639879511</v>
      </c>
      <c r="AW122" s="8">
        <v>0.55467217311671801</v>
      </c>
      <c r="AX122" s="8">
        <v>62.396864922972767</v>
      </c>
      <c r="AY122" s="8">
        <v>47.289782684202329</v>
      </c>
      <c r="AZ122" s="8">
        <v>29.42539087952774</v>
      </c>
      <c r="BA122" s="8">
        <v>26.183772998331371</v>
      </c>
      <c r="BB122" s="8">
        <v>0.61110479208030355</v>
      </c>
      <c r="BC122" s="8">
        <v>52.060819234978247</v>
      </c>
      <c r="BD122" s="8">
        <v>47.584041661880008</v>
      </c>
      <c r="BE122" s="8">
        <v>26.529335201041281</v>
      </c>
      <c r="BF122" s="8">
        <v>35.582701559947701</v>
      </c>
      <c r="BG122" s="8">
        <v>0.51243014293274702</v>
      </c>
      <c r="BH122" s="8">
        <v>59.351083325082087</v>
      </c>
      <c r="BI122" s="8">
        <v>49.267072828650242</v>
      </c>
    </row>
    <row r="123" spans="1:61" x14ac:dyDescent="0.15">
      <c r="A123" s="7">
        <v>2023</v>
      </c>
      <c r="B123" s="7">
        <v>1</v>
      </c>
      <c r="C123" s="9">
        <v>296.47735598921588</v>
      </c>
      <c r="D123" s="7">
        <v>48.587227681152413</v>
      </c>
      <c r="E123" s="8">
        <v>23.173640330767629</v>
      </c>
      <c r="F123" s="8">
        <v>26.02506027278729</v>
      </c>
      <c r="G123" s="8">
        <v>0.53411922128620171</v>
      </c>
      <c r="H123" s="8">
        <v>71.882377023531419</v>
      </c>
      <c r="I123" s="8">
        <v>38.308100300784311</v>
      </c>
      <c r="J123" s="8">
        <v>21.898719977833679</v>
      </c>
      <c r="K123" s="8">
        <v>27.905073042068349</v>
      </c>
      <c r="L123" s="8">
        <v>0.50294801091800623</v>
      </c>
      <c r="M123" s="8">
        <v>74.19001259923661</v>
      </c>
      <c r="N123" s="8">
        <v>39.411762922829347</v>
      </c>
      <c r="O123" s="7">
        <v>290.791</v>
      </c>
      <c r="P123" s="7">
        <v>286.30599999999998</v>
      </c>
      <c r="Q123" s="7">
        <v>101.627</v>
      </c>
      <c r="R123" s="7">
        <v>-0.765567</v>
      </c>
      <c r="S123" s="7">
        <v>-0.25181599999999998</v>
      </c>
      <c r="T123" s="7">
        <f>C123-D123</f>
        <v>247.89012830806348</v>
      </c>
      <c r="U123" s="8">
        <f>D123/C123</f>
        <v>0.16388174914417319</v>
      </c>
      <c r="V123" s="8">
        <v>22.164598124522179</v>
      </c>
      <c r="W123" s="8">
        <v>21.18296468458291</v>
      </c>
      <c r="X123" s="8">
        <v>0.48591826743993582</v>
      </c>
      <c r="Y123" s="8">
        <v>74.65757221744073</v>
      </c>
      <c r="Z123" s="8">
        <v>39.376231879136789</v>
      </c>
      <c r="AA123" s="7">
        <v>22.031659051177929</v>
      </c>
      <c r="AB123" s="7">
        <v>24.544018863325629</v>
      </c>
      <c r="AC123" s="7">
        <v>0.49443313917897103</v>
      </c>
      <c r="AD123" s="7">
        <v>74.42379240833867</v>
      </c>
      <c r="AE123" s="7">
        <v>39.393997400983068</v>
      </c>
      <c r="AF123" s="8">
        <v>21.961006245494399</v>
      </c>
      <c r="AG123" s="8">
        <v>28.25869075147666</v>
      </c>
      <c r="AH123" s="8">
        <v>0.50229295681680108</v>
      </c>
      <c r="AI123" s="8">
        <v>73.985190477574562</v>
      </c>
      <c r="AJ123" s="8">
        <v>39.215037952151448</v>
      </c>
      <c r="AK123" s="8">
        <v>21.892761407115831</v>
      </c>
      <c r="AL123" s="8">
        <v>27.87124445981852</v>
      </c>
      <c r="AM123" s="8">
        <v>0.50301067619452122</v>
      </c>
      <c r="AN123" s="8">
        <v>74.209606759271267</v>
      </c>
      <c r="AO123" s="8">
        <v>39.430582474775157</v>
      </c>
      <c r="AP123" s="8">
        <v>22.212866064512529</v>
      </c>
      <c r="AQ123" s="8">
        <v>24.939822676065049</v>
      </c>
      <c r="AR123" s="8">
        <v>0.50097311623052776</v>
      </c>
      <c r="AS123" s="8">
        <v>75.671929093549096</v>
      </c>
      <c r="AT123" s="8">
        <v>40.24270332028091</v>
      </c>
      <c r="AU123" s="8">
        <v>21.850168621323281</v>
      </c>
      <c r="AV123" s="8">
        <v>27.77671245372607</v>
      </c>
      <c r="AW123" s="8">
        <v>0.59032295315651218</v>
      </c>
      <c r="AX123" s="8">
        <v>64.085718866888882</v>
      </c>
      <c r="AY123" s="8">
        <v>46.905796641107528</v>
      </c>
      <c r="AZ123" s="8">
        <v>21.981573032889031</v>
      </c>
      <c r="BA123" s="8">
        <v>27.97918415482297</v>
      </c>
      <c r="BB123" s="8">
        <v>0.51324988107288771</v>
      </c>
      <c r="BC123" s="8">
        <v>72.930456920967927</v>
      </c>
      <c r="BD123" s="8">
        <v>40.090962491380367</v>
      </c>
      <c r="BE123" s="8">
        <v>22.436722589785319</v>
      </c>
      <c r="BF123" s="8">
        <v>30.030207638122921</v>
      </c>
      <c r="BG123" s="8">
        <v>0.59555992482991782</v>
      </c>
      <c r="BH123" s="8">
        <v>62.723259548821787</v>
      </c>
      <c r="BI123" s="8">
        <v>49.625225373952041</v>
      </c>
    </row>
    <row r="124" spans="1:61" x14ac:dyDescent="0.15">
      <c r="A124" s="7">
        <v>2023</v>
      </c>
      <c r="B124" s="7">
        <v>59</v>
      </c>
      <c r="C124" s="9">
        <v>58.555791458456497</v>
      </c>
      <c r="D124" s="7">
        <v>29.388426930975061</v>
      </c>
      <c r="E124" s="8">
        <v>32.545870031254552</v>
      </c>
      <c r="F124" s="8">
        <v>23.775446765330631</v>
      </c>
      <c r="G124" s="8">
        <v>0.53415941865221406</v>
      </c>
      <c r="H124" s="8">
        <v>76.650692443216457</v>
      </c>
      <c r="I124" s="8">
        <v>62.524353852373878</v>
      </c>
      <c r="J124" s="8">
        <v>30.148477754864771</v>
      </c>
      <c r="K124" s="8">
        <v>23.663789830495109</v>
      </c>
      <c r="L124" s="8">
        <v>0.49125579299412669</v>
      </c>
      <c r="M124" s="8">
        <v>78.022016578510105</v>
      </c>
      <c r="N124" s="8">
        <v>59.15086509976701</v>
      </c>
      <c r="O124" s="7">
        <v>289.40499999999997</v>
      </c>
      <c r="P124" s="7">
        <v>283.65199999999999</v>
      </c>
      <c r="Q124" s="7">
        <v>101.545</v>
      </c>
      <c r="R124" s="7">
        <v>-0.69087699999999996</v>
      </c>
      <c r="S124" s="7">
        <v>5.1857800000000001E-4</v>
      </c>
      <c r="T124" s="7">
        <f>C124-D124</f>
        <v>29.167364527481435</v>
      </c>
      <c r="U124" s="8">
        <f>D124/C124</f>
        <v>0.50188762202668258</v>
      </c>
      <c r="V124" s="8">
        <v>30.180064001536628</v>
      </c>
      <c r="W124" s="8">
        <v>20.822642321912593</v>
      </c>
      <c r="X124" s="8">
        <v>0.51420427654828738</v>
      </c>
      <c r="Y124" s="8">
        <v>76.271579658139686</v>
      </c>
      <c r="Z124" s="8">
        <v>55.74236563540655</v>
      </c>
      <c r="AA124" s="7">
        <v>30.1642708782007</v>
      </c>
      <c r="AB124" s="7">
        <v>22.243216076203851</v>
      </c>
      <c r="AC124" s="7">
        <v>0.50273003477120703</v>
      </c>
      <c r="AD124" s="7">
        <v>77.146798118324895</v>
      </c>
      <c r="AE124" s="7">
        <v>57.44661536758678</v>
      </c>
      <c r="AF124" s="8">
        <v>30.632759325366941</v>
      </c>
      <c r="AG124" s="8">
        <v>23.494431286966869</v>
      </c>
      <c r="AH124" s="8">
        <v>0.51048948250457338</v>
      </c>
      <c r="AI124" s="8">
        <v>76.217995340786189</v>
      </c>
      <c r="AJ124" s="8">
        <v>59.683709750080517</v>
      </c>
      <c r="AK124" s="8">
        <v>30.11184492415039</v>
      </c>
      <c r="AL124" s="8">
        <v>23.676600730667651</v>
      </c>
      <c r="AM124" s="8">
        <v>0.4898008863142822</v>
      </c>
      <c r="AN124" s="8">
        <v>78.158479348584464</v>
      </c>
      <c r="AO124" s="8">
        <v>59.110558779929647</v>
      </c>
      <c r="AP124" s="8">
        <v>30.765373993947609</v>
      </c>
      <c r="AQ124" s="8">
        <v>23.090235172454779</v>
      </c>
      <c r="AR124" s="8">
        <v>0.51703700397308905</v>
      </c>
      <c r="AS124" s="8">
        <v>78.051443765503024</v>
      </c>
      <c r="AT124" s="8">
        <v>57.937408107543767</v>
      </c>
      <c r="AU124" s="8">
        <v>28.462339914435191</v>
      </c>
      <c r="AV124" s="8">
        <v>22.764013872413919</v>
      </c>
      <c r="AW124" s="8">
        <v>0.5357066750811893</v>
      </c>
      <c r="AX124" s="8">
        <v>68.112193428605821</v>
      </c>
      <c r="AY124" s="8">
        <v>56.55247427909061</v>
      </c>
      <c r="AZ124" s="8">
        <v>30.124334835721079</v>
      </c>
      <c r="BA124" s="8">
        <v>23.608634480500569</v>
      </c>
      <c r="BB124" s="8">
        <v>0.49609206425182689</v>
      </c>
      <c r="BC124" s="8">
        <v>78.325943253652611</v>
      </c>
      <c r="BD124" s="8">
        <v>59.767455906618302</v>
      </c>
      <c r="BE124" s="8">
        <v>29.862997400982799</v>
      </c>
      <c r="BF124" s="8">
        <v>22.670647550590449</v>
      </c>
      <c r="BG124" s="8">
        <v>0.52636608007599184</v>
      </c>
      <c r="BH124" s="8">
        <v>67.297027858863117</v>
      </c>
      <c r="BI124" s="8">
        <v>62.038487408696668</v>
      </c>
    </row>
    <row r="125" spans="1:61" x14ac:dyDescent="0.15">
      <c r="A125" s="7">
        <v>2023</v>
      </c>
      <c r="B125" s="7">
        <v>49</v>
      </c>
      <c r="C125" s="9">
        <v>90.533234981297298</v>
      </c>
      <c r="D125" s="7">
        <v>54.335521461728064</v>
      </c>
      <c r="E125" s="8">
        <v>30.29818455294425</v>
      </c>
      <c r="F125" s="8">
        <v>19.308490690270361</v>
      </c>
      <c r="G125" s="8">
        <v>0.53425046984548019</v>
      </c>
      <c r="H125" s="8">
        <v>70.179998626406714</v>
      </c>
      <c r="I125" s="8">
        <v>75.793020105947193</v>
      </c>
      <c r="J125" s="8">
        <v>25.90107650711791</v>
      </c>
      <c r="K125" s="8">
        <v>21.288775342633091</v>
      </c>
      <c r="L125" s="8">
        <v>0.5075283181207787</v>
      </c>
      <c r="M125" s="8">
        <v>67.518549458564948</v>
      </c>
      <c r="N125" s="8">
        <v>80.880726728778413</v>
      </c>
      <c r="O125" s="7">
        <v>282.697</v>
      </c>
      <c r="P125" s="7">
        <v>269.83600000000001</v>
      </c>
      <c r="Q125" s="7">
        <v>87.6053</v>
      </c>
      <c r="R125" s="7">
        <v>0.86148999999999998</v>
      </c>
      <c r="S125" s="7">
        <v>0.36260199999999998</v>
      </c>
      <c r="T125" s="7">
        <f>C125-D125</f>
        <v>36.197713519569234</v>
      </c>
      <c r="U125" s="8">
        <f>D125/C125</f>
        <v>0.60017209672174976</v>
      </c>
      <c r="V125" s="8">
        <v>28.859580133582671</v>
      </c>
      <c r="W125" s="8">
        <v>23.872315743828491</v>
      </c>
      <c r="X125" s="8">
        <v>0.59648532187932524</v>
      </c>
      <c r="Y125" s="8">
        <v>55.319777447890857</v>
      </c>
      <c r="Z125" s="8">
        <v>80.152484731831535</v>
      </c>
      <c r="AA125" s="7">
        <v>27.380328320350291</v>
      </c>
      <c r="AB125" s="7">
        <v>22.580545543230791</v>
      </c>
      <c r="AC125" s="7">
        <v>0.55200682000005197</v>
      </c>
      <c r="AD125" s="7">
        <v>61.419163453227902</v>
      </c>
      <c r="AE125" s="7">
        <v>80.516605730304974</v>
      </c>
      <c r="AF125" s="8">
        <v>24.45048372396516</v>
      </c>
      <c r="AG125" s="8">
        <v>19.52832813231597</v>
      </c>
      <c r="AH125" s="8">
        <v>0.47101462911893122</v>
      </c>
      <c r="AI125" s="8">
        <v>70.217888317988667</v>
      </c>
      <c r="AJ125" s="8">
        <v>80.21806530975185</v>
      </c>
      <c r="AK125" s="8">
        <v>26.104611019535511</v>
      </c>
      <c r="AL125" s="8">
        <v>21.535785922549302</v>
      </c>
      <c r="AM125" s="8">
        <v>0.51265160011547273</v>
      </c>
      <c r="AN125" s="8">
        <v>67.139801801066895</v>
      </c>
      <c r="AO125" s="8">
        <v>80.973705592582235</v>
      </c>
      <c r="AP125" s="8">
        <v>30.42444814875795</v>
      </c>
      <c r="AQ125" s="8">
        <v>23.12373113564578</v>
      </c>
      <c r="AR125" s="8">
        <v>0.57438260823895171</v>
      </c>
      <c r="AS125" s="8">
        <v>64.556624377291683</v>
      </c>
      <c r="AT125" s="8">
        <v>85.132128767755702</v>
      </c>
      <c r="AU125" s="8">
        <v>26.849301779230871</v>
      </c>
      <c r="AV125" s="8">
        <v>21.775936953328319</v>
      </c>
      <c r="AW125" s="8">
        <v>0.539054658040243</v>
      </c>
      <c r="AX125" s="8">
        <v>61.630092797749178</v>
      </c>
      <c r="AY125" s="8">
        <v>78.954398413819575</v>
      </c>
      <c r="AZ125" s="8">
        <v>26.937732465893411</v>
      </c>
      <c r="BA125" s="8">
        <v>22.80165689894989</v>
      </c>
      <c r="BB125" s="8">
        <v>0.54893941374221078</v>
      </c>
      <c r="BC125" s="8">
        <v>67.208030362258228</v>
      </c>
      <c r="BD125" s="8">
        <v>82.723759927669406</v>
      </c>
      <c r="BE125" s="8">
        <v>28.023511814285559</v>
      </c>
      <c r="BF125" s="8">
        <v>26.828587770608909</v>
      </c>
      <c r="BG125" s="8">
        <v>0.60418620613006779</v>
      </c>
      <c r="BH125" s="8">
        <v>56.602599344363689</v>
      </c>
      <c r="BI125" s="8">
        <v>85.552090888494547</v>
      </c>
    </row>
    <row r="126" spans="1:61" x14ac:dyDescent="0.15">
      <c r="A126" s="7">
        <v>2023</v>
      </c>
      <c r="B126" s="7">
        <v>98</v>
      </c>
      <c r="C126" s="9">
        <v>132.93547298313487</v>
      </c>
      <c r="D126" s="7">
        <v>87.264903823521564</v>
      </c>
      <c r="E126" s="8">
        <v>29.962212999281629</v>
      </c>
      <c r="F126" s="8">
        <v>18.996966589837339</v>
      </c>
      <c r="G126" s="8">
        <v>0.53437457174948899</v>
      </c>
      <c r="H126" s="8">
        <v>66.369876807641234</v>
      </c>
      <c r="I126" s="8">
        <v>73.741596867747603</v>
      </c>
      <c r="J126" s="8">
        <v>26.53736378349447</v>
      </c>
      <c r="K126" s="8">
        <v>21.471342373251339</v>
      </c>
      <c r="L126" s="8">
        <v>0.55048850012035044</v>
      </c>
      <c r="M126" s="8">
        <v>64.405768184525229</v>
      </c>
      <c r="N126" s="8">
        <v>76.844043679323036</v>
      </c>
      <c r="O126" s="7">
        <v>280.37400000000002</v>
      </c>
      <c r="P126" s="7">
        <v>268.48</v>
      </c>
      <c r="Q126" s="7">
        <v>86.164899999999989</v>
      </c>
      <c r="R126" s="7">
        <v>1.23075</v>
      </c>
      <c r="S126" s="7">
        <v>0.34165000000000001</v>
      </c>
      <c r="T126" s="7">
        <f>C126-D126</f>
        <v>45.670569159613308</v>
      </c>
      <c r="U126" s="8">
        <f>D126/C126</f>
        <v>0.65644558119255803</v>
      </c>
      <c r="V126" s="8">
        <v>26.855487627769328</v>
      </c>
      <c r="W126" s="8">
        <v>24.505299115951424</v>
      </c>
      <c r="X126" s="8">
        <v>0.60208294680155927</v>
      </c>
      <c r="Y126" s="8">
        <v>55.904958043825246</v>
      </c>
      <c r="Z126" s="8">
        <v>74.219031079464784</v>
      </c>
      <c r="AA126" s="7">
        <v>26.696425705631899</v>
      </c>
      <c r="AB126" s="7">
        <v>22.988320744601381</v>
      </c>
      <c r="AC126" s="7">
        <v>0.57628572346095486</v>
      </c>
      <c r="AD126" s="7">
        <v>60.155363114175238</v>
      </c>
      <c r="AE126" s="7">
        <v>75.53153737939391</v>
      </c>
      <c r="AF126" s="8">
        <v>26.52246330042982</v>
      </c>
      <c r="AG126" s="8">
        <v>20.194690540799229</v>
      </c>
      <c r="AH126" s="8">
        <v>0.53653625912080283</v>
      </c>
      <c r="AI126" s="8">
        <v>68.175382259656089</v>
      </c>
      <c r="AJ126" s="8">
        <v>79.180676501586674</v>
      </c>
      <c r="AK126" s="8">
        <v>26.53944152507259</v>
      </c>
      <c r="AL126" s="8">
        <v>21.64936026579657</v>
      </c>
      <c r="AM126" s="8">
        <v>0.55243401766545275</v>
      </c>
      <c r="AN126" s="8">
        <v>63.880128588587233</v>
      </c>
      <c r="AO126" s="8">
        <v>76.518220741465001</v>
      </c>
      <c r="AP126" s="8">
        <v>27.019867145268531</v>
      </c>
      <c r="AQ126" s="8">
        <v>24.23177516489482</v>
      </c>
      <c r="AR126" s="8">
        <v>0.5720700106774993</v>
      </c>
      <c r="AS126" s="8">
        <v>58.239556069753043</v>
      </c>
      <c r="AT126" s="8">
        <v>74.764606137699175</v>
      </c>
      <c r="AU126" s="8">
        <v>26.232815636204592</v>
      </c>
      <c r="AV126" s="8">
        <v>22.581136565489661</v>
      </c>
      <c r="AW126" s="8">
        <v>0.58261968510002438</v>
      </c>
      <c r="AX126" s="8">
        <v>60.594484274061017</v>
      </c>
      <c r="AY126" s="8">
        <v>76.130398748150483</v>
      </c>
      <c r="AZ126" s="8">
        <v>26.002872116127151</v>
      </c>
      <c r="BA126" s="8">
        <v>21.667196406292309</v>
      </c>
      <c r="BB126" s="8">
        <v>0.56249534738703966</v>
      </c>
      <c r="BC126" s="8">
        <v>63.872774658463307</v>
      </c>
      <c r="BD126" s="8">
        <v>76.124903771504435</v>
      </c>
      <c r="BE126" s="8">
        <v>25.156666678355109</v>
      </c>
      <c r="BF126" s="8">
        <v>27.077266250617551</v>
      </c>
      <c r="BG126" s="8">
        <v>0.65978635475111092</v>
      </c>
      <c r="BH126" s="8">
        <v>59.061027350605507</v>
      </c>
      <c r="BI126" s="8">
        <v>75.319138345765865</v>
      </c>
    </row>
    <row r="127" spans="1:61" x14ac:dyDescent="0.15">
      <c r="A127" s="7">
        <v>2022</v>
      </c>
      <c r="B127" s="7">
        <v>1</v>
      </c>
      <c r="C127" s="7">
        <v>437.82735989375391</v>
      </c>
      <c r="D127" s="7">
        <v>174.92529083341805</v>
      </c>
      <c r="E127" s="8">
        <v>20.184799667581441</v>
      </c>
      <c r="F127" s="8">
        <v>22.590786992021091</v>
      </c>
      <c r="G127" s="8">
        <v>0.53478337169244683</v>
      </c>
      <c r="H127" s="8">
        <v>69.692509460147846</v>
      </c>
      <c r="I127" s="8">
        <v>28.804271534271329</v>
      </c>
      <c r="J127" s="8">
        <v>21.787960339184799</v>
      </c>
      <c r="K127" s="8">
        <v>29.38171062895141</v>
      </c>
      <c r="L127" s="8">
        <v>0.64525219179194615</v>
      </c>
      <c r="M127" s="8">
        <v>68.8732177752578</v>
      </c>
      <c r="N127" s="8">
        <v>32.009461200800878</v>
      </c>
      <c r="O127" s="8">
        <v>290.80500000000001</v>
      </c>
      <c r="P127" s="8">
        <v>286.14100000000002</v>
      </c>
      <c r="Q127" s="8">
        <v>101.633</v>
      </c>
      <c r="R127" s="8">
        <v>-1.0321899999999999</v>
      </c>
      <c r="S127" s="8">
        <v>-0.56912600000000002</v>
      </c>
      <c r="T127" s="7">
        <f>C127-D127</f>
        <v>262.90206906033586</v>
      </c>
      <c r="U127" s="8">
        <f>D127/C127</f>
        <v>0.39953028717955535</v>
      </c>
      <c r="V127" s="8">
        <v>23.660380046585182</v>
      </c>
      <c r="W127" s="8">
        <v>26.705354280745588</v>
      </c>
      <c r="X127" s="8">
        <v>0.73129463964594177</v>
      </c>
      <c r="Y127" s="8">
        <v>68.934759316999944</v>
      </c>
      <c r="Z127" s="8">
        <v>36.090795810091358</v>
      </c>
      <c r="AA127" s="7">
        <v>22.724170192884991</v>
      </c>
      <c r="AB127" s="7">
        <v>28.043532454848499</v>
      </c>
      <c r="AC127" s="7">
        <v>0.68827341571894396</v>
      </c>
      <c r="AD127" s="7">
        <v>68.903988546128872</v>
      </c>
      <c r="AE127" s="7">
        <v>34.050128505446118</v>
      </c>
      <c r="AF127" s="8">
        <v>21.500969271255769</v>
      </c>
      <c r="AG127" s="8">
        <v>30.60443597113434</v>
      </c>
      <c r="AH127" s="8">
        <v>0.63394827077640969</v>
      </c>
      <c r="AI127" s="8">
        <v>68.669774171216645</v>
      </c>
      <c r="AJ127" s="8">
        <v>31.425144675270751</v>
      </c>
      <c r="AK127" s="8">
        <v>21.815177779118809</v>
      </c>
      <c r="AL127" s="8">
        <v>29.265750735855072</v>
      </c>
      <c r="AM127" s="8">
        <v>0.64632422442863835</v>
      </c>
      <c r="AN127" s="8">
        <v>68.892511804556023</v>
      </c>
      <c r="AO127" s="8">
        <v>32.064876165631759</v>
      </c>
      <c r="AP127" s="8">
        <v>22.01145508163701</v>
      </c>
      <c r="AQ127" s="8">
        <v>27.960160954606891</v>
      </c>
      <c r="AR127" s="8">
        <v>0.65727810419518162</v>
      </c>
      <c r="AS127" s="8">
        <v>69.886799938060335</v>
      </c>
      <c r="AT127" s="8">
        <v>32.221448853193067</v>
      </c>
      <c r="AU127" s="8">
        <v>26.019924192103399</v>
      </c>
      <c r="AV127" s="8">
        <v>32.124915083594473</v>
      </c>
      <c r="AW127" s="8">
        <v>0.63843026851888829</v>
      </c>
      <c r="AX127" s="8">
        <v>64.419621860774768</v>
      </c>
      <c r="AY127" s="8">
        <v>39.211653021093383</v>
      </c>
      <c r="AZ127" s="8">
        <v>22.465554651490901</v>
      </c>
      <c r="BA127" s="8">
        <v>28.851868403914359</v>
      </c>
      <c r="BB127" s="8">
        <v>0.64494049870831172</v>
      </c>
      <c r="BC127" s="8">
        <v>68.659635898950469</v>
      </c>
      <c r="BD127" s="8">
        <v>33.657783094169957</v>
      </c>
      <c r="BE127" s="8">
        <v>27.13802006635493</v>
      </c>
      <c r="BF127" s="8">
        <v>29.182350068866011</v>
      </c>
      <c r="BG127" s="8">
        <v>0.57421768173566468</v>
      </c>
      <c r="BH127" s="8">
        <v>58.998732168803208</v>
      </c>
      <c r="BI127" s="8">
        <v>41.711586241155672</v>
      </c>
    </row>
    <row r="128" spans="1:61" x14ac:dyDescent="0.15">
      <c r="A128" s="7">
        <v>2021</v>
      </c>
      <c r="B128" s="7">
        <v>4</v>
      </c>
      <c r="C128" s="7">
        <v>126.11015483148836</v>
      </c>
      <c r="D128" s="7">
        <v>104.12165728944174</v>
      </c>
      <c r="E128" s="8">
        <v>24.709669592454478</v>
      </c>
      <c r="F128" s="8">
        <v>13.643189874662321</v>
      </c>
      <c r="G128" s="8">
        <v>0.53491327500599173</v>
      </c>
      <c r="H128" s="8">
        <v>62.307041646446727</v>
      </c>
      <c r="I128" s="8">
        <v>39.633256291290508</v>
      </c>
      <c r="J128" s="8">
        <v>29.341671686820739</v>
      </c>
      <c r="K128" s="8">
        <v>22.791547204823861</v>
      </c>
      <c r="L128" s="8">
        <v>0.59654533065860349</v>
      </c>
      <c r="M128" s="8">
        <v>51.646843296622407</v>
      </c>
      <c r="N128" s="8">
        <v>44.312861406027523</v>
      </c>
      <c r="O128" s="8">
        <v>289.411</v>
      </c>
      <c r="P128" s="8">
        <v>285.59199999999998</v>
      </c>
      <c r="Q128" s="8">
        <v>93.184699999999992</v>
      </c>
      <c r="R128" s="8">
        <v>-0.446544</v>
      </c>
      <c r="S128" s="8">
        <v>-0.19536800000000001</v>
      </c>
      <c r="T128" s="7">
        <f>C128-D128</f>
        <v>21.988497542046616</v>
      </c>
      <c r="U128" s="8">
        <f>D128/C128</f>
        <v>0.82564054757185723</v>
      </c>
      <c r="V128" s="8">
        <v>23.898287648869299</v>
      </c>
      <c r="W128" s="8">
        <v>12.109753547491319</v>
      </c>
      <c r="X128" s="8">
        <v>0.51761400699995974</v>
      </c>
      <c r="Y128" s="8">
        <v>62.317490773806796</v>
      </c>
      <c r="Z128" s="8">
        <v>39.265303136122938</v>
      </c>
      <c r="AA128" s="7">
        <v>26.619979667845019</v>
      </c>
      <c r="AB128" s="7">
        <v>17.45065037615759</v>
      </c>
      <c r="AC128" s="7">
        <v>0.55707966882928162</v>
      </c>
      <c r="AD128" s="7">
        <v>56.982167035214601</v>
      </c>
      <c r="AE128" s="7">
        <v>41.78908227107523</v>
      </c>
      <c r="AF128" s="8">
        <v>29.594250680719849</v>
      </c>
      <c r="AG128" s="8">
        <v>24.300483741846961</v>
      </c>
      <c r="AH128" s="8">
        <v>0.61694486308241148</v>
      </c>
      <c r="AI128" s="8">
        <v>51.362812070070667</v>
      </c>
      <c r="AJ128" s="8">
        <v>44.990181461602333</v>
      </c>
      <c r="AK128" s="8">
        <v>29.30598316657267</v>
      </c>
      <c r="AL128" s="8">
        <v>22.57833979860499</v>
      </c>
      <c r="AM128" s="8">
        <v>0.59366294873634018</v>
      </c>
      <c r="AN128" s="8">
        <v>51.686975906319667</v>
      </c>
      <c r="AO128" s="8">
        <v>44.217158473077113</v>
      </c>
      <c r="AP128" s="8">
        <v>28.55500702432985</v>
      </c>
      <c r="AQ128" s="8">
        <v>21.838040909107061</v>
      </c>
      <c r="AR128" s="8">
        <v>0.57001777037434131</v>
      </c>
      <c r="AS128" s="8">
        <v>50.45481757075602</v>
      </c>
      <c r="AT128" s="8">
        <v>44.161445966199473</v>
      </c>
      <c r="AU128" s="8">
        <v>27.162021492773899</v>
      </c>
      <c r="AV128" s="8">
        <v>19.634601340786219</v>
      </c>
      <c r="AW128" s="8">
        <v>0.56716145970327025</v>
      </c>
      <c r="AX128" s="8">
        <v>59.130416657779143</v>
      </c>
      <c r="AY128" s="8">
        <v>43.42031266668539</v>
      </c>
      <c r="AZ128" s="8">
        <v>32.205664669276892</v>
      </c>
      <c r="BA128" s="8">
        <v>29.001302965367319</v>
      </c>
      <c r="BB128" s="8">
        <v>0.67591452123772111</v>
      </c>
      <c r="BC128" s="8">
        <v>49.46665411444657</v>
      </c>
      <c r="BD128" s="8">
        <v>47.579037705972297</v>
      </c>
      <c r="BE128" s="8">
        <v>28.769592109040548</v>
      </c>
      <c r="BF128" s="8">
        <v>36.210865731411957</v>
      </c>
      <c r="BG128" s="8">
        <v>0.5728751897651484</v>
      </c>
      <c r="BH128" s="8">
        <v>55.698214279143258</v>
      </c>
      <c r="BI128" s="8">
        <v>54.217993843620476</v>
      </c>
    </row>
    <row r="129" spans="1:61" x14ac:dyDescent="0.15">
      <c r="A129" s="7">
        <v>2017</v>
      </c>
      <c r="B129" s="7">
        <v>31</v>
      </c>
      <c r="C129" s="7">
        <v>112.10411009213922</v>
      </c>
      <c r="D129" s="7">
        <v>47.494582467279365</v>
      </c>
      <c r="E129" s="8">
        <v>23.715505587037381</v>
      </c>
      <c r="F129" s="8">
        <v>14.158935093973531</v>
      </c>
      <c r="G129" s="8">
        <v>0.53521584595918792</v>
      </c>
      <c r="H129" s="8">
        <v>71.911983957748049</v>
      </c>
      <c r="I129" s="8">
        <v>40.671551079724992</v>
      </c>
      <c r="J129" s="8">
        <v>27.849082024317351</v>
      </c>
      <c r="K129" s="8">
        <v>23.710525177191631</v>
      </c>
      <c r="L129" s="8">
        <v>0.66630731815149535</v>
      </c>
      <c r="M129" s="8">
        <v>65.6995145637717</v>
      </c>
      <c r="N129" s="8">
        <v>47.470958941484596</v>
      </c>
      <c r="O129" s="8">
        <v>294.16199999999998</v>
      </c>
      <c r="P129" s="8">
        <v>289.33199999999999</v>
      </c>
      <c r="Q129" s="8">
        <v>97.84</v>
      </c>
      <c r="R129" s="8">
        <v>-0.638239</v>
      </c>
      <c r="S129" s="8">
        <v>-0.48125600000000002</v>
      </c>
      <c r="T129" s="7">
        <f>C129-D129</f>
        <v>64.609527624859851</v>
      </c>
      <c r="U129" s="8">
        <f>D129/C129</f>
        <v>0.42366495241113999</v>
      </c>
      <c r="V129" s="8">
        <v>27.809536025939767</v>
      </c>
      <c r="W129" s="8">
        <v>16.639480838693107</v>
      </c>
      <c r="X129" s="8">
        <v>0.61556991284870732</v>
      </c>
      <c r="Y129" s="8">
        <v>70.162418499459406</v>
      </c>
      <c r="Z129" s="8">
        <v>44.538413357285961</v>
      </c>
      <c r="AA129" s="7">
        <v>27.829309025128559</v>
      </c>
      <c r="AB129" s="7">
        <v>20.175003007942369</v>
      </c>
      <c r="AC129" s="7">
        <v>0.64093861550010134</v>
      </c>
      <c r="AD129" s="7">
        <v>67.930966531615553</v>
      </c>
      <c r="AE129" s="7">
        <v>46.004686149385279</v>
      </c>
      <c r="AF129" s="8">
        <v>27.702746347872491</v>
      </c>
      <c r="AG129" s="8">
        <v>21.555943161522631</v>
      </c>
      <c r="AH129" s="8">
        <v>0.63607163106691667</v>
      </c>
      <c r="AI129" s="8">
        <v>67.345772906335327</v>
      </c>
      <c r="AJ129" s="8">
        <v>47.942849590570297</v>
      </c>
      <c r="AK129" s="8">
        <v>27.858572253777119</v>
      </c>
      <c r="AL129" s="8">
        <v>23.850255133791151</v>
      </c>
      <c r="AM129" s="8">
        <v>0.66826817701570229</v>
      </c>
      <c r="AN129" s="8">
        <v>65.592750650824726</v>
      </c>
      <c r="AO129" s="8">
        <v>47.440355669278212</v>
      </c>
      <c r="AP129" s="8">
        <v>28.532179491817459</v>
      </c>
      <c r="AQ129" s="8">
        <v>20.746839140591831</v>
      </c>
      <c r="AR129" s="8">
        <v>0.6159333158563457</v>
      </c>
      <c r="AS129" s="8">
        <v>68.174558269547916</v>
      </c>
      <c r="AT129" s="8">
        <v>49.024914016188568</v>
      </c>
      <c r="AU129" s="8">
        <v>28.364757947125959</v>
      </c>
      <c r="AV129" s="8">
        <v>25.298242147944329</v>
      </c>
      <c r="AW129" s="8">
        <v>0.71639094536393599</v>
      </c>
      <c r="AX129" s="8">
        <v>62.261864455044197</v>
      </c>
      <c r="AY129" s="8">
        <v>46.075602535470452</v>
      </c>
      <c r="AZ129" s="8">
        <v>28.799486930348468</v>
      </c>
      <c r="BA129" s="8">
        <v>25.61053431228579</v>
      </c>
      <c r="BB129" s="8">
        <v>0.69367629285159671</v>
      </c>
      <c r="BC129" s="8">
        <v>63.861876397828958</v>
      </c>
      <c r="BD129" s="8">
        <v>47.970028727009357</v>
      </c>
      <c r="BE129" s="8">
        <v>29.47609627809949</v>
      </c>
      <c r="BF129" s="8">
        <v>24.19361014901823</v>
      </c>
      <c r="BG129" s="8">
        <v>0.86571329104865269</v>
      </c>
      <c r="BH129" s="8">
        <v>63.785180838345447</v>
      </c>
      <c r="BI129" s="8">
        <v>46.550998529553347</v>
      </c>
    </row>
    <row r="130" spans="1:61" x14ac:dyDescent="0.15">
      <c r="A130" s="7">
        <v>2023</v>
      </c>
      <c r="B130" s="7">
        <v>23</v>
      </c>
      <c r="C130" s="9">
        <v>219.58906644840536</v>
      </c>
      <c r="D130" s="7">
        <v>218.60917496986255</v>
      </c>
      <c r="E130" s="8">
        <v>25.952697777088961</v>
      </c>
      <c r="F130" s="8">
        <v>24.015013849587881</v>
      </c>
      <c r="G130" s="8">
        <v>0.53547664807008588</v>
      </c>
      <c r="H130" s="8">
        <v>70.868752442368432</v>
      </c>
      <c r="I130" s="8">
        <v>44.57624358233307</v>
      </c>
      <c r="J130" s="8">
        <v>22.822082399419941</v>
      </c>
      <c r="K130" s="8">
        <v>20.59414096640722</v>
      </c>
      <c r="L130" s="8">
        <v>0.44620204559513338</v>
      </c>
      <c r="M130" s="8">
        <v>79.537568738921976</v>
      </c>
      <c r="N130" s="8">
        <v>42.853711843748172</v>
      </c>
      <c r="O130" s="7">
        <v>289.94299999999998</v>
      </c>
      <c r="P130" s="7">
        <v>285.411</v>
      </c>
      <c r="Q130" s="7">
        <v>101.64100000000001</v>
      </c>
      <c r="R130" s="7">
        <v>-0.80925999999999998</v>
      </c>
      <c r="S130" s="7">
        <v>-0.29250399999999999</v>
      </c>
      <c r="T130" s="7">
        <f>C130-D130</f>
        <v>0.979891478542811</v>
      </c>
      <c r="U130" s="8">
        <f>D130/C130</f>
        <v>0.99553761262165097</v>
      </c>
      <c r="V130" s="8">
        <v>24.467725079762097</v>
      </c>
      <c r="W130" s="8">
        <v>19.075258562904242</v>
      </c>
      <c r="X130" s="8">
        <v>0.44578987230373007</v>
      </c>
      <c r="Y130" s="8">
        <v>78.877135234616844</v>
      </c>
      <c r="Z130" s="8">
        <v>44.140869634315905</v>
      </c>
      <c r="AA130" s="7">
        <v>23.644903739591019</v>
      </c>
      <c r="AB130" s="7">
        <v>19.834699764655731</v>
      </c>
      <c r="AC130" s="7">
        <v>0.44599595894943173</v>
      </c>
      <c r="AD130" s="7">
        <v>79.20735198676941</v>
      </c>
      <c r="AE130" s="7">
        <v>43.497290739032039</v>
      </c>
      <c r="AF130" s="8">
        <v>22.459877977684549</v>
      </c>
      <c r="AG130" s="8">
        <v>20.159196144406842</v>
      </c>
      <c r="AH130" s="8">
        <v>0.45110300208037513</v>
      </c>
      <c r="AI130" s="8">
        <v>78.854811486780264</v>
      </c>
      <c r="AJ130" s="8">
        <v>42.009263200545448</v>
      </c>
      <c r="AK130" s="8">
        <v>22.841409688613911</v>
      </c>
      <c r="AL130" s="8">
        <v>20.617349695660021</v>
      </c>
      <c r="AM130" s="8">
        <v>0.44594052972831022</v>
      </c>
      <c r="AN130" s="8">
        <v>79.574000781353178</v>
      </c>
      <c r="AO130" s="8">
        <v>42.898771766149011</v>
      </c>
      <c r="AP130" s="8">
        <v>23.649509343166589</v>
      </c>
      <c r="AQ130" s="8">
        <v>19.966101358758731</v>
      </c>
      <c r="AR130" s="8">
        <v>0.44335173881886009</v>
      </c>
      <c r="AS130" s="8">
        <v>80.305205098750335</v>
      </c>
      <c r="AT130" s="8">
        <v>43.801614137473663</v>
      </c>
      <c r="AU130" s="8">
        <v>22.519920001744559</v>
      </c>
      <c r="AV130" s="8">
        <v>30.48595373279845</v>
      </c>
      <c r="AW130" s="8">
        <v>0.68740029609108988</v>
      </c>
      <c r="AX130" s="8">
        <v>64.594943969875743</v>
      </c>
      <c r="AY130" s="8">
        <v>53.733014649729299</v>
      </c>
      <c r="AZ130" s="8">
        <v>23.370796971553609</v>
      </c>
      <c r="BA130" s="8">
        <v>21.468440931341089</v>
      </c>
      <c r="BB130" s="8">
        <v>0.46838832298592692</v>
      </c>
      <c r="BC130" s="8">
        <v>78.05348635663654</v>
      </c>
      <c r="BD130" s="8">
        <v>44.185018949912113</v>
      </c>
      <c r="BE130" s="8">
        <v>33.192688517838839</v>
      </c>
      <c r="BF130" s="8">
        <v>28.958419819532711</v>
      </c>
      <c r="BG130" s="8">
        <v>0.6598698085216802</v>
      </c>
      <c r="BH130" s="8">
        <v>66.611911131074265</v>
      </c>
      <c r="BI130" s="8">
        <v>66.920863766049649</v>
      </c>
    </row>
    <row r="131" spans="1:61" x14ac:dyDescent="0.15">
      <c r="A131" s="7">
        <v>2018</v>
      </c>
      <c r="B131" s="7">
        <v>107</v>
      </c>
      <c r="C131" s="7">
        <v>23.581036074274795</v>
      </c>
      <c r="D131" s="7">
        <v>17.899456796933919</v>
      </c>
      <c r="E131" s="8">
        <v>20.747786905078382</v>
      </c>
      <c r="F131" s="8">
        <v>12.08995666299519</v>
      </c>
      <c r="G131" s="8">
        <v>0.53550454866628616</v>
      </c>
      <c r="H131" s="8">
        <v>81.834646722097517</v>
      </c>
      <c r="I131" s="8">
        <v>31.6532640035309</v>
      </c>
      <c r="J131" s="8">
        <v>24.649638411997099</v>
      </c>
      <c r="K131" s="8">
        <v>15.035436270262981</v>
      </c>
      <c r="L131" s="8">
        <v>0.6803440651600241</v>
      </c>
      <c r="M131" s="8">
        <v>71.644756326200962</v>
      </c>
      <c r="N131" s="8">
        <v>37.150245567936302</v>
      </c>
      <c r="O131" s="8">
        <v>292.42599999999999</v>
      </c>
      <c r="P131" s="8">
        <v>287.97399999999999</v>
      </c>
      <c r="Q131" s="8">
        <v>95.651699999999991</v>
      </c>
      <c r="R131" s="8">
        <v>-0.16175999999999999</v>
      </c>
      <c r="S131" s="8">
        <v>-0.18465999999999999</v>
      </c>
      <c r="T131" s="7">
        <f>C131-D131</f>
        <v>5.6815792773408766</v>
      </c>
      <c r="U131" s="8">
        <f>D131/C131</f>
        <v>0.75906150775372128</v>
      </c>
      <c r="V131" s="8">
        <v>17.893606527903383</v>
      </c>
      <c r="W131" s="8">
        <v>9.7294943765871196</v>
      </c>
      <c r="X131" s="8">
        <v>0.41745271471587664</v>
      </c>
      <c r="Y131" s="8">
        <v>89.846824564580317</v>
      </c>
      <c r="Z131" s="8">
        <v>27.582885004218831</v>
      </c>
      <c r="AA131" s="7">
        <v>21.271622469950241</v>
      </c>
      <c r="AB131" s="7">
        <v>12.38246532342505</v>
      </c>
      <c r="AC131" s="7">
        <v>0.54889838993795037</v>
      </c>
      <c r="AD131" s="7">
        <v>80.745790445390639</v>
      </c>
      <c r="AE131" s="7">
        <v>32.366565286077567</v>
      </c>
      <c r="AF131" s="8">
        <v>24.645705424012661</v>
      </c>
      <c r="AG131" s="8">
        <v>13.95841977962807</v>
      </c>
      <c r="AH131" s="8">
        <v>0.67520236437118475</v>
      </c>
      <c r="AI131" s="8">
        <v>72.496544509026975</v>
      </c>
      <c r="AJ131" s="8">
        <v>35.827923472247711</v>
      </c>
      <c r="AK131" s="8">
        <v>24.650721732913201</v>
      </c>
      <c r="AL131" s="8">
        <v>15.33209481483639</v>
      </c>
      <c r="AM131" s="8">
        <v>0.68176031967972039</v>
      </c>
      <c r="AN131" s="8">
        <v>71.410135737937694</v>
      </c>
      <c r="AO131" s="8">
        <v>37.514472255062493</v>
      </c>
      <c r="AP131" s="8">
        <v>25.34188018798131</v>
      </c>
      <c r="AQ131" s="8">
        <v>13.760568199399669</v>
      </c>
      <c r="AR131" s="8">
        <v>0.64012771574646143</v>
      </c>
      <c r="AS131" s="8">
        <v>72.567007321276066</v>
      </c>
      <c r="AT131" s="8">
        <v>37.391892279200057</v>
      </c>
      <c r="AU131" s="8">
        <v>26.98180812664722</v>
      </c>
      <c r="AV131" s="8">
        <v>18.066186706267899</v>
      </c>
      <c r="AW131" s="8">
        <v>0.6109181118420407</v>
      </c>
      <c r="AX131" s="8">
        <v>66.036998444105066</v>
      </c>
      <c r="AY131" s="8">
        <v>40.530871863008471</v>
      </c>
      <c r="AZ131" s="8">
        <v>28.538014318324489</v>
      </c>
      <c r="BA131" s="8">
        <v>21.167542822702611</v>
      </c>
      <c r="BB131" s="8">
        <v>0.8428894135983348</v>
      </c>
      <c r="BC131" s="8">
        <v>62.266040570727363</v>
      </c>
      <c r="BD131" s="8">
        <v>44.362238518039213</v>
      </c>
      <c r="BE131" s="8">
        <v>35.142361173915937</v>
      </c>
      <c r="BF131" s="8">
        <v>25.428335729870991</v>
      </c>
      <c r="BG131" s="8">
        <v>0.85218967731430073</v>
      </c>
      <c r="BH131" s="8">
        <v>60.546808550926777</v>
      </c>
      <c r="BI131" s="8">
        <v>55.87951271597835</v>
      </c>
    </row>
    <row r="132" spans="1:61" x14ac:dyDescent="0.15">
      <c r="A132" s="7">
        <v>2022</v>
      </c>
      <c r="B132" s="7">
        <v>109</v>
      </c>
      <c r="C132" s="7">
        <v>28.602765156861238</v>
      </c>
      <c r="D132" s="7">
        <v>1.0276831550056089</v>
      </c>
      <c r="E132" s="8">
        <v>16.27292160842558</v>
      </c>
      <c r="F132" s="8">
        <v>12.04320312641234</v>
      </c>
      <c r="G132" s="8">
        <v>0.53562596012033481</v>
      </c>
      <c r="H132" s="8">
        <v>56.574968268238358</v>
      </c>
      <c r="I132" s="8">
        <v>23.531817844338281</v>
      </c>
      <c r="J132" s="8">
        <v>15.925789556842121</v>
      </c>
      <c r="K132" s="8">
        <v>12.59583314021155</v>
      </c>
      <c r="L132" s="8">
        <v>0.57978456914018905</v>
      </c>
      <c r="M132" s="8">
        <v>67.174402914136152</v>
      </c>
      <c r="N132" s="8">
        <v>27.501961504815171</v>
      </c>
      <c r="O132" s="8">
        <v>295.47500000000002</v>
      </c>
      <c r="P132" s="8">
        <v>291.37400000000002</v>
      </c>
      <c r="Q132" s="8">
        <v>100.169</v>
      </c>
      <c r="R132" s="8">
        <v>-1.3846700000000001</v>
      </c>
      <c r="S132" s="8">
        <v>-0.72519299999999998</v>
      </c>
      <c r="T132" s="7">
        <f>C132-D132</f>
        <v>27.57508200185563</v>
      </c>
      <c r="U132" s="8">
        <f>D132/C132</f>
        <v>3.5929503646576211E-2</v>
      </c>
      <c r="V132" s="8">
        <v>16.993601522171659</v>
      </c>
      <c r="W132" s="8">
        <v>16.99613082166713</v>
      </c>
      <c r="X132" s="8">
        <v>0.63713667370929206</v>
      </c>
      <c r="Y132" s="8">
        <v>56.049612450384785</v>
      </c>
      <c r="Z132" s="8">
        <v>26.491587756302067</v>
      </c>
      <c r="AA132" s="7">
        <v>16.459695539506889</v>
      </c>
      <c r="AB132" s="7">
        <v>14.79598198093934</v>
      </c>
      <c r="AC132" s="7">
        <v>0.60846062142474056</v>
      </c>
      <c r="AD132" s="7">
        <v>61.612007682260469</v>
      </c>
      <c r="AE132" s="7">
        <v>26.996774630558619</v>
      </c>
      <c r="AF132" s="8">
        <v>17.120668862020171</v>
      </c>
      <c r="AG132" s="8">
        <v>13.68733203433834</v>
      </c>
      <c r="AH132" s="8">
        <v>0.5915664712000388</v>
      </c>
      <c r="AI132" s="8">
        <v>56.652545768234077</v>
      </c>
      <c r="AJ132" s="8">
        <v>27.61122362659755</v>
      </c>
      <c r="AK132" s="8">
        <v>15.77063552708757</v>
      </c>
      <c r="AL132" s="8">
        <v>12.454102966157549</v>
      </c>
      <c r="AM132" s="8">
        <v>0.5782546994915666</v>
      </c>
      <c r="AN132" s="8">
        <v>68.540656835861896</v>
      </c>
      <c r="AO132" s="8">
        <v>27.487773914135001</v>
      </c>
      <c r="AP132" s="8">
        <v>17.735447734909648</v>
      </c>
      <c r="AQ132" s="8">
        <v>14.76579222075242</v>
      </c>
      <c r="AR132" s="8">
        <v>0.58430551637231098</v>
      </c>
      <c r="AS132" s="8">
        <v>59.621511962232432</v>
      </c>
      <c r="AT132" s="8">
        <v>27.371064845230261</v>
      </c>
      <c r="AU132" s="8">
        <v>16.558616057141752</v>
      </c>
      <c r="AV132" s="8">
        <v>13.39275258167056</v>
      </c>
      <c r="AW132" s="8">
        <v>0.575805309832636</v>
      </c>
      <c r="AX132" s="8">
        <v>70.361765319625107</v>
      </c>
      <c r="AY132" s="8">
        <v>28.226054530985589</v>
      </c>
      <c r="AZ132" s="8">
        <v>14.809202215024509</v>
      </c>
      <c r="BA132" s="8">
        <v>11.54676488746429</v>
      </c>
      <c r="BB132" s="8">
        <v>0.56596421975177635</v>
      </c>
      <c r="BC132" s="8">
        <v>72.671650370844048</v>
      </c>
      <c r="BD132" s="8">
        <v>27.25754525626316</v>
      </c>
      <c r="BE132" s="8">
        <v>18.832166973422151</v>
      </c>
      <c r="BF132" s="8">
        <v>15.565932226752061</v>
      </c>
      <c r="BG132" s="8">
        <v>0.67781911274973006</v>
      </c>
      <c r="BH132" s="8">
        <v>67.926269605371274</v>
      </c>
      <c r="BI132" s="8">
        <v>31.828685946703299</v>
      </c>
    </row>
    <row r="133" spans="1:61" x14ac:dyDescent="0.15">
      <c r="A133" s="7">
        <v>2022</v>
      </c>
      <c r="B133" s="7">
        <v>86</v>
      </c>
      <c r="C133" s="7">
        <v>30.828637441140788</v>
      </c>
      <c r="D133" s="7">
        <v>28.16576534118196</v>
      </c>
      <c r="E133" s="8">
        <v>28.626326176215208</v>
      </c>
      <c r="F133" s="8">
        <v>17.792776973671771</v>
      </c>
      <c r="G133" s="8">
        <v>0.53575613043367087</v>
      </c>
      <c r="H133" s="8">
        <v>65.826101773515205</v>
      </c>
      <c r="I133" s="8">
        <v>50.194461787552783</v>
      </c>
      <c r="J133" s="8">
        <v>30.57090726245093</v>
      </c>
      <c r="K133" s="8">
        <v>20.747491051355048</v>
      </c>
      <c r="L133" s="8">
        <v>0.53522216550010315</v>
      </c>
      <c r="M133" s="8">
        <v>60.772567731972131</v>
      </c>
      <c r="N133" s="8">
        <v>44.231334777763301</v>
      </c>
      <c r="O133" s="8">
        <v>285.59100000000001</v>
      </c>
      <c r="P133" s="8">
        <v>281.35500000000002</v>
      </c>
      <c r="Q133" s="8">
        <v>85.556200000000004</v>
      </c>
      <c r="R133" s="8">
        <v>-0.29658200000000001</v>
      </c>
      <c r="S133" s="8">
        <v>-0.108448</v>
      </c>
      <c r="T133" s="7">
        <f>C133-D133</f>
        <v>2.6628720999588289</v>
      </c>
      <c r="U133" s="8">
        <f>D133/C133</f>
        <v>0.91362342545813491</v>
      </c>
      <c r="V133" s="8">
        <v>29.654273077324632</v>
      </c>
      <c r="W133" s="8">
        <v>17.931358556371471</v>
      </c>
      <c r="X133" s="8">
        <v>0.55071599468543087</v>
      </c>
      <c r="Y133" s="8">
        <v>64.344145270765907</v>
      </c>
      <c r="Z133" s="8">
        <v>52.853983045848572</v>
      </c>
      <c r="AA133" s="7">
        <v>30.112590169887781</v>
      </c>
      <c r="AB133" s="7">
        <v>19.33942480386326</v>
      </c>
      <c r="AC133" s="7">
        <v>0.54296908009276701</v>
      </c>
      <c r="AD133" s="7">
        <v>62.558356501369019</v>
      </c>
      <c r="AE133" s="7">
        <v>48.542658911805937</v>
      </c>
      <c r="AF133" s="8">
        <v>29.871710507675409</v>
      </c>
      <c r="AG133" s="8">
        <v>21.81123394377309</v>
      </c>
      <c r="AH133" s="8">
        <v>0.54271528997494756</v>
      </c>
      <c r="AI133" s="8">
        <v>60.137837947542387</v>
      </c>
      <c r="AJ133" s="8">
        <v>45.040516122698747</v>
      </c>
      <c r="AK133" s="8">
        <v>30.649311713066371</v>
      </c>
      <c r="AL133" s="8">
        <v>20.628208207854321</v>
      </c>
      <c r="AM133" s="8">
        <v>0.5343819237457893</v>
      </c>
      <c r="AN133" s="8">
        <v>60.843743176791577</v>
      </c>
      <c r="AO133" s="8">
        <v>44.140597201588058</v>
      </c>
      <c r="AP133" s="8">
        <v>32.15828266042196</v>
      </c>
      <c r="AQ133" s="8">
        <v>20.911349600274882</v>
      </c>
      <c r="AR133" s="8">
        <v>0.53237850368019135</v>
      </c>
      <c r="AS133" s="8">
        <v>58.731606116972728</v>
      </c>
      <c r="AT133" s="8">
        <v>46.765432912102462</v>
      </c>
      <c r="AU133" s="8">
        <v>30.269106211730598</v>
      </c>
      <c r="AV133" s="8">
        <v>23.95013974654437</v>
      </c>
      <c r="AW133" s="8">
        <v>0.75272789133587936</v>
      </c>
      <c r="AX133" s="8">
        <v>57.724845356424566</v>
      </c>
      <c r="AY133" s="8">
        <v>46.534418021486132</v>
      </c>
      <c r="AZ133" s="8">
        <v>29.28337288644455</v>
      </c>
      <c r="BA133" s="8">
        <v>22.143228207510951</v>
      </c>
      <c r="BB133" s="8">
        <v>0.5581929254181941</v>
      </c>
      <c r="BC133" s="8">
        <v>60.589370834711147</v>
      </c>
      <c r="BD133" s="8">
        <v>42.529786146833231</v>
      </c>
      <c r="BE133" s="8">
        <v>22.239237481362519</v>
      </c>
      <c r="BF133" s="8">
        <v>22.819594406583899</v>
      </c>
      <c r="BG133" s="8">
        <v>1.0295656472493779</v>
      </c>
      <c r="BH133" s="8">
        <v>50.070782190816047</v>
      </c>
      <c r="BI133" s="8">
        <v>29.79617728134615</v>
      </c>
    </row>
    <row r="134" spans="1:61" x14ac:dyDescent="0.15">
      <c r="A134" s="7">
        <v>2022</v>
      </c>
      <c r="B134" s="7">
        <v>115</v>
      </c>
      <c r="C134" s="7">
        <v>0.75962717296152493</v>
      </c>
      <c r="D134" s="7">
        <v>0.59839600214903987</v>
      </c>
      <c r="E134" s="8">
        <v>17.133678984696751</v>
      </c>
      <c r="F134" s="8">
        <v>10.56248497945853</v>
      </c>
      <c r="G134" s="8">
        <v>0.535968124706661</v>
      </c>
      <c r="H134" s="8">
        <v>54.451842029612401</v>
      </c>
      <c r="I134" s="8">
        <v>24.370108471255289</v>
      </c>
      <c r="J134" s="8">
        <v>20.597436949360439</v>
      </c>
      <c r="K134" s="8">
        <v>13.037975644102559</v>
      </c>
      <c r="L134" s="8">
        <v>0.55577335105144543</v>
      </c>
      <c r="M134" s="8">
        <v>53.494763840080907</v>
      </c>
      <c r="N134" s="8">
        <v>33.252693729969849</v>
      </c>
      <c r="O134" s="8">
        <v>291.09800000000001</v>
      </c>
      <c r="P134" s="8">
        <v>286.25400000000002</v>
      </c>
      <c r="Q134" s="8">
        <v>84.128899999999987</v>
      </c>
      <c r="R134" s="8">
        <v>1.17774E-2</v>
      </c>
      <c r="S134" s="8">
        <v>0.94996800000000003</v>
      </c>
      <c r="T134" s="7">
        <f>C134-D134</f>
        <v>0.16123117081248506</v>
      </c>
      <c r="U134" s="8">
        <f>D134/C134</f>
        <v>0.78774960065751698</v>
      </c>
      <c r="V134" s="8">
        <v>16.951897415137363</v>
      </c>
      <c r="W134" s="8">
        <v>9.7972483908611423</v>
      </c>
      <c r="X134" s="8">
        <v>0.52086372904357925</v>
      </c>
      <c r="Y134" s="8">
        <v>53.166388194773916</v>
      </c>
      <c r="Z134" s="8">
        <v>24.502305443653533</v>
      </c>
      <c r="AA134" s="7">
        <v>18.774667182248901</v>
      </c>
      <c r="AB134" s="7">
        <v>11.417612017481851</v>
      </c>
      <c r="AC134" s="7">
        <v>0.53831854004751234</v>
      </c>
      <c r="AD134" s="7">
        <v>53.330576017427411</v>
      </c>
      <c r="AE134" s="7">
        <v>28.877499586811691</v>
      </c>
      <c r="AF134" s="8">
        <v>21.86271750498317</v>
      </c>
      <c r="AG134" s="8">
        <v>13.531947691486961</v>
      </c>
      <c r="AH134" s="8">
        <v>0.57600847609618622</v>
      </c>
      <c r="AI134" s="8">
        <v>54.937861231219941</v>
      </c>
      <c r="AJ134" s="8">
        <v>35.540235757151422</v>
      </c>
      <c r="AK134" s="8">
        <v>20.391200188886248</v>
      </c>
      <c r="AL134" s="8">
        <v>12.9574597503234</v>
      </c>
      <c r="AM134" s="8">
        <v>0.55247508916124854</v>
      </c>
      <c r="AN134" s="8">
        <v>53.259543493356482</v>
      </c>
      <c r="AO134" s="8">
        <v>32.87983155719877</v>
      </c>
      <c r="AP134" s="8">
        <v>21.56634181517229</v>
      </c>
      <c r="AQ134" s="8">
        <v>12.853431672838751</v>
      </c>
      <c r="AR134" s="8">
        <v>0.5456536715685727</v>
      </c>
      <c r="AS134" s="8">
        <v>51.379342276341447</v>
      </c>
      <c r="AT134" s="8">
        <v>36.305146246174942</v>
      </c>
      <c r="AU134" s="8">
        <v>21.10629469065816</v>
      </c>
      <c r="AV134" s="8">
        <v>12.214425302408619</v>
      </c>
      <c r="AW134" s="8">
        <v>0.49935355486527661</v>
      </c>
      <c r="AX134" s="8">
        <v>53.116574216708777</v>
      </c>
      <c r="AY134" s="8">
        <v>37.038390339087002</v>
      </c>
      <c r="AZ134" s="8">
        <v>21.789162243959421</v>
      </c>
      <c r="BA134" s="8">
        <v>15.45029718285074</v>
      </c>
      <c r="BB134" s="8">
        <v>0.49774997129242432</v>
      </c>
      <c r="BC134" s="8">
        <v>55.456372124592107</v>
      </c>
      <c r="BD134" s="8">
        <v>38.494300033169033</v>
      </c>
      <c r="BE134" s="8">
        <v>23.17831945080281</v>
      </c>
      <c r="BF134" s="8">
        <v>23.72425953400597</v>
      </c>
      <c r="BG134" s="8">
        <v>0.61617995412233029</v>
      </c>
      <c r="BH134" s="8">
        <v>52.504382455892681</v>
      </c>
      <c r="BI134" s="8">
        <v>39.900757211319608</v>
      </c>
    </row>
    <row r="135" spans="1:61" x14ac:dyDescent="0.15">
      <c r="A135" s="7">
        <v>2022</v>
      </c>
      <c r="B135" s="7">
        <v>60</v>
      </c>
      <c r="C135" s="7">
        <v>26.462178791341373</v>
      </c>
      <c r="D135" s="7">
        <v>23.825765257118974</v>
      </c>
      <c r="E135" s="8">
        <v>20.352857496332589</v>
      </c>
      <c r="F135" s="8">
        <v>10.798259584056231</v>
      </c>
      <c r="G135" s="8">
        <v>0.53693502830865636</v>
      </c>
      <c r="H135" s="8">
        <v>64.128076185216386</v>
      </c>
      <c r="I135" s="8">
        <v>31.362628592966541</v>
      </c>
      <c r="J135" s="8">
        <v>32.287943510891147</v>
      </c>
      <c r="K135" s="8">
        <v>19.006851137519469</v>
      </c>
      <c r="L135" s="8">
        <v>0.55000976298357196</v>
      </c>
      <c r="M135" s="8">
        <v>60.464712486369173</v>
      </c>
      <c r="N135" s="8">
        <v>38.921241986851413</v>
      </c>
      <c r="O135" s="8">
        <v>291.726</v>
      </c>
      <c r="P135" s="8">
        <v>286.15199999999999</v>
      </c>
      <c r="Q135" s="8">
        <v>100.27</v>
      </c>
      <c r="R135" s="8">
        <v>-0.44550600000000001</v>
      </c>
      <c r="S135" s="8">
        <v>-0.58292699999999997</v>
      </c>
      <c r="T135" s="7">
        <f>C135-D135</f>
        <v>2.6364135342223989</v>
      </c>
      <c r="U135" s="8">
        <f>D135/C135</f>
        <v>0.90037050406880881</v>
      </c>
      <c r="V135" s="8">
        <v>21.721419075574474</v>
      </c>
      <c r="W135" s="8">
        <v>11.173242620466549</v>
      </c>
      <c r="X135" s="8">
        <v>0.58059508486515499</v>
      </c>
      <c r="Y135" s="8">
        <v>62.564526336147914</v>
      </c>
      <c r="Z135" s="8">
        <v>32.317102150558242</v>
      </c>
      <c r="AA135" s="7">
        <v>27.00468129323281</v>
      </c>
      <c r="AB135" s="7">
        <v>15.090046878993009</v>
      </c>
      <c r="AC135" s="7">
        <v>0.56530242392436347</v>
      </c>
      <c r="AD135" s="7">
        <v>61.514619411258543</v>
      </c>
      <c r="AE135" s="7">
        <v>35.619172068704827</v>
      </c>
      <c r="AF135" s="8">
        <v>32.493156084784772</v>
      </c>
      <c r="AG135" s="8">
        <v>19.30750448761756</v>
      </c>
      <c r="AH135" s="8">
        <v>0.57920123833148662</v>
      </c>
      <c r="AI135" s="8">
        <v>60.589519501218419</v>
      </c>
      <c r="AJ135" s="8">
        <v>40.195457215322378</v>
      </c>
      <c r="AK135" s="8">
        <v>32.255296786959427</v>
      </c>
      <c r="AL135" s="8">
        <v>18.959020993715111</v>
      </c>
      <c r="AM135" s="8">
        <v>0.54536576861831065</v>
      </c>
      <c r="AN135" s="8">
        <v>60.444857269502023</v>
      </c>
      <c r="AO135" s="8">
        <v>38.718530466771547</v>
      </c>
      <c r="AP135" s="8">
        <v>31.496770360555171</v>
      </c>
      <c r="AQ135" s="8">
        <v>18.266893550207019</v>
      </c>
      <c r="AR135" s="8">
        <v>0.55795418155944132</v>
      </c>
      <c r="AS135" s="8">
        <v>59.212033665937632</v>
      </c>
      <c r="AT135" s="8">
        <v>38.325639104672398</v>
      </c>
      <c r="AU135" s="8">
        <v>25.682175793477171</v>
      </c>
      <c r="AV135" s="8">
        <v>17.924025214129859</v>
      </c>
      <c r="AW135" s="8">
        <v>0.51473410488545224</v>
      </c>
      <c r="AX135" s="8">
        <v>66.029069914077724</v>
      </c>
      <c r="AY135" s="8">
        <v>37.956005017345447</v>
      </c>
      <c r="AZ135" s="8">
        <v>32.128717020050573</v>
      </c>
      <c r="BA135" s="8">
        <v>19.515392562616309</v>
      </c>
      <c r="BB135" s="8">
        <v>0.53576885151359699</v>
      </c>
      <c r="BC135" s="8">
        <v>63.25483347817579</v>
      </c>
      <c r="BD135" s="8">
        <v>39.214858721387309</v>
      </c>
      <c r="BE135" s="8">
        <v>31.08298948545227</v>
      </c>
      <c r="BF135" s="8">
        <v>22.619475604918161</v>
      </c>
      <c r="BG135" s="8">
        <v>0.56230318914831356</v>
      </c>
      <c r="BH135" s="8">
        <v>61.27035827960858</v>
      </c>
      <c r="BI135" s="8">
        <v>51.484173395864211</v>
      </c>
    </row>
    <row r="136" spans="1:61" x14ac:dyDescent="0.15">
      <c r="A136" s="7">
        <v>2022</v>
      </c>
      <c r="B136" s="7">
        <v>77</v>
      </c>
      <c r="C136" s="7">
        <v>82.406711697372202</v>
      </c>
      <c r="D136" s="7">
        <v>20.350902153937938</v>
      </c>
      <c r="E136" s="8">
        <v>33.61616060600258</v>
      </c>
      <c r="F136" s="8">
        <v>26.405607584858132</v>
      </c>
      <c r="G136" s="8">
        <v>0.53739343734155487</v>
      </c>
      <c r="H136" s="8">
        <v>68.304232058990138</v>
      </c>
      <c r="I136" s="8">
        <v>66.50239417084633</v>
      </c>
      <c r="J136" s="8">
        <v>46.924548319418889</v>
      </c>
      <c r="K136" s="8">
        <v>28.29893099847984</v>
      </c>
      <c r="L136" s="8">
        <v>0.68935450553934208</v>
      </c>
      <c r="M136" s="8">
        <v>57.562725962796087</v>
      </c>
      <c r="N136" s="8">
        <v>79.095425645105209</v>
      </c>
      <c r="O136" s="8">
        <v>280.02999999999997</v>
      </c>
      <c r="P136" s="8">
        <v>267.99599999999998</v>
      </c>
      <c r="Q136" s="8">
        <v>88.623699999999999</v>
      </c>
      <c r="R136" s="8">
        <v>0.29291600000000001</v>
      </c>
      <c r="S136" s="8">
        <v>-0.431282</v>
      </c>
      <c r="T136" s="7">
        <f>C136-D136</f>
        <v>62.055809543434265</v>
      </c>
      <c r="U136" s="8">
        <f>D136/C136</f>
        <v>0.24695685260047684</v>
      </c>
      <c r="V136" s="8">
        <v>32.654649908561098</v>
      </c>
      <c r="W136" s="8">
        <v>27.354151453907541</v>
      </c>
      <c r="X136" s="8">
        <v>0.63904898500619434</v>
      </c>
      <c r="Y136" s="8">
        <v>60.339156957222492</v>
      </c>
      <c r="Z136" s="8">
        <v>96.639967807873987</v>
      </c>
      <c r="AA136" s="7">
        <v>39.789599113989993</v>
      </c>
      <c r="AB136" s="7">
        <v>27.82654122619369</v>
      </c>
      <c r="AC136" s="7">
        <v>0.66420174527276821</v>
      </c>
      <c r="AD136" s="7">
        <v>58.95094146000929</v>
      </c>
      <c r="AE136" s="7">
        <v>87.867696726489598</v>
      </c>
      <c r="AF136" s="8">
        <v>38.000033143433093</v>
      </c>
      <c r="AG136" s="8">
        <v>26.475724470834859</v>
      </c>
      <c r="AH136" s="8">
        <v>0.6172325622250352</v>
      </c>
      <c r="AI136" s="8">
        <v>61.925763253935891</v>
      </c>
      <c r="AJ136" s="8">
        <v>75.021342586046615</v>
      </c>
      <c r="AK136" s="8">
        <v>48.11325016245803</v>
      </c>
      <c r="AL136" s="8">
        <v>28.5417732052458</v>
      </c>
      <c r="AM136" s="8">
        <v>0.6989607962174027</v>
      </c>
      <c r="AN136" s="8">
        <v>56.981590700324702</v>
      </c>
      <c r="AO136" s="8">
        <v>79.638073614826709</v>
      </c>
      <c r="AP136" s="8">
        <v>62.048804829879977</v>
      </c>
      <c r="AQ136" s="8">
        <v>32.563914221259623</v>
      </c>
      <c r="AR136" s="8">
        <v>0.8996082099979702</v>
      </c>
      <c r="AS136" s="8">
        <v>54.32401767490159</v>
      </c>
      <c r="AT136" s="8">
        <v>90.012913696295328</v>
      </c>
      <c r="AU136" s="8">
        <v>40.604830902304428</v>
      </c>
      <c r="AV136" s="8">
        <v>27.86726147837258</v>
      </c>
      <c r="AW136" s="8">
        <v>0.6860890689524004</v>
      </c>
      <c r="AX136" s="8">
        <v>58.579916530990552</v>
      </c>
      <c r="AY136" s="8">
        <v>88.481804988072327</v>
      </c>
      <c r="AZ136" s="8">
        <v>51.889641060157068</v>
      </c>
      <c r="BA136" s="8">
        <v>28.995999654881128</v>
      </c>
      <c r="BB136" s="8">
        <v>0.73911654084512335</v>
      </c>
      <c r="BC136" s="8">
        <v>55.855097120438543</v>
      </c>
      <c r="BD136" s="8">
        <v>75.8259721440986</v>
      </c>
      <c r="BE136" s="8">
        <v>36.926331501134122</v>
      </c>
      <c r="BF136" s="8">
        <v>27.884711665893668</v>
      </c>
      <c r="BG136" s="8">
        <v>0.62404709465677322</v>
      </c>
      <c r="BH136" s="8">
        <v>59.222297879275523</v>
      </c>
      <c r="BI136" s="8">
        <v>92.749761035515277</v>
      </c>
    </row>
    <row r="137" spans="1:61" x14ac:dyDescent="0.15">
      <c r="A137" s="7">
        <v>2023</v>
      </c>
      <c r="B137" s="7">
        <v>47</v>
      </c>
      <c r="C137" s="9">
        <v>58.219855781489869</v>
      </c>
      <c r="D137" s="7">
        <v>6.5847528144734309</v>
      </c>
      <c r="E137" s="8">
        <v>16.013562861360711</v>
      </c>
      <c r="F137" s="8">
        <v>14.309960756621649</v>
      </c>
      <c r="G137" s="8">
        <v>0.5377360257386431</v>
      </c>
      <c r="H137" s="8">
        <v>66.063883268864132</v>
      </c>
      <c r="I137" s="8">
        <v>29.44869511451521</v>
      </c>
      <c r="J137" s="8">
        <v>17.75595319948296</v>
      </c>
      <c r="K137" s="8">
        <v>15.74028410761799</v>
      </c>
      <c r="L137" s="8">
        <v>0.48132218586779812</v>
      </c>
      <c r="M137" s="8">
        <v>65.98723964906236</v>
      </c>
      <c r="N137" s="8">
        <v>31.596926563190792</v>
      </c>
      <c r="O137" s="7">
        <v>294.37200000000001</v>
      </c>
      <c r="P137" s="7">
        <v>289.94200000000001</v>
      </c>
      <c r="Q137" s="7">
        <v>97.489500000000007</v>
      </c>
      <c r="R137" s="7">
        <v>-0.84802900000000003</v>
      </c>
      <c r="S137" s="7">
        <v>-0.56090099999999998</v>
      </c>
      <c r="T137" s="7">
        <f>C137-D137</f>
        <v>51.635102967016437</v>
      </c>
      <c r="U137" s="8">
        <f>D137/C137</f>
        <v>0.11310149649266144</v>
      </c>
      <c r="V137" s="8">
        <v>15.411391245437038</v>
      </c>
      <c r="W137" s="8">
        <v>13.723943569492091</v>
      </c>
      <c r="X137" s="8">
        <v>0.5587509472374681</v>
      </c>
      <c r="Y137" s="8">
        <v>65.801415488662798</v>
      </c>
      <c r="Z137" s="8">
        <v>28.671210506529668</v>
      </c>
      <c r="AA137" s="7">
        <v>16.583672222459999</v>
      </c>
      <c r="AB137" s="7">
        <v>14.732113838555041</v>
      </c>
      <c r="AC137" s="7">
        <v>0.52003656655263308</v>
      </c>
      <c r="AD137" s="7">
        <v>65.894327568862579</v>
      </c>
      <c r="AE137" s="7">
        <v>30.13406853486023</v>
      </c>
      <c r="AF137" s="8">
        <v>17.47075399706446</v>
      </c>
      <c r="AG137" s="8">
        <v>15.340221736018441</v>
      </c>
      <c r="AH137" s="8">
        <v>0.49647661219972039</v>
      </c>
      <c r="AI137" s="8">
        <v>62.109528820087689</v>
      </c>
      <c r="AJ137" s="8">
        <v>31.31590855163255</v>
      </c>
      <c r="AK137" s="8">
        <v>17.801953162573579</v>
      </c>
      <c r="AL137" s="8">
        <v>15.804810425263589</v>
      </c>
      <c r="AM137" s="8">
        <v>0.47887791868185742</v>
      </c>
      <c r="AN137" s="8">
        <v>66.612678126787131</v>
      </c>
      <c r="AO137" s="8">
        <v>31.642252139313921</v>
      </c>
      <c r="AP137" s="8">
        <v>17.780048767967291</v>
      </c>
      <c r="AQ137" s="8">
        <v>16.124727752276911</v>
      </c>
      <c r="AR137" s="8">
        <v>0.48454515226219291</v>
      </c>
      <c r="AS137" s="8">
        <v>68.663982172004467</v>
      </c>
      <c r="AT137" s="8">
        <v>32.792545671399758</v>
      </c>
      <c r="AU137" s="8">
        <v>16.43901099176837</v>
      </c>
      <c r="AV137" s="8">
        <v>15.706904957706239</v>
      </c>
      <c r="AW137" s="8">
        <v>0.48555549325826919</v>
      </c>
      <c r="AX137" s="8">
        <v>66.414662796524382</v>
      </c>
      <c r="AY137" s="8">
        <v>29.769762436197912</v>
      </c>
      <c r="AZ137" s="8">
        <v>18.141143554704961</v>
      </c>
      <c r="BA137" s="8">
        <v>16.312185087341689</v>
      </c>
      <c r="BB137" s="8">
        <v>0.46378699368871268</v>
      </c>
      <c r="BC137" s="8">
        <v>66.263679108877781</v>
      </c>
      <c r="BD137" s="8">
        <v>31.24143079507029</v>
      </c>
      <c r="BE137" s="8">
        <v>18.688513154666659</v>
      </c>
      <c r="BF137" s="8">
        <v>17.72832945441629</v>
      </c>
      <c r="BG137" s="8">
        <v>0.47254566843953422</v>
      </c>
      <c r="BH137" s="8">
        <v>63.996916590545403</v>
      </c>
      <c r="BI137" s="8">
        <v>31.941902411828639</v>
      </c>
    </row>
    <row r="138" spans="1:61" x14ac:dyDescent="0.15">
      <c r="A138" s="7">
        <v>2021</v>
      </c>
      <c r="B138" s="7">
        <v>51</v>
      </c>
      <c r="C138" s="7">
        <v>70.985936328469123</v>
      </c>
      <c r="D138" s="7">
        <v>57.561560304278089</v>
      </c>
      <c r="E138" s="8">
        <v>15.259250959782561</v>
      </c>
      <c r="F138" s="8">
        <v>12.75663230593551</v>
      </c>
      <c r="G138" s="8">
        <v>0.53806854544827798</v>
      </c>
      <c r="H138" s="8">
        <v>72.2255957409008</v>
      </c>
      <c r="I138" s="8">
        <v>21.49356647402168</v>
      </c>
      <c r="J138" s="8">
        <v>22.71427348938202</v>
      </c>
      <c r="K138" s="8">
        <v>22.5378932048155</v>
      </c>
      <c r="L138" s="8">
        <v>0.67782445923454504</v>
      </c>
      <c r="M138" s="8">
        <v>64.768133546253338</v>
      </c>
      <c r="N138" s="8">
        <v>37.950543876495203</v>
      </c>
      <c r="O138" s="8">
        <v>291.82100000000003</v>
      </c>
      <c r="P138" s="8">
        <v>286.62900000000002</v>
      </c>
      <c r="Q138" s="8">
        <v>98.187600000000003</v>
      </c>
      <c r="R138" s="8">
        <v>-0.427234</v>
      </c>
      <c r="S138" s="8">
        <v>-0.27765000000000001</v>
      </c>
      <c r="T138" s="7">
        <f>C138-D138</f>
        <v>13.424376024191034</v>
      </c>
      <c r="U138" s="8">
        <f>D138/C138</f>
        <v>0.81088682183364891</v>
      </c>
      <c r="V138" s="8">
        <v>13.981558465982562</v>
      </c>
      <c r="W138" s="8">
        <v>9.4496482938678596</v>
      </c>
      <c r="X138" s="8">
        <v>0.50042110554604347</v>
      </c>
      <c r="Y138" s="8">
        <v>74.462058029320005</v>
      </c>
      <c r="Z138" s="8">
        <v>17.383500295818834</v>
      </c>
      <c r="AA138" s="7">
        <v>18.347915977682291</v>
      </c>
      <c r="AB138" s="7">
        <v>15.99377074934168</v>
      </c>
      <c r="AC138" s="7">
        <v>0.58912278239029425</v>
      </c>
      <c r="AD138" s="7">
        <v>69.615095787786672</v>
      </c>
      <c r="AE138" s="7">
        <v>27.667022086157019</v>
      </c>
      <c r="AF138" s="8">
        <v>22.41230095133605</v>
      </c>
      <c r="AG138" s="8">
        <v>24.121708552436061</v>
      </c>
      <c r="AH138" s="8">
        <v>0.66905448893691744</v>
      </c>
      <c r="AI138" s="8">
        <v>64.713918315280139</v>
      </c>
      <c r="AJ138" s="8">
        <v>36.614878237997203</v>
      </c>
      <c r="AK138" s="8">
        <v>22.73489989421806</v>
      </c>
      <c r="AL138" s="8">
        <v>22.429709802586451</v>
      </c>
      <c r="AM138" s="8">
        <v>0.67842349701105764</v>
      </c>
      <c r="AN138" s="8">
        <v>64.771836748238442</v>
      </c>
      <c r="AO138" s="8">
        <v>38.041777272629567</v>
      </c>
      <c r="AP138" s="8">
        <v>23.698229437600769</v>
      </c>
      <c r="AQ138" s="8">
        <v>21.128716677358359</v>
      </c>
      <c r="AR138" s="8">
        <v>0.6765229781159664</v>
      </c>
      <c r="AS138" s="8">
        <v>65.478513875928158</v>
      </c>
      <c r="AT138" s="8">
        <v>36.759153474070622</v>
      </c>
      <c r="AU138" s="8">
        <v>18.032062863425612</v>
      </c>
      <c r="AV138" s="8">
        <v>14.6136060150478</v>
      </c>
      <c r="AW138" s="8">
        <v>0.59117618295337238</v>
      </c>
      <c r="AX138" s="8">
        <v>65.758397157053096</v>
      </c>
      <c r="AY138" s="8">
        <v>27.8151481027876</v>
      </c>
      <c r="AZ138" s="8">
        <v>23.690232294251121</v>
      </c>
      <c r="BA138" s="8">
        <v>22.92217769813535</v>
      </c>
      <c r="BB138" s="8">
        <v>0.66708133890193888</v>
      </c>
      <c r="BC138" s="8">
        <v>63.925851433906907</v>
      </c>
      <c r="BD138" s="8">
        <v>42.296524739759263</v>
      </c>
      <c r="BE138" s="8">
        <v>32.74263746970913</v>
      </c>
      <c r="BF138" s="8">
        <v>30.14158191480831</v>
      </c>
      <c r="BG138" s="8">
        <v>0.58161165318256502</v>
      </c>
      <c r="BH138" s="8">
        <v>61.548606135707303</v>
      </c>
      <c r="BI138" s="8">
        <v>52.867452379723993</v>
      </c>
    </row>
    <row r="139" spans="1:61" x14ac:dyDescent="0.15">
      <c r="A139" s="7">
        <v>2023</v>
      </c>
      <c r="B139" s="7">
        <v>63</v>
      </c>
      <c r="C139" s="9">
        <v>39.159788619257249</v>
      </c>
      <c r="D139" s="7">
        <v>1.9538919517674898</v>
      </c>
      <c r="E139" s="8">
        <v>24.48844365489062</v>
      </c>
      <c r="F139" s="8">
        <v>22.97667194454516</v>
      </c>
      <c r="G139" s="8">
        <v>0.53850094806496884</v>
      </c>
      <c r="H139" s="8">
        <v>70.595676765406026</v>
      </c>
      <c r="I139" s="8">
        <v>45.281067963091957</v>
      </c>
      <c r="J139" s="8">
        <v>26.691424154367759</v>
      </c>
      <c r="K139" s="8">
        <v>25.186328885868381</v>
      </c>
      <c r="L139" s="8">
        <v>0.53051194396898738</v>
      </c>
      <c r="M139" s="8">
        <v>74.443625166881148</v>
      </c>
      <c r="N139" s="8">
        <v>53.269192546035598</v>
      </c>
      <c r="O139" s="7">
        <v>290.79700000000003</v>
      </c>
      <c r="P139" s="7">
        <v>285.58600000000001</v>
      </c>
      <c r="Q139" s="7">
        <v>101.28700000000001</v>
      </c>
      <c r="R139" s="7">
        <v>-0.72863900000000004</v>
      </c>
      <c r="S139" s="7">
        <v>-0.244564</v>
      </c>
      <c r="T139" s="7">
        <f>C139-D139</f>
        <v>37.20589666748976</v>
      </c>
      <c r="U139" s="8">
        <f>D139/C139</f>
        <v>4.989536513500592E-2</v>
      </c>
      <c r="V139" s="8">
        <v>25.659009649968183</v>
      </c>
      <c r="W139" s="8">
        <v>22.3207366337266</v>
      </c>
      <c r="X139" s="8">
        <v>0.51949108439941116</v>
      </c>
      <c r="Y139" s="8">
        <v>74.548568178592902</v>
      </c>
      <c r="Z139" s="8">
        <v>50.09336420378736</v>
      </c>
      <c r="AA139" s="7">
        <v>26.175216902167971</v>
      </c>
      <c r="AB139" s="7">
        <v>23.753532759797491</v>
      </c>
      <c r="AC139" s="7">
        <v>0.52500151418419927</v>
      </c>
      <c r="AD139" s="7">
        <v>74.496096672737025</v>
      </c>
      <c r="AE139" s="7">
        <v>51.681278374911479</v>
      </c>
      <c r="AF139" s="8">
        <v>26.496503457691169</v>
      </c>
      <c r="AG139" s="8">
        <v>25.255438942436491</v>
      </c>
      <c r="AH139" s="8">
        <v>0.54465488508772641</v>
      </c>
      <c r="AI139" s="8">
        <v>74.375562082761547</v>
      </c>
      <c r="AJ139" s="8">
        <v>53.126212749821882</v>
      </c>
      <c r="AK139" s="8">
        <v>26.712824764369881</v>
      </c>
      <c r="AL139" s="8">
        <v>25.178741198193059</v>
      </c>
      <c r="AM139" s="8">
        <v>0.52895917111148394</v>
      </c>
      <c r="AN139" s="8">
        <v>74.451097906018745</v>
      </c>
      <c r="AO139" s="8">
        <v>53.284890493504101</v>
      </c>
      <c r="AP139" s="8">
        <v>26.57242636675721</v>
      </c>
      <c r="AQ139" s="8">
        <v>23.6521760614568</v>
      </c>
      <c r="AR139" s="8">
        <v>0.52111036108408959</v>
      </c>
      <c r="AS139" s="8">
        <v>76.057276089953348</v>
      </c>
      <c r="AT139" s="8">
        <v>52.904794459746263</v>
      </c>
      <c r="AU139" s="8">
        <v>24.557927785766289</v>
      </c>
      <c r="AV139" s="8">
        <v>23.213361998049841</v>
      </c>
      <c r="AW139" s="8">
        <v>0.50904731939128778</v>
      </c>
      <c r="AX139" s="8">
        <v>69.796731496214605</v>
      </c>
      <c r="AY139" s="8">
        <v>50.61574466210638</v>
      </c>
      <c r="AZ139" s="8">
        <v>26.71644720311426</v>
      </c>
      <c r="BA139" s="8">
        <v>25.366325415177929</v>
      </c>
      <c r="BB139" s="8">
        <v>0.53175473752585789</v>
      </c>
      <c r="BC139" s="8">
        <v>71.677965359501101</v>
      </c>
      <c r="BD139" s="8">
        <v>53.297621562091663</v>
      </c>
      <c r="BE139" s="8">
        <v>25.282971408963181</v>
      </c>
      <c r="BF139" s="8">
        <v>30.545034020349991</v>
      </c>
      <c r="BG139" s="8">
        <v>0.60317018227927299</v>
      </c>
      <c r="BH139" s="8">
        <v>64.838942637138501</v>
      </c>
      <c r="BI139" s="8">
        <v>52.543650947436831</v>
      </c>
    </row>
    <row r="140" spans="1:61" x14ac:dyDescent="0.15">
      <c r="A140" s="7">
        <v>2023</v>
      </c>
      <c r="B140" s="7">
        <v>12</v>
      </c>
      <c r="C140" s="9">
        <v>267.7385011787843</v>
      </c>
      <c r="D140" s="7">
        <v>217.59560500142388</v>
      </c>
      <c r="E140" s="8">
        <v>18.51125637420008</v>
      </c>
      <c r="F140" s="8">
        <v>16.950649144106219</v>
      </c>
      <c r="G140" s="8">
        <v>0.53864784545015032</v>
      </c>
      <c r="H140" s="8">
        <v>71.33514002249089</v>
      </c>
      <c r="I140" s="8">
        <v>30.643243989387098</v>
      </c>
      <c r="J140" s="8">
        <v>19.740669810964349</v>
      </c>
      <c r="K140" s="8">
        <v>29.557418127993419</v>
      </c>
      <c r="L140" s="8">
        <v>0.5410847854352101</v>
      </c>
      <c r="M140" s="8">
        <v>66.612447401161063</v>
      </c>
      <c r="N140" s="8">
        <v>36.568954500687909</v>
      </c>
      <c r="O140" s="7">
        <v>291.517</v>
      </c>
      <c r="P140" s="7">
        <v>286.99299999999999</v>
      </c>
      <c r="Q140" s="7">
        <v>100.304</v>
      </c>
      <c r="R140" s="7">
        <v>-0.54616100000000001</v>
      </c>
      <c r="S140" s="7">
        <v>-0.40232800000000002</v>
      </c>
      <c r="T140" s="7">
        <f>C140-D140</f>
        <v>50.142896177360427</v>
      </c>
      <c r="U140" s="8">
        <f>D140/C140</f>
        <v>0.81271690116813966</v>
      </c>
      <c r="V140" s="8">
        <v>18.524212961280071</v>
      </c>
      <c r="W140" s="8">
        <v>16.502522801798879</v>
      </c>
      <c r="X140" s="8">
        <v>0.51974505045973562</v>
      </c>
      <c r="Y140" s="8">
        <v>70.696320474242668</v>
      </c>
      <c r="Z140" s="8">
        <v>31.065686523078625</v>
      </c>
      <c r="AA140" s="7">
        <v>19.13244138612221</v>
      </c>
      <c r="AB140" s="7">
        <v>23.029970464896149</v>
      </c>
      <c r="AC140" s="7">
        <v>0.53041491794747286</v>
      </c>
      <c r="AD140" s="7">
        <v>68.654383937701866</v>
      </c>
      <c r="AE140" s="7">
        <v>33.817320511883267</v>
      </c>
      <c r="AF140" s="8">
        <v>20.102862469709422</v>
      </c>
      <c r="AG140" s="8">
        <v>30.375520595992391</v>
      </c>
      <c r="AH140" s="8">
        <v>0.54574650966912974</v>
      </c>
      <c r="AI140" s="8">
        <v>65.899903688152861</v>
      </c>
      <c r="AJ140" s="8">
        <v>37.296553731632343</v>
      </c>
      <c r="AK140" s="8">
        <v>19.714949976921819</v>
      </c>
      <c r="AL140" s="8">
        <v>29.499323467048018</v>
      </c>
      <c r="AM140" s="8">
        <v>0.54075374953276023</v>
      </c>
      <c r="AN140" s="8">
        <v>66.663046179474534</v>
      </c>
      <c r="AO140" s="8">
        <v>36.517286607875853</v>
      </c>
      <c r="AP140" s="8">
        <v>20.291463501279441</v>
      </c>
      <c r="AQ140" s="8">
        <v>28.483995749434101</v>
      </c>
      <c r="AR140" s="8">
        <v>0.5336362491213742</v>
      </c>
      <c r="AS140" s="8">
        <v>71.710216569828518</v>
      </c>
      <c r="AT140" s="8">
        <v>37.570490360182788</v>
      </c>
      <c r="AU140" s="8">
        <v>17.998994059107339</v>
      </c>
      <c r="AV140" s="8">
        <v>22.7098447599714</v>
      </c>
      <c r="AW140" s="8">
        <v>0.53429431904658231</v>
      </c>
      <c r="AX140" s="8">
        <v>65.006117530057082</v>
      </c>
      <c r="AY140" s="8">
        <v>36.398607478422697</v>
      </c>
      <c r="AZ140" s="8">
        <v>19.661628616440279</v>
      </c>
      <c r="BA140" s="8">
        <v>30.64109622731608</v>
      </c>
      <c r="BB140" s="8">
        <v>0.5438901138899318</v>
      </c>
      <c r="BC140" s="8">
        <v>63.739010161128697</v>
      </c>
      <c r="BD140" s="8">
        <v>37.659377448866302</v>
      </c>
      <c r="BE140" s="8">
        <v>19.51578085311759</v>
      </c>
      <c r="BF140" s="8">
        <v>12.01007250296877</v>
      </c>
      <c r="BG140" s="8">
        <v>0.3934096841708945</v>
      </c>
      <c r="BH140" s="8">
        <v>73.717238438132071</v>
      </c>
      <c r="BI140" s="8">
        <v>31.165608049880419</v>
      </c>
    </row>
    <row r="141" spans="1:61" x14ac:dyDescent="0.15">
      <c r="A141" s="7">
        <v>2020</v>
      </c>
      <c r="B141" s="7">
        <v>58</v>
      </c>
      <c r="C141" s="7">
        <v>140.33761788579741</v>
      </c>
      <c r="D141" s="7">
        <v>99.138056900891911</v>
      </c>
      <c r="E141" s="8">
        <v>21.482285257877269</v>
      </c>
      <c r="F141" s="8">
        <v>12.13380912217476</v>
      </c>
      <c r="G141" s="8">
        <v>0.53872029684684697</v>
      </c>
      <c r="H141" s="8">
        <v>61.855275154162491</v>
      </c>
      <c r="I141" s="8">
        <v>30.63918723572699</v>
      </c>
      <c r="J141" s="8">
        <v>23.213270161086712</v>
      </c>
      <c r="K141" s="8">
        <v>13.547252646945919</v>
      </c>
      <c r="L141" s="8">
        <v>0.60346003662115932</v>
      </c>
      <c r="M141" s="8">
        <v>58.42507036015386</v>
      </c>
      <c r="N141" s="8">
        <v>34.453925196212161</v>
      </c>
      <c r="O141" s="8">
        <v>288.33100000000002</v>
      </c>
      <c r="P141" s="8">
        <v>284.97399999999999</v>
      </c>
      <c r="Q141" s="8">
        <v>88.102399999999989</v>
      </c>
      <c r="R141" s="8">
        <v>-0.61912</v>
      </c>
      <c r="S141" s="8">
        <v>0.424819</v>
      </c>
      <c r="T141" s="7">
        <f>C141-D141</f>
        <v>41.199560984905503</v>
      </c>
      <c r="U141" s="8">
        <f>D141/C141</f>
        <v>0.70642539323681208</v>
      </c>
      <c r="V141" s="8">
        <v>22.172381306386811</v>
      </c>
      <c r="W141" s="8">
        <v>10.0011929798788</v>
      </c>
      <c r="X141" s="8">
        <v>0.49613822320553536</v>
      </c>
      <c r="Y141" s="8">
        <v>63.562139493803066</v>
      </c>
      <c r="Z141" s="8">
        <v>29.947307099162423</v>
      </c>
      <c r="AA141" s="7">
        <v>22.692825733736761</v>
      </c>
      <c r="AB141" s="7">
        <v>11.77422281341236</v>
      </c>
      <c r="AC141" s="7">
        <v>0.54979912991334734</v>
      </c>
      <c r="AD141" s="7">
        <v>60.993604926978463</v>
      </c>
      <c r="AE141" s="7">
        <v>32.200616147687292</v>
      </c>
      <c r="AF141" s="8">
        <v>23.132880415085509</v>
      </c>
      <c r="AG141" s="8">
        <v>13.2240910316093</v>
      </c>
      <c r="AH141" s="8">
        <v>0.5825719387612085</v>
      </c>
      <c r="AI141" s="8">
        <v>57.12918226968403</v>
      </c>
      <c r="AJ141" s="8">
        <v>34.974548648372277</v>
      </c>
      <c r="AK141" s="8">
        <v>23.228485112940401</v>
      </c>
      <c r="AL141" s="8">
        <v>13.608415776112111</v>
      </c>
      <c r="AM141" s="8">
        <v>0.60741341897479462</v>
      </c>
      <c r="AN141" s="8">
        <v>58.670336403213348</v>
      </c>
      <c r="AO141" s="8">
        <v>34.355389485471129</v>
      </c>
      <c r="AP141" s="8">
        <v>23.72297278470737</v>
      </c>
      <c r="AQ141" s="8">
        <v>11.020041154153111</v>
      </c>
      <c r="AR141" s="8">
        <v>0.5448589772192175</v>
      </c>
      <c r="AS141" s="8">
        <v>60.284486311249637</v>
      </c>
      <c r="AT141" s="8">
        <v>33.290831734699857</v>
      </c>
      <c r="AU141" s="8">
        <v>21.080137180402769</v>
      </c>
      <c r="AV141" s="8">
        <v>14.415483587471011</v>
      </c>
      <c r="AW141" s="8">
        <v>0.6321932176209073</v>
      </c>
      <c r="AX141" s="8">
        <v>61.828189307471611</v>
      </c>
      <c r="AY141" s="8">
        <v>33.525617985312053</v>
      </c>
      <c r="AZ141" s="8">
        <v>23.517941750997959</v>
      </c>
      <c r="BA141" s="8">
        <v>16.046737256485709</v>
      </c>
      <c r="BB141" s="8">
        <v>0.65856899244234435</v>
      </c>
      <c r="BC141" s="8">
        <v>58.163228375178392</v>
      </c>
      <c r="BD141" s="8">
        <v>35.286968572195242</v>
      </c>
      <c r="BE141" s="8">
        <v>21.844384141320631</v>
      </c>
      <c r="BF141" s="8">
        <v>20.032765474703758</v>
      </c>
      <c r="BG141" s="8">
        <v>0.60350033156701033</v>
      </c>
      <c r="BH141" s="8">
        <v>65.779739312029832</v>
      </c>
      <c r="BI141" s="8">
        <v>43.429233125236003</v>
      </c>
    </row>
    <row r="142" spans="1:61" x14ac:dyDescent="0.15">
      <c r="A142" s="7">
        <v>2021</v>
      </c>
      <c r="B142" s="7">
        <v>79</v>
      </c>
      <c r="C142" s="7">
        <v>61.696570617151508</v>
      </c>
      <c r="D142" s="7">
        <v>21.649134199904115</v>
      </c>
      <c r="E142" s="8">
        <v>19.332551744184059</v>
      </c>
      <c r="F142" s="8">
        <v>10.15945998279228</v>
      </c>
      <c r="G142" s="8">
        <v>0.53905759835121247</v>
      </c>
      <c r="H142" s="8">
        <v>60.274051285368103</v>
      </c>
      <c r="I142" s="8">
        <v>27.46179401897577</v>
      </c>
      <c r="J142" s="8">
        <v>20.707752979999331</v>
      </c>
      <c r="K142" s="8">
        <v>11.55987995932586</v>
      </c>
      <c r="L142" s="8">
        <v>0.58840630567008667</v>
      </c>
      <c r="M142" s="8">
        <v>58.813420980531191</v>
      </c>
      <c r="N142" s="8">
        <v>31.90283334469893</v>
      </c>
      <c r="O142" s="8">
        <v>288.25299999999999</v>
      </c>
      <c r="P142" s="8">
        <v>282.59100000000001</v>
      </c>
      <c r="Q142" s="8">
        <v>79.823899999999995</v>
      </c>
      <c r="R142" s="8">
        <v>0.106752</v>
      </c>
      <c r="S142" s="8">
        <v>1.0347299999999999</v>
      </c>
      <c r="T142" s="7">
        <f>C142-D142</f>
        <v>40.047436417247397</v>
      </c>
      <c r="U142" s="8">
        <f>D142/C142</f>
        <v>0.35089688103159666</v>
      </c>
      <c r="V142" s="8">
        <v>19.574940248193929</v>
      </c>
      <c r="W142" s="8">
        <v>8.641107489678399</v>
      </c>
      <c r="X142" s="8">
        <v>0.52644533633298052</v>
      </c>
      <c r="Y142" s="8">
        <v>59.573493231060212</v>
      </c>
      <c r="Z142" s="8">
        <v>27.961333209046071</v>
      </c>
      <c r="AA142" s="7">
        <v>20.14134661409663</v>
      </c>
      <c r="AB142" s="7">
        <v>10.10049372450213</v>
      </c>
      <c r="AC142" s="7">
        <v>0.55742582100153359</v>
      </c>
      <c r="AD142" s="7">
        <v>59.193457105795702</v>
      </c>
      <c r="AE142" s="7">
        <v>29.9320832768725</v>
      </c>
      <c r="AF142" s="8">
        <v>20.59455336069896</v>
      </c>
      <c r="AG142" s="8">
        <v>12.27690833288935</v>
      </c>
      <c r="AH142" s="8">
        <v>0.58685203712870448</v>
      </c>
      <c r="AI142" s="8">
        <v>59.062676715163512</v>
      </c>
      <c r="AJ142" s="8">
        <v>31.373877137403671</v>
      </c>
      <c r="AK142" s="8">
        <v>20.72725388319256</v>
      </c>
      <c r="AL142" s="8">
        <v>11.43635745115771</v>
      </c>
      <c r="AM142" s="8">
        <v>0.58867405957729158</v>
      </c>
      <c r="AN142" s="8">
        <v>58.770481684608967</v>
      </c>
      <c r="AO142" s="8">
        <v>31.993956652848521</v>
      </c>
      <c r="AP142" s="8">
        <v>21.02360841489304</v>
      </c>
      <c r="AQ142" s="8">
        <v>10.04612499866505</v>
      </c>
      <c r="AR142" s="8">
        <v>0.57813259125026939</v>
      </c>
      <c r="AS142" s="8">
        <v>57.861546745348321</v>
      </c>
      <c r="AT142" s="8">
        <v>32.63062490782319</v>
      </c>
      <c r="AU142" s="8">
        <v>19.797633061820651</v>
      </c>
      <c r="AV142" s="8">
        <v>9.6304903118945919</v>
      </c>
      <c r="AW142" s="8">
        <v>0.53975551567141677</v>
      </c>
      <c r="AX142" s="8">
        <v>60.347739004764158</v>
      </c>
      <c r="AY142" s="8">
        <v>29.572515510181422</v>
      </c>
      <c r="AZ142" s="8">
        <v>22.47431311658254</v>
      </c>
      <c r="BA142" s="8">
        <v>15.2961562304717</v>
      </c>
      <c r="BB142" s="8">
        <v>0.65390808048259685</v>
      </c>
      <c r="BC142" s="8">
        <v>58.092377351072329</v>
      </c>
      <c r="BD142" s="8">
        <v>35.314720108574427</v>
      </c>
      <c r="BE142" s="8">
        <v>18.973471962966549</v>
      </c>
      <c r="BF142" s="8">
        <v>19.479848953733541</v>
      </c>
      <c r="BG142" s="8">
        <v>0.60674838789536101</v>
      </c>
      <c r="BH142" s="8">
        <v>61.640934014719321</v>
      </c>
      <c r="BI142" s="8">
        <v>37.287462502968758</v>
      </c>
    </row>
    <row r="143" spans="1:61" x14ac:dyDescent="0.15">
      <c r="A143" s="7">
        <v>2022</v>
      </c>
      <c r="B143" s="7">
        <v>61</v>
      </c>
      <c r="C143" s="7">
        <v>139.11852222979769</v>
      </c>
      <c r="D143" s="7">
        <v>20.706331870920781</v>
      </c>
      <c r="E143" s="8">
        <v>25.895933693986819</v>
      </c>
      <c r="F143" s="8">
        <v>18.199761572759211</v>
      </c>
      <c r="G143" s="8">
        <v>0.53919037727532904</v>
      </c>
      <c r="H143" s="8">
        <v>66.376247667452461</v>
      </c>
      <c r="I143" s="8">
        <v>42.123364535814403</v>
      </c>
      <c r="J143" s="8">
        <v>30.938358092179389</v>
      </c>
      <c r="K143" s="8">
        <v>18.328708116750288</v>
      </c>
      <c r="L143" s="8">
        <v>0.55764747660223812</v>
      </c>
      <c r="M143" s="8">
        <v>69.020594785298115</v>
      </c>
      <c r="N143" s="8">
        <v>50.16969046961777</v>
      </c>
      <c r="O143" s="8">
        <v>289.10399999999998</v>
      </c>
      <c r="P143" s="8">
        <v>282.35700000000003</v>
      </c>
      <c r="Q143" s="8">
        <v>97.567499999999995</v>
      </c>
      <c r="R143" s="8">
        <v>-0.41718300000000003</v>
      </c>
      <c r="S143" s="8">
        <v>-0.109484</v>
      </c>
      <c r="T143" s="7">
        <f>C143-D143</f>
        <v>118.41219035887691</v>
      </c>
      <c r="U143" s="8">
        <f>D143/C143</f>
        <v>0.14883950417988057</v>
      </c>
      <c r="V143" s="8">
        <v>23.923694764777292</v>
      </c>
      <c r="W143" s="8">
        <v>18.63431086731811</v>
      </c>
      <c r="X143" s="8">
        <v>0.50894192253920267</v>
      </c>
      <c r="Y143" s="8">
        <v>56.81473926510111</v>
      </c>
      <c r="Z143" s="8">
        <v>38.126566228724776</v>
      </c>
      <c r="AA143" s="7">
        <v>27.43102642847834</v>
      </c>
      <c r="AB143" s="7">
        <v>18.481509492034199</v>
      </c>
      <c r="AC143" s="7">
        <v>0.5332946995707204</v>
      </c>
      <c r="AD143" s="7">
        <v>62.917667025199613</v>
      </c>
      <c r="AE143" s="7">
        <v>44.148128349171273</v>
      </c>
      <c r="AF143" s="8">
        <v>30.34427904705851</v>
      </c>
      <c r="AG143" s="8">
        <v>18.186648901123711</v>
      </c>
      <c r="AH143" s="8">
        <v>0.55413527418304331</v>
      </c>
      <c r="AI143" s="8">
        <v>69.160425052651988</v>
      </c>
      <c r="AJ143" s="8">
        <v>46.627098004845863</v>
      </c>
      <c r="AK143" s="8">
        <v>31.01774093537453</v>
      </c>
      <c r="AL143" s="8">
        <v>18.347690547676159</v>
      </c>
      <c r="AM143" s="8">
        <v>0.55811678892052718</v>
      </c>
      <c r="AN143" s="8">
        <v>69.001910193948788</v>
      </c>
      <c r="AO143" s="8">
        <v>50.643063608167147</v>
      </c>
      <c r="AP143" s="8">
        <v>27.503949662344919</v>
      </c>
      <c r="AQ143" s="8">
        <v>18.533396276067378</v>
      </c>
      <c r="AR143" s="8">
        <v>0.52318623063934488</v>
      </c>
      <c r="AS143" s="8">
        <v>60.064939168784498</v>
      </c>
      <c r="AT143" s="8">
        <v>44.292035365216357</v>
      </c>
      <c r="AU143" s="8">
        <v>27.010858573164661</v>
      </c>
      <c r="AV143" s="8">
        <v>17.513159431753959</v>
      </c>
      <c r="AW143" s="8">
        <v>0.49805104500085862</v>
      </c>
      <c r="AX143" s="8">
        <v>65.393109228946003</v>
      </c>
      <c r="AY143" s="8">
        <v>44.101771141182368</v>
      </c>
      <c r="AZ143" s="8">
        <v>30.346865896409309</v>
      </c>
      <c r="BA143" s="8">
        <v>18.082789452184269</v>
      </c>
      <c r="BB143" s="8">
        <v>0.53582173343300932</v>
      </c>
      <c r="BC143" s="8">
        <v>68.858805800681139</v>
      </c>
      <c r="BD143" s="8">
        <v>48.909510633871818</v>
      </c>
      <c r="BE143" s="8">
        <v>32.745711919187798</v>
      </c>
      <c r="BF143" s="8">
        <v>27.390805161692601</v>
      </c>
      <c r="BG143" s="8">
        <v>0.68617655811922684</v>
      </c>
      <c r="BH143" s="8">
        <v>65.936257583264307</v>
      </c>
      <c r="BI143" s="8">
        <v>63.372186969967828</v>
      </c>
    </row>
    <row r="144" spans="1:61" x14ac:dyDescent="0.15">
      <c r="A144" s="7">
        <v>2021</v>
      </c>
      <c r="B144" s="7">
        <v>53</v>
      </c>
      <c r="C144" s="7">
        <v>11.11287494926138</v>
      </c>
      <c r="D144" s="7">
        <v>2.9032132815245051</v>
      </c>
      <c r="E144" s="8">
        <v>23.623012581464909</v>
      </c>
      <c r="F144" s="8">
        <v>17.092913901931301</v>
      </c>
      <c r="G144" s="8">
        <v>0.53997153733249537</v>
      </c>
      <c r="H144" s="8">
        <v>52.12552100688405</v>
      </c>
      <c r="I144" s="8">
        <v>36.178911695592546</v>
      </c>
      <c r="J144" s="8">
        <v>32.538735395237651</v>
      </c>
      <c r="K144" s="8">
        <v>25.319014476530761</v>
      </c>
      <c r="L144" s="8">
        <v>0.59973677300096295</v>
      </c>
      <c r="M144" s="8">
        <v>53.449497828209843</v>
      </c>
      <c r="N144" s="8">
        <v>44.650865632010849</v>
      </c>
      <c r="O144" s="8">
        <v>277.77300000000002</v>
      </c>
      <c r="P144" s="8">
        <v>272.07499999999999</v>
      </c>
      <c r="Q144" s="8">
        <v>97.898800000000008</v>
      </c>
      <c r="R144" s="8">
        <v>1.0696000000000001</v>
      </c>
      <c r="S144" s="8">
        <v>0.80851799999999996</v>
      </c>
      <c r="T144" s="7">
        <f>C144-D144</f>
        <v>8.2096616677368743</v>
      </c>
      <c r="U144" s="8">
        <f>D144/C144</f>
        <v>0.26124772345408853</v>
      </c>
      <c r="V144" s="8">
        <v>15.527974312189826</v>
      </c>
      <c r="W144" s="8">
        <v>10.089876680960458</v>
      </c>
      <c r="X144" s="8">
        <v>0.52047340909496931</v>
      </c>
      <c r="Y144" s="8">
        <v>50.137087151888821</v>
      </c>
      <c r="Z144" s="8">
        <v>25.95486601646779</v>
      </c>
      <c r="AA144" s="7">
        <v>24.033354853713739</v>
      </c>
      <c r="AB144" s="7">
        <v>17.704445578745609</v>
      </c>
      <c r="AC144" s="7">
        <v>0.56010509104796613</v>
      </c>
      <c r="AD144" s="7">
        <v>51.793292490049332</v>
      </c>
      <c r="AE144" s="7">
        <v>35.302865824239319</v>
      </c>
      <c r="AF144" s="8">
        <v>34.566197789440061</v>
      </c>
      <c r="AG144" s="8">
        <v>28.321438678801869</v>
      </c>
      <c r="AH144" s="8">
        <v>0.61760739699723977</v>
      </c>
      <c r="AI144" s="8">
        <v>54.978180171588868</v>
      </c>
      <c r="AJ144" s="8">
        <v>47.759456188091328</v>
      </c>
      <c r="AK144" s="8">
        <v>32.323756414178924</v>
      </c>
      <c r="AL144" s="8">
        <v>25.0006568598588</v>
      </c>
      <c r="AM144" s="8">
        <v>0.59784188777468739</v>
      </c>
      <c r="AN144" s="8">
        <v>53.287406253302301</v>
      </c>
      <c r="AO144" s="8">
        <v>44.321250822786297</v>
      </c>
      <c r="AP144" s="8">
        <v>23.626460848176499</v>
      </c>
      <c r="AQ144" s="8">
        <v>17.292455348136119</v>
      </c>
      <c r="AR144" s="8">
        <v>0.56497718307948064</v>
      </c>
      <c r="AS144" s="8">
        <v>51.265838569586514</v>
      </c>
      <c r="AT144" s="8">
        <v>33.824131567012472</v>
      </c>
      <c r="AU144" s="8">
        <v>25.446725774362331</v>
      </c>
      <c r="AV144" s="8">
        <v>20.149702903184409</v>
      </c>
      <c r="AW144" s="8">
        <v>0.54967678552544719</v>
      </c>
      <c r="AX144" s="8">
        <v>56.428804113602837</v>
      </c>
      <c r="AY144" s="8">
        <v>36.762688014881959</v>
      </c>
      <c r="AZ144" s="8">
        <v>34.969328503175191</v>
      </c>
      <c r="BA144" s="8">
        <v>28.041971848718021</v>
      </c>
      <c r="BB144" s="8">
        <v>0.61422724297633979</v>
      </c>
      <c r="BC144" s="8">
        <v>54.247759479593917</v>
      </c>
      <c r="BD144" s="8">
        <v>47.946151337332893</v>
      </c>
      <c r="BE144" s="8">
        <v>25.09300300922952</v>
      </c>
      <c r="BF144" s="8">
        <v>21.52355196226301</v>
      </c>
      <c r="BG144" s="8">
        <v>0.56322158050609294</v>
      </c>
      <c r="BH144" s="8">
        <v>57.68263565633012</v>
      </c>
      <c r="BI144" s="8">
        <v>41.191419229689267</v>
      </c>
    </row>
    <row r="145" spans="1:61" x14ac:dyDescent="0.15">
      <c r="A145" s="7">
        <v>2023</v>
      </c>
      <c r="B145" s="7">
        <v>40</v>
      </c>
      <c r="C145" s="9">
        <v>260.55763242133906</v>
      </c>
      <c r="D145" s="7">
        <v>104.48103959516516</v>
      </c>
      <c r="E145" s="8">
        <v>23.660586716108199</v>
      </c>
      <c r="F145" s="8">
        <v>15.715170745199281</v>
      </c>
      <c r="G145" s="8">
        <v>0.54045208554121893</v>
      </c>
      <c r="H145" s="8">
        <v>61.00954025838449</v>
      </c>
      <c r="I145" s="8">
        <v>39.589985570346421</v>
      </c>
      <c r="J145" s="8">
        <v>23.237336461780629</v>
      </c>
      <c r="K145" s="8">
        <v>16.559474791172502</v>
      </c>
      <c r="L145" s="8">
        <v>0.57099213549244632</v>
      </c>
      <c r="M145" s="8">
        <v>58.327803933147131</v>
      </c>
      <c r="N145" s="8">
        <v>39.145490599284813</v>
      </c>
      <c r="O145" s="7">
        <v>280.03800000000001</v>
      </c>
      <c r="P145" s="7">
        <v>272.505</v>
      </c>
      <c r="Q145" s="7">
        <v>99.075600000000009</v>
      </c>
      <c r="R145" s="7">
        <v>1.3346899999999999</v>
      </c>
      <c r="S145" s="7">
        <v>0.89654699999999998</v>
      </c>
      <c r="T145" s="7">
        <f>C145-D145</f>
        <v>156.07659282617391</v>
      </c>
      <c r="U145" s="8">
        <f>D145/C145</f>
        <v>0.40099013267902417</v>
      </c>
      <c r="V145" s="8">
        <v>8.4659881119693097</v>
      </c>
      <c r="W145" s="8">
        <v>2.4289580562275326</v>
      </c>
      <c r="X145" s="8">
        <v>0.40070466528745985</v>
      </c>
      <c r="Y145" s="8">
        <v>67.021019474584079</v>
      </c>
      <c r="Z145" s="8">
        <v>15.770586074249529</v>
      </c>
      <c r="AA145" s="7">
        <v>15.851662286874969</v>
      </c>
      <c r="AB145" s="7">
        <v>9.4942164237000171</v>
      </c>
      <c r="AC145" s="7">
        <v>0.48584840038995308</v>
      </c>
      <c r="AD145" s="7">
        <v>62.674411703865609</v>
      </c>
      <c r="AE145" s="7">
        <v>27.458038336767171</v>
      </c>
      <c r="AF145" s="8">
        <v>25.516481022122601</v>
      </c>
      <c r="AG145" s="8">
        <v>19.40701993386023</v>
      </c>
      <c r="AH145" s="8">
        <v>0.59958003793140535</v>
      </c>
      <c r="AI145" s="8">
        <v>57.697499683002498</v>
      </c>
      <c r="AJ145" s="8">
        <v>43.126675290389628</v>
      </c>
      <c r="AK145" s="8">
        <v>23.059608823063719</v>
      </c>
      <c r="AL145" s="8">
        <v>16.337423288536019</v>
      </c>
      <c r="AM145" s="8">
        <v>0.56876285153882855</v>
      </c>
      <c r="AN145" s="8">
        <v>58.376955043612313</v>
      </c>
      <c r="AO145" s="8">
        <v>38.835037911571241</v>
      </c>
      <c r="AP145" s="8">
        <v>14.973327051678041</v>
      </c>
      <c r="AQ145" s="8">
        <v>8.5835294153546791</v>
      </c>
      <c r="AR145" s="8">
        <v>0.47922949045700641</v>
      </c>
      <c r="AS145" s="8">
        <v>63.597320057806833</v>
      </c>
      <c r="AT145" s="8">
        <v>26.064261229364629</v>
      </c>
      <c r="AU145" s="8">
        <v>14.97148698136802</v>
      </c>
      <c r="AV145" s="8">
        <v>10.19940503694861</v>
      </c>
      <c r="AW145" s="8">
        <v>0.49023569420925062</v>
      </c>
      <c r="AX145" s="8">
        <v>57.611024109946271</v>
      </c>
      <c r="AY145" s="8">
        <v>27.26538963178394</v>
      </c>
      <c r="AZ145" s="8">
        <v>20.846883357964369</v>
      </c>
      <c r="BA145" s="8">
        <v>14.7817838909488</v>
      </c>
      <c r="BB145" s="8">
        <v>0.53787664106912325</v>
      </c>
      <c r="BC145" s="8">
        <v>56.18358839633796</v>
      </c>
      <c r="BD145" s="8">
        <v>35.459842826806202</v>
      </c>
      <c r="BE145" s="8">
        <v>14.54644059528435</v>
      </c>
      <c r="BF145" s="8">
        <v>11.65548142663161</v>
      </c>
      <c r="BG145" s="8">
        <v>0.434457154945456</v>
      </c>
      <c r="BH145" s="8">
        <v>57.674984201135892</v>
      </c>
      <c r="BI145" s="8">
        <v>27.808994170103311</v>
      </c>
    </row>
    <row r="146" spans="1:61" x14ac:dyDescent="0.15">
      <c r="A146" s="7">
        <v>2023</v>
      </c>
      <c r="B146" s="7">
        <v>34</v>
      </c>
      <c r="C146" s="9">
        <v>181.84406305421706</v>
      </c>
      <c r="D146" s="7">
        <v>12.488988845619584</v>
      </c>
      <c r="E146" s="8">
        <v>18.681717597047509</v>
      </c>
      <c r="F146" s="8">
        <v>16.774467657141319</v>
      </c>
      <c r="G146" s="8">
        <v>0.54085492339269603</v>
      </c>
      <c r="H146" s="8">
        <v>67.421785294111928</v>
      </c>
      <c r="I146" s="8">
        <v>31.98685863278525</v>
      </c>
      <c r="J146" s="8">
        <v>20.42895869014739</v>
      </c>
      <c r="K146" s="8">
        <v>28.87184478738379</v>
      </c>
      <c r="L146" s="8">
        <v>0.54478850248816779</v>
      </c>
      <c r="M146" s="8">
        <v>67.680926937883498</v>
      </c>
      <c r="N146" s="8">
        <v>39.156010490323567</v>
      </c>
      <c r="O146" s="7">
        <v>291.67500000000001</v>
      </c>
      <c r="P146" s="7">
        <v>286.017</v>
      </c>
      <c r="Q146" s="7">
        <v>99.912999999999997</v>
      </c>
      <c r="R146" s="7">
        <v>-0.38758700000000001</v>
      </c>
      <c r="S146" s="7">
        <v>-0.36825200000000002</v>
      </c>
      <c r="T146" s="7">
        <f>C146-D146</f>
        <v>169.35507420859747</v>
      </c>
      <c r="U146" s="8">
        <f>D146/C146</f>
        <v>6.8679662320875301E-2</v>
      </c>
      <c r="V146" s="8">
        <v>18.30961742267673</v>
      </c>
      <c r="W146" s="8">
        <v>14.05168832532463</v>
      </c>
      <c r="X146" s="8">
        <v>0.52974770529216553</v>
      </c>
      <c r="Y146" s="8">
        <v>68.93073123815438</v>
      </c>
      <c r="Z146" s="8">
        <v>31.11728516273206</v>
      </c>
      <c r="AA146" s="7">
        <v>19.36928805641206</v>
      </c>
      <c r="AB146" s="7">
        <v>21.46176655635421</v>
      </c>
      <c r="AC146" s="7">
        <v>0.53726810389016666</v>
      </c>
      <c r="AD146" s="7">
        <v>68.305829088018939</v>
      </c>
      <c r="AE146" s="7">
        <v>35.136647826527813</v>
      </c>
      <c r="AF146" s="8">
        <v>20.568446809971771</v>
      </c>
      <c r="AG146" s="8">
        <v>29.551648387220109</v>
      </c>
      <c r="AH146" s="8">
        <v>0.55251935843298805</v>
      </c>
      <c r="AI146" s="8">
        <v>66.655410251044941</v>
      </c>
      <c r="AJ146" s="8">
        <v>39.688207214041562</v>
      </c>
      <c r="AK146" s="8">
        <v>20.412238768104089</v>
      </c>
      <c r="AL146" s="8">
        <v>28.790359258664029</v>
      </c>
      <c r="AM146" s="8">
        <v>0.54386183354397322</v>
      </c>
      <c r="AN146" s="8">
        <v>67.803851808328616</v>
      </c>
      <c r="AO146" s="8">
        <v>39.092218048763208</v>
      </c>
      <c r="AP146" s="8">
        <v>20.346114107604681</v>
      </c>
      <c r="AQ146" s="8">
        <v>27.179930240688289</v>
      </c>
      <c r="AR146" s="8">
        <v>0.52025061394443295</v>
      </c>
      <c r="AS146" s="8">
        <v>72.847233256981454</v>
      </c>
      <c r="AT146" s="8">
        <v>39.298963112854373</v>
      </c>
      <c r="AU146" s="8">
        <v>17.29033235590472</v>
      </c>
      <c r="AV146" s="8">
        <v>17.012781512699721</v>
      </c>
      <c r="AW146" s="8">
        <v>0.48225587915435009</v>
      </c>
      <c r="AX146" s="8">
        <v>66.688218265723648</v>
      </c>
      <c r="AY146" s="8">
        <v>32.179692128396617</v>
      </c>
      <c r="AZ146" s="8">
        <v>20.345633975695819</v>
      </c>
      <c r="BA146" s="8">
        <v>29.66451126795684</v>
      </c>
      <c r="BB146" s="8">
        <v>0.55487845177430239</v>
      </c>
      <c r="BC146" s="8">
        <v>63.641133328118478</v>
      </c>
      <c r="BD146" s="8">
        <v>39.940892022611841</v>
      </c>
      <c r="BE146" s="8">
        <v>25.453074343993048</v>
      </c>
      <c r="BF146" s="8">
        <v>29.129576545155182</v>
      </c>
      <c r="BG146" s="8">
        <v>0.60960844874100228</v>
      </c>
      <c r="BH146" s="8">
        <v>63.31100729182085</v>
      </c>
      <c r="BI146" s="8">
        <v>54.372212877372853</v>
      </c>
    </row>
    <row r="147" spans="1:61" x14ac:dyDescent="0.15">
      <c r="A147" s="7">
        <v>2023</v>
      </c>
      <c r="B147" s="7">
        <v>22</v>
      </c>
      <c r="C147" s="9">
        <v>330.27018323604619</v>
      </c>
      <c r="D147" s="7">
        <v>243.23613474645074</v>
      </c>
      <c r="E147" s="8">
        <v>28.68340983384741</v>
      </c>
      <c r="F147" s="8">
        <v>15.95875894373944</v>
      </c>
      <c r="G147" s="8">
        <v>0.54199378391259267</v>
      </c>
      <c r="H147" s="8">
        <v>73.116808124870147</v>
      </c>
      <c r="I147" s="8">
        <v>52.521629202935522</v>
      </c>
      <c r="J147" s="8">
        <v>33.795725769944987</v>
      </c>
      <c r="K147" s="8">
        <v>24.09263590323939</v>
      </c>
      <c r="L147" s="8">
        <v>0.60324751491628492</v>
      </c>
      <c r="M147" s="8">
        <v>69.310726857489584</v>
      </c>
      <c r="N147" s="8">
        <v>77.144810013229915</v>
      </c>
      <c r="O147" s="7">
        <v>286.584</v>
      </c>
      <c r="P147" s="7">
        <v>279.63200000000001</v>
      </c>
      <c r="Q147" s="7">
        <v>92.307500000000005</v>
      </c>
      <c r="R147" s="7">
        <v>-0.14842</v>
      </c>
      <c r="S147" s="7">
        <v>-0.15140400000000001</v>
      </c>
      <c r="T147" s="7">
        <f>C147-D147</f>
        <v>87.034048489595449</v>
      </c>
      <c r="U147" s="8">
        <f>D147/C147</f>
        <v>0.73647621581572909</v>
      </c>
      <c r="V147" s="8">
        <v>27.056380848805851</v>
      </c>
      <c r="W147" s="8">
        <v>12.529753349999588</v>
      </c>
      <c r="X147" s="8">
        <v>0.49054835221551729</v>
      </c>
      <c r="Y147" s="8">
        <v>74.908493234236118</v>
      </c>
      <c r="Z147" s="8">
        <v>49.538862778688326</v>
      </c>
      <c r="AA147" s="7">
        <v>30.426053309375419</v>
      </c>
      <c r="AB147" s="7">
        <v>18.311194626619489</v>
      </c>
      <c r="AC147" s="7">
        <v>0.54689793356590111</v>
      </c>
      <c r="AD147" s="7">
        <v>72.109610045862851</v>
      </c>
      <c r="AE147" s="7">
        <v>63.34183639595912</v>
      </c>
      <c r="AF147" s="8">
        <v>32.872641491468187</v>
      </c>
      <c r="AG147" s="8">
        <v>23.522475997051661</v>
      </c>
      <c r="AH147" s="8">
        <v>0.61501071907724614</v>
      </c>
      <c r="AI147" s="8">
        <v>69.237090683310456</v>
      </c>
      <c r="AJ147" s="8">
        <v>74.179764939410049</v>
      </c>
      <c r="AK147" s="8">
        <v>33.890160769315017</v>
      </c>
      <c r="AL147" s="8">
        <v>24.150965409696251</v>
      </c>
      <c r="AM147" s="8">
        <v>0.60204409481323362</v>
      </c>
      <c r="AN147" s="8">
        <v>69.318260115529355</v>
      </c>
      <c r="AO147" s="8">
        <v>77.448145294966366</v>
      </c>
      <c r="AP147" s="8">
        <v>31.315085608400469</v>
      </c>
      <c r="AQ147" s="8">
        <v>19.083656660738601</v>
      </c>
      <c r="AR147" s="8">
        <v>0.53214593942610855</v>
      </c>
      <c r="AS147" s="8">
        <v>72.026679366401893</v>
      </c>
      <c r="AT147" s="8">
        <v>72.378313162662224</v>
      </c>
      <c r="AU147" s="8">
        <v>30.28035733672365</v>
      </c>
      <c r="AV147" s="8">
        <v>16.610281163382101</v>
      </c>
      <c r="AW147" s="8">
        <v>0.51551838043756026</v>
      </c>
      <c r="AX147" s="8">
        <v>71.513202885545269</v>
      </c>
      <c r="AY147" s="8">
        <v>62.400026813343452</v>
      </c>
      <c r="AZ147" s="8">
        <v>34.460079971805051</v>
      </c>
      <c r="BA147" s="8">
        <v>24.76967426630371</v>
      </c>
      <c r="BB147" s="8">
        <v>0.59824964192040953</v>
      </c>
      <c r="BC147" s="8">
        <v>68.646122272376218</v>
      </c>
      <c r="BD147" s="8">
        <v>78.879590356816536</v>
      </c>
      <c r="BE147" s="8">
        <v>34.357147870326607</v>
      </c>
      <c r="BF147" s="8">
        <v>27.428320563091081</v>
      </c>
      <c r="BG147" s="8">
        <v>0.63073660251039843</v>
      </c>
      <c r="BH147" s="8">
        <v>62.730275212904743</v>
      </c>
      <c r="BI147" s="8">
        <v>70.729778928767658</v>
      </c>
    </row>
    <row r="148" spans="1:61" x14ac:dyDescent="0.15">
      <c r="A148" s="7">
        <v>2023</v>
      </c>
      <c r="B148" s="7">
        <v>75</v>
      </c>
      <c r="C148" s="9">
        <v>47.113140230427732</v>
      </c>
      <c r="D148" s="7">
        <v>30.029849812588772</v>
      </c>
      <c r="E148" s="8">
        <v>34.600915913071518</v>
      </c>
      <c r="F148" s="8">
        <v>25.602453657181769</v>
      </c>
      <c r="G148" s="8">
        <v>0.54296153857086527</v>
      </c>
      <c r="H148" s="8">
        <v>77.869550198433387</v>
      </c>
      <c r="I148" s="8">
        <v>62.502158594259669</v>
      </c>
      <c r="J148" s="8">
        <v>31.85895414776283</v>
      </c>
      <c r="K148" s="8">
        <v>25.53990772858997</v>
      </c>
      <c r="L148" s="8">
        <v>0.51098305033611013</v>
      </c>
      <c r="M148" s="8">
        <v>79.22625106487358</v>
      </c>
      <c r="N148" s="8">
        <v>60.856705982204403</v>
      </c>
      <c r="O148" s="7">
        <v>288.77600000000001</v>
      </c>
      <c r="P148" s="7">
        <v>282.286</v>
      </c>
      <c r="Q148" s="7">
        <v>101.426</v>
      </c>
      <c r="R148" s="7">
        <v>-0.45386100000000001</v>
      </c>
      <c r="S148" s="7">
        <v>-8.7605799999999998E-2</v>
      </c>
      <c r="T148" s="7">
        <f>C148-D148</f>
        <v>17.08329041783896</v>
      </c>
      <c r="U148" s="8">
        <f>D148/C148</f>
        <v>0.63739860399273873</v>
      </c>
      <c r="V148" s="8">
        <v>31.789982407378147</v>
      </c>
      <c r="W148" s="8">
        <v>23.293951805743813</v>
      </c>
      <c r="X148" s="8">
        <v>0.52957281743086826</v>
      </c>
      <c r="Y148" s="8">
        <v>78.29553269958727</v>
      </c>
      <c r="Z148" s="8">
        <v>59.626928911857476</v>
      </c>
      <c r="AA148" s="7">
        <v>31.824468277570489</v>
      </c>
      <c r="AB148" s="7">
        <v>24.416929767166891</v>
      </c>
      <c r="AC148" s="7">
        <v>0.5202779338834892</v>
      </c>
      <c r="AD148" s="7">
        <v>78.760891882230425</v>
      </c>
      <c r="AE148" s="7">
        <v>60.24181744703094</v>
      </c>
      <c r="AF148" s="8">
        <v>33.201093135669211</v>
      </c>
      <c r="AG148" s="8">
        <v>25.825217224004721</v>
      </c>
      <c r="AH148" s="8">
        <v>0.52370992454598586</v>
      </c>
      <c r="AI148" s="8">
        <v>77.662845007959859</v>
      </c>
      <c r="AJ148" s="8">
        <v>63.458224386052137</v>
      </c>
      <c r="AK148" s="8">
        <v>31.769217649719391</v>
      </c>
      <c r="AL148" s="8">
        <v>25.520831705012871</v>
      </c>
      <c r="AM148" s="8">
        <v>0.51013212123493346</v>
      </c>
      <c r="AN148" s="8">
        <v>79.330781658077044</v>
      </c>
      <c r="AO148" s="8">
        <v>60.682766358022093</v>
      </c>
      <c r="AP148" s="8">
        <v>31.877322764553991</v>
      </c>
      <c r="AQ148" s="8">
        <v>24.532851316585759</v>
      </c>
      <c r="AR148" s="8">
        <v>0.52396135645345676</v>
      </c>
      <c r="AS148" s="8">
        <v>79.383879157357555</v>
      </c>
      <c r="AT148" s="8">
        <v>59.754334338374051</v>
      </c>
      <c r="AU148" s="8">
        <v>30.501399849185841</v>
      </c>
      <c r="AV148" s="8">
        <v>24.459577285736948</v>
      </c>
      <c r="AW148" s="8">
        <v>0.50592139128972013</v>
      </c>
      <c r="AX148" s="8">
        <v>78.423373416361599</v>
      </c>
      <c r="AY148" s="8">
        <v>61.599725603903067</v>
      </c>
      <c r="AZ148" s="8">
        <v>31.61105389343912</v>
      </c>
      <c r="BA148" s="8">
        <v>25.566955879570941</v>
      </c>
      <c r="BB148" s="8">
        <v>0.52384332233613573</v>
      </c>
      <c r="BC148" s="8">
        <v>79.524856457879565</v>
      </c>
      <c r="BD148" s="8">
        <v>61.175358218561513</v>
      </c>
      <c r="BE148" s="8">
        <v>31.485546864585899</v>
      </c>
      <c r="BF148" s="8">
        <v>27.590967363891419</v>
      </c>
      <c r="BG148" s="8">
        <v>0.63598358145766543</v>
      </c>
      <c r="BH148" s="8">
        <v>67.984373118584188</v>
      </c>
      <c r="BI148" s="8">
        <v>62.059678069953883</v>
      </c>
    </row>
    <row r="149" spans="1:61" x14ac:dyDescent="0.15">
      <c r="A149" s="7">
        <v>2023</v>
      </c>
      <c r="B149" s="7">
        <v>57</v>
      </c>
      <c r="C149" s="9">
        <v>16.857399753899408</v>
      </c>
      <c r="D149" s="7">
        <v>12.057872074350202</v>
      </c>
      <c r="E149" s="8">
        <v>27.62804937860318</v>
      </c>
      <c r="F149" s="8">
        <v>26.555569636527771</v>
      </c>
      <c r="G149" s="8">
        <v>0.54350346395348659</v>
      </c>
      <c r="H149" s="8">
        <v>70.113108062636968</v>
      </c>
      <c r="I149" s="8">
        <v>49.609602941373559</v>
      </c>
      <c r="J149" s="8">
        <v>25.15585892646444</v>
      </c>
      <c r="K149" s="8">
        <v>22.47812269524902</v>
      </c>
      <c r="L149" s="8">
        <v>0.50158626616129165</v>
      </c>
      <c r="M149" s="8">
        <v>77.033631309639759</v>
      </c>
      <c r="N149" s="8">
        <v>49.417122584792487</v>
      </c>
      <c r="O149" s="7">
        <v>290.06</v>
      </c>
      <c r="P149" s="7">
        <v>284.88600000000002</v>
      </c>
      <c r="Q149" s="7">
        <v>101.425</v>
      </c>
      <c r="R149" s="7">
        <v>-0.74921499999999996</v>
      </c>
      <c r="S149" s="7">
        <v>-0.15140799999999999</v>
      </c>
      <c r="T149" s="7">
        <f>C149-D149</f>
        <v>4.7995276795492057</v>
      </c>
      <c r="U149" s="8">
        <f>D149/C149</f>
        <v>0.71528659522717952</v>
      </c>
      <c r="V149" s="8">
        <v>27.072037732779741</v>
      </c>
      <c r="W149" s="8">
        <v>22.382340509675863</v>
      </c>
      <c r="X149" s="8">
        <v>0.47905509503941957</v>
      </c>
      <c r="Y149" s="8">
        <v>76.839052688680994</v>
      </c>
      <c r="Z149" s="8">
        <v>51.47676757097846</v>
      </c>
      <c r="AA149" s="7">
        <v>26.11394832962209</v>
      </c>
      <c r="AB149" s="7">
        <v>22.430231602462442</v>
      </c>
      <c r="AC149" s="7">
        <v>0.49032068060035561</v>
      </c>
      <c r="AD149" s="7">
        <v>76.936341999160376</v>
      </c>
      <c r="AE149" s="7">
        <v>50.446945077885474</v>
      </c>
      <c r="AF149" s="8">
        <v>24.943173280057771</v>
      </c>
      <c r="AG149" s="8">
        <v>22.786237835085689</v>
      </c>
      <c r="AH149" s="8">
        <v>0.52961780676378789</v>
      </c>
      <c r="AI149" s="8">
        <v>75.827789775837957</v>
      </c>
      <c r="AJ149" s="8">
        <v>48.718080098026462</v>
      </c>
      <c r="AK149" s="8">
        <v>25.170415369392529</v>
      </c>
      <c r="AL149" s="8">
        <v>22.457034951322321</v>
      </c>
      <c r="AM149" s="8">
        <v>0.49966775624837478</v>
      </c>
      <c r="AN149" s="8">
        <v>77.116160449540104</v>
      </c>
      <c r="AO149" s="8">
        <v>49.464965832490819</v>
      </c>
      <c r="AP149" s="8">
        <v>26.166549781575309</v>
      </c>
      <c r="AQ149" s="8">
        <v>22.346750592606831</v>
      </c>
      <c r="AR149" s="8">
        <v>0.48665087094958831</v>
      </c>
      <c r="AS149" s="8">
        <v>78.537189256253242</v>
      </c>
      <c r="AT149" s="8">
        <v>50.370516126021371</v>
      </c>
      <c r="AU149" s="8">
        <v>26.833443266114099</v>
      </c>
      <c r="AV149" s="8">
        <v>26.03746990775986</v>
      </c>
      <c r="AW149" s="8">
        <v>0.58803029845649557</v>
      </c>
      <c r="AX149" s="8">
        <v>69.923226188400264</v>
      </c>
      <c r="AY149" s="8">
        <v>57.025863363868439</v>
      </c>
      <c r="AZ149" s="8">
        <v>25.610319374242149</v>
      </c>
      <c r="BA149" s="8">
        <v>22.570436027217891</v>
      </c>
      <c r="BB149" s="8">
        <v>0.5040385235006356</v>
      </c>
      <c r="BC149" s="8">
        <v>75.515643280410956</v>
      </c>
      <c r="BD149" s="8">
        <v>50.723942702702132</v>
      </c>
      <c r="BE149" s="8">
        <v>26.667087406556728</v>
      </c>
      <c r="BF149" s="8">
        <v>23.33941327479064</v>
      </c>
      <c r="BG149" s="8">
        <v>0.48966735891817509</v>
      </c>
      <c r="BH149" s="8">
        <v>70.966101081843604</v>
      </c>
      <c r="BI149" s="8">
        <v>57.700686856611263</v>
      </c>
    </row>
    <row r="150" spans="1:61" x14ac:dyDescent="0.15">
      <c r="A150" s="7">
        <v>2018</v>
      </c>
      <c r="B150" s="7">
        <v>47</v>
      </c>
      <c r="C150" s="7">
        <v>8.3927476148962405</v>
      </c>
      <c r="D150" s="7">
        <v>1.4786056446483973</v>
      </c>
      <c r="E150" s="8">
        <v>21.86380653784575</v>
      </c>
      <c r="F150" s="8">
        <v>12.627477121283841</v>
      </c>
      <c r="G150" s="8">
        <v>0.54388855712502671</v>
      </c>
      <c r="H150" s="8">
        <v>75.238237566351756</v>
      </c>
      <c r="I150" s="8">
        <v>34.247852846570581</v>
      </c>
      <c r="J150" s="8">
        <v>26.419110299205538</v>
      </c>
      <c r="K150" s="8">
        <v>19.767801605961871</v>
      </c>
      <c r="L150" s="8">
        <v>0.63401578039354245</v>
      </c>
      <c r="M150" s="8">
        <v>69.010857268623042</v>
      </c>
      <c r="N150" s="8">
        <v>44.658087478776942</v>
      </c>
      <c r="O150" s="8">
        <v>294.07600000000002</v>
      </c>
      <c r="P150" s="8">
        <v>289.82100000000003</v>
      </c>
      <c r="Q150" s="8">
        <v>97.427000000000007</v>
      </c>
      <c r="R150" s="8">
        <v>-0.83186000000000004</v>
      </c>
      <c r="S150" s="8">
        <v>-0.53886299999999998</v>
      </c>
      <c r="T150" s="7">
        <f>C150-D150</f>
        <v>6.9141419702478437</v>
      </c>
      <c r="U150" s="8">
        <f>D150/C150</f>
        <v>0.17617658870427944</v>
      </c>
      <c r="V150" s="8">
        <v>22.233233412414645</v>
      </c>
      <c r="W150" s="8">
        <v>11.694345906312627</v>
      </c>
      <c r="X150" s="8">
        <v>0.55042425574441678</v>
      </c>
      <c r="Y150" s="8">
        <v>75.680426785139176</v>
      </c>
      <c r="Z150" s="8">
        <v>33.277741962601773</v>
      </c>
      <c r="AA150" s="7">
        <v>24.326171855810092</v>
      </c>
      <c r="AB150" s="7">
        <v>15.731073756137249</v>
      </c>
      <c r="AC150" s="7">
        <v>0.59222001806897961</v>
      </c>
      <c r="AD150" s="7">
        <v>72.345642026881109</v>
      </c>
      <c r="AE150" s="7">
        <v>38.967914720689357</v>
      </c>
      <c r="AF150" s="8">
        <v>26.10367746844442</v>
      </c>
      <c r="AG150" s="8">
        <v>18.48308018856034</v>
      </c>
      <c r="AH150" s="8">
        <v>0.62837956309185905</v>
      </c>
      <c r="AI150" s="8">
        <v>69.039772390193846</v>
      </c>
      <c r="AJ150" s="8">
        <v>45.128339167285219</v>
      </c>
      <c r="AK150" s="8">
        <v>26.479206985001252</v>
      </c>
      <c r="AL150" s="8">
        <v>20.01256845274288</v>
      </c>
      <c r="AM150" s="8">
        <v>0.6350896000699483</v>
      </c>
      <c r="AN150" s="8">
        <v>69.005348320896843</v>
      </c>
      <c r="AO150" s="8">
        <v>44.568494496648228</v>
      </c>
      <c r="AP150" s="8">
        <v>27.83728017230586</v>
      </c>
      <c r="AQ150" s="8">
        <v>19.564824967590749</v>
      </c>
      <c r="AR150" s="8">
        <v>0.60456003953639315</v>
      </c>
      <c r="AS150" s="8">
        <v>68.236676281373889</v>
      </c>
      <c r="AT150" s="8">
        <v>46.866534351659602</v>
      </c>
      <c r="AU150" s="8">
        <v>22.859065061727652</v>
      </c>
      <c r="AV150" s="8">
        <v>18.744208634890839</v>
      </c>
      <c r="AW150" s="8">
        <v>0.61445885357655505</v>
      </c>
      <c r="AX150" s="8">
        <v>70.283690668093342</v>
      </c>
      <c r="AY150" s="8">
        <v>41.099470617402638</v>
      </c>
      <c r="AZ150" s="8">
        <v>26.67571922524175</v>
      </c>
      <c r="BA150" s="8">
        <v>22.206399705339521</v>
      </c>
      <c r="BB150" s="8">
        <v>0.66813438570615158</v>
      </c>
      <c r="BC150" s="8">
        <v>68.368208457570987</v>
      </c>
      <c r="BD150" s="8">
        <v>45.64281564389286</v>
      </c>
      <c r="BE150" s="8">
        <v>25.00337736795035</v>
      </c>
      <c r="BF150" s="8">
        <v>21.897815267392811</v>
      </c>
      <c r="BG150" s="8">
        <v>0.72546729663661735</v>
      </c>
      <c r="BH150" s="8">
        <v>66.935780376274423</v>
      </c>
      <c r="BI150" s="8">
        <v>43.307295732848701</v>
      </c>
    </row>
    <row r="151" spans="1:61" x14ac:dyDescent="0.15">
      <c r="A151" s="7">
        <v>2022</v>
      </c>
      <c r="B151" s="7">
        <v>96</v>
      </c>
      <c r="C151" s="7">
        <v>95.159501079909845</v>
      </c>
      <c r="D151" s="7">
        <v>7.7905176207458826</v>
      </c>
      <c r="E151" s="8">
        <v>25.353780878650038</v>
      </c>
      <c r="F151" s="8">
        <v>19.884195226594638</v>
      </c>
      <c r="G151" s="8">
        <v>0.54438291182502574</v>
      </c>
      <c r="H151" s="8">
        <v>71.278567437179561</v>
      </c>
      <c r="I151" s="8">
        <v>41.829717931993343</v>
      </c>
      <c r="J151" s="8">
        <v>27.49356684537165</v>
      </c>
      <c r="K151" s="8">
        <v>19.277311914379329</v>
      </c>
      <c r="L151" s="8">
        <v>0.57952561698451677</v>
      </c>
      <c r="M151" s="8">
        <v>78.800256183070857</v>
      </c>
      <c r="N151" s="8">
        <v>48.64701217373031</v>
      </c>
      <c r="O151" s="8">
        <v>286.07900000000001</v>
      </c>
      <c r="P151" s="8">
        <v>280.33</v>
      </c>
      <c r="Q151" s="8">
        <v>100.989</v>
      </c>
      <c r="R151" s="8">
        <v>0.86887899999999996</v>
      </c>
      <c r="S151" s="8">
        <v>-0.26535300000000001</v>
      </c>
      <c r="T151" s="7">
        <f>C151-D151</f>
        <v>87.368983459163957</v>
      </c>
      <c r="U151" s="8">
        <f>D151/C151</f>
        <v>8.1867995652938785E-2</v>
      </c>
      <c r="V151" s="8">
        <v>33.02178078296653</v>
      </c>
      <c r="W151" s="8">
        <v>22.879356128952669</v>
      </c>
      <c r="X151" s="8">
        <v>0.61577715437103697</v>
      </c>
      <c r="Y151" s="8">
        <v>70.734117399775883</v>
      </c>
      <c r="Z151" s="8">
        <v>53.822067987494016</v>
      </c>
      <c r="AA151" s="7">
        <v>30.257673814169092</v>
      </c>
      <c r="AB151" s="7">
        <v>21.078334021665999</v>
      </c>
      <c r="AC151" s="7">
        <v>0.59765138567777687</v>
      </c>
      <c r="AD151" s="7">
        <v>74.76718679142337</v>
      </c>
      <c r="AE151" s="7">
        <v>51.234540080612163</v>
      </c>
      <c r="AF151" s="8">
        <v>26.840881977680159</v>
      </c>
      <c r="AG151" s="8">
        <v>19.061915014869349</v>
      </c>
      <c r="AH151" s="8">
        <v>0.60675574220089401</v>
      </c>
      <c r="AI151" s="8">
        <v>80.239759079610806</v>
      </c>
      <c r="AJ151" s="8">
        <v>45.177721939262312</v>
      </c>
      <c r="AK151" s="8">
        <v>27.5359628004508</v>
      </c>
      <c r="AL151" s="8">
        <v>19.291303287134941</v>
      </c>
      <c r="AM151" s="8">
        <v>0.57775685042868019</v>
      </c>
      <c r="AN151" s="8">
        <v>78.706751487069738</v>
      </c>
      <c r="AO151" s="8">
        <v>48.872364223728489</v>
      </c>
      <c r="AP151" s="8">
        <v>32.214868990188862</v>
      </c>
      <c r="AQ151" s="8">
        <v>20.56160400478397</v>
      </c>
      <c r="AR151" s="8">
        <v>0.58191653637610163</v>
      </c>
      <c r="AS151" s="8">
        <v>75.769965005965872</v>
      </c>
      <c r="AT151" s="8">
        <v>54.081018123186503</v>
      </c>
      <c r="AU151" s="8">
        <v>33.753900347404389</v>
      </c>
      <c r="AV151" s="8">
        <v>23.007839862552569</v>
      </c>
      <c r="AW151" s="8">
        <v>0.62524052495716342</v>
      </c>
      <c r="AX151" s="8">
        <v>70.02483519782092</v>
      </c>
      <c r="AY151" s="8">
        <v>55.772085128694719</v>
      </c>
      <c r="AZ151" s="8">
        <v>29.763469930424488</v>
      </c>
      <c r="BA151" s="8">
        <v>20.54889450747638</v>
      </c>
      <c r="BB151" s="8">
        <v>0.59729983278025656</v>
      </c>
      <c r="BC151" s="8">
        <v>77.644057939914887</v>
      </c>
      <c r="BD151" s="8">
        <v>51.983599900124467</v>
      </c>
      <c r="BE151" s="8">
        <v>28.25734108859179</v>
      </c>
      <c r="BF151" s="8">
        <v>25.741915103154589</v>
      </c>
      <c r="BG151" s="8">
        <v>0.5911541764503444</v>
      </c>
      <c r="BH151" s="8">
        <v>68.224119899135999</v>
      </c>
      <c r="BI151" s="8">
        <v>50.679432075712533</v>
      </c>
    </row>
    <row r="152" spans="1:61" x14ac:dyDescent="0.15">
      <c r="A152" s="7">
        <v>2023</v>
      </c>
      <c r="B152" s="7">
        <v>10</v>
      </c>
      <c r="C152" s="9">
        <v>331.84487372113489</v>
      </c>
      <c r="D152" s="7">
        <v>75.807366706203425</v>
      </c>
      <c r="E152" s="8">
        <v>27.719890972256369</v>
      </c>
      <c r="F152" s="8">
        <v>26.255069636127331</v>
      </c>
      <c r="G152" s="8">
        <v>0.54460603554551923</v>
      </c>
      <c r="H152" s="8">
        <v>69.67822504003405</v>
      </c>
      <c r="I152" s="8">
        <v>50.427287826426223</v>
      </c>
      <c r="J152" s="8">
        <v>27.09271242302454</v>
      </c>
      <c r="K152" s="8">
        <v>24.206953966514121</v>
      </c>
      <c r="L152" s="8">
        <v>0.52463479383987555</v>
      </c>
      <c r="M152" s="8">
        <v>74.745557578260616</v>
      </c>
      <c r="N152" s="8">
        <v>53.437585160249149</v>
      </c>
      <c r="O152" s="7">
        <v>290.11500000000001</v>
      </c>
      <c r="P152" s="7">
        <v>284.79399999999998</v>
      </c>
      <c r="Q152" s="7">
        <v>101.30500000000001</v>
      </c>
      <c r="R152" s="7">
        <v>-0.79889900000000003</v>
      </c>
      <c r="S152" s="7">
        <v>-0.16239400000000001</v>
      </c>
      <c r="T152" s="7">
        <f>C152-D152</f>
        <v>256.03750701493146</v>
      </c>
      <c r="U152" s="8">
        <f>D152/C152</f>
        <v>0.22844218099902902</v>
      </c>
      <c r="V152" s="8">
        <v>27.661775549440659</v>
      </c>
      <c r="W152" s="8">
        <v>22.731619865309241</v>
      </c>
      <c r="X152" s="8">
        <v>0.48510849635560327</v>
      </c>
      <c r="Y152" s="8">
        <v>76.208617599905153</v>
      </c>
      <c r="Z152" s="8">
        <v>53.830694947076786</v>
      </c>
      <c r="AA152" s="7">
        <v>27.3772439862326</v>
      </c>
      <c r="AB152" s="7">
        <v>23.469286915911681</v>
      </c>
      <c r="AC152" s="7">
        <v>0.50487164509773941</v>
      </c>
      <c r="AD152" s="7">
        <v>75.477087589082885</v>
      </c>
      <c r="AE152" s="7">
        <v>53.634140053662968</v>
      </c>
      <c r="AF152" s="8">
        <v>26.860633318582479</v>
      </c>
      <c r="AG152" s="8">
        <v>24.409113333217832</v>
      </c>
      <c r="AH152" s="8">
        <v>0.54691088529077658</v>
      </c>
      <c r="AI152" s="8">
        <v>73.716721052718384</v>
      </c>
      <c r="AJ152" s="8">
        <v>52.842807946552732</v>
      </c>
      <c r="AK152" s="8">
        <v>27.114978234016181</v>
      </c>
      <c r="AL152" s="8">
        <v>24.187558673430601</v>
      </c>
      <c r="AM152" s="8">
        <v>0.52249761202391398</v>
      </c>
      <c r="AN152" s="8">
        <v>74.844264782746293</v>
      </c>
      <c r="AO152" s="8">
        <v>53.494648449312322</v>
      </c>
      <c r="AP152" s="8">
        <v>27.583061412296601</v>
      </c>
      <c r="AQ152" s="8">
        <v>23.12846630900712</v>
      </c>
      <c r="AR152" s="8">
        <v>0.49713077363409941</v>
      </c>
      <c r="AS152" s="8">
        <v>77.262095131413759</v>
      </c>
      <c r="AT152" s="8">
        <v>53.931831859801363</v>
      </c>
      <c r="AU152" s="8">
        <v>27.322984951525601</v>
      </c>
      <c r="AV152" s="8">
        <v>25.021683409307251</v>
      </c>
      <c r="AW152" s="8">
        <v>0.55670891882255535</v>
      </c>
      <c r="AX152" s="8">
        <v>70.767891308975265</v>
      </c>
      <c r="AY152" s="8">
        <v>54.704549729797151</v>
      </c>
      <c r="AZ152" s="8">
        <v>27.267607187479221</v>
      </c>
      <c r="BA152" s="8">
        <v>23.93427390475566</v>
      </c>
      <c r="BB152" s="8">
        <v>0.51899475454030763</v>
      </c>
      <c r="BC152" s="8">
        <v>74.181506808113454</v>
      </c>
      <c r="BD152" s="8">
        <v>54.129627592927527</v>
      </c>
      <c r="BE152" s="8">
        <v>28.20871766825417</v>
      </c>
      <c r="BF152" s="8">
        <v>26.848681531822049</v>
      </c>
      <c r="BG152" s="8">
        <v>0.63601928188938173</v>
      </c>
      <c r="BH152" s="8">
        <v>67.453613707131481</v>
      </c>
      <c r="BI152" s="8">
        <v>54.96055874290419</v>
      </c>
    </row>
    <row r="153" spans="1:61" x14ac:dyDescent="0.15">
      <c r="A153" s="7">
        <v>2021</v>
      </c>
      <c r="B153" s="7">
        <v>8</v>
      </c>
      <c r="C153" s="7">
        <v>253.11469895767604</v>
      </c>
      <c r="D153" s="7">
        <v>76.337843307868397</v>
      </c>
      <c r="E153" s="8">
        <v>28.67652770533801</v>
      </c>
      <c r="F153" s="8">
        <v>17.285028440115529</v>
      </c>
      <c r="G153" s="8">
        <v>0.54492849682215494</v>
      </c>
      <c r="H153" s="8">
        <v>70.122572514331537</v>
      </c>
      <c r="I153" s="8">
        <v>40.828121346989427</v>
      </c>
      <c r="J153" s="8">
        <v>34.972646396182959</v>
      </c>
      <c r="K153" s="8">
        <v>20.889961749576141</v>
      </c>
      <c r="L153" s="8">
        <v>0.61952408574059126</v>
      </c>
      <c r="M153" s="8">
        <v>66.677474056021438</v>
      </c>
      <c r="N153" s="8">
        <v>47.894413233276921</v>
      </c>
      <c r="O153" s="8">
        <v>291.26</v>
      </c>
      <c r="P153" s="8">
        <v>286.44499999999999</v>
      </c>
      <c r="Q153" s="8">
        <v>100.97799999999999</v>
      </c>
      <c r="R153" s="8">
        <v>-0.48329800000000001</v>
      </c>
      <c r="S153" s="8">
        <v>-0.65849999999999997</v>
      </c>
      <c r="T153" s="7">
        <f>C153-D153</f>
        <v>176.77685564980766</v>
      </c>
      <c r="U153" s="8">
        <f>D153/C153</f>
        <v>0.30159387669790383</v>
      </c>
      <c r="V153" s="8">
        <v>33.641245883930146</v>
      </c>
      <c r="W153" s="8">
        <v>19.377830478385921</v>
      </c>
      <c r="X153" s="8">
        <v>0.60415506089109394</v>
      </c>
      <c r="Y153" s="8">
        <v>65.552553435959808</v>
      </c>
      <c r="Z153" s="8">
        <v>44.194113186900424</v>
      </c>
      <c r="AA153" s="7">
        <v>34.306946140056553</v>
      </c>
      <c r="AB153" s="7">
        <v>20.133896113981031</v>
      </c>
      <c r="AC153" s="7">
        <v>0.6118395733158426</v>
      </c>
      <c r="AD153" s="7">
        <v>66.115013745990623</v>
      </c>
      <c r="AE153" s="7">
        <v>46.044263210088673</v>
      </c>
      <c r="AF153" s="8">
        <v>36.349115474899087</v>
      </c>
      <c r="AG153" s="8">
        <v>21.913673105640559</v>
      </c>
      <c r="AH153" s="8">
        <v>0.61750730801108089</v>
      </c>
      <c r="AI153" s="8">
        <v>64.066647924804258</v>
      </c>
      <c r="AJ153" s="8">
        <v>48.43510213672166</v>
      </c>
      <c r="AK153" s="8">
        <v>34.78124289207868</v>
      </c>
      <c r="AL153" s="8">
        <v>20.74761061087505</v>
      </c>
      <c r="AM153" s="8">
        <v>0.61980452671118524</v>
      </c>
      <c r="AN153" s="8">
        <v>67.040519821341576</v>
      </c>
      <c r="AO153" s="8">
        <v>47.819228289168947</v>
      </c>
      <c r="AP153" s="8">
        <v>34.251922750147003</v>
      </c>
      <c r="AQ153" s="8">
        <v>20.522195739739342</v>
      </c>
      <c r="AR153" s="8">
        <v>0.57772393173441472</v>
      </c>
      <c r="AS153" s="8">
        <v>65.800023852354897</v>
      </c>
      <c r="AT153" s="8">
        <v>44.585175075445818</v>
      </c>
      <c r="AU153" s="8">
        <v>33.457825389539863</v>
      </c>
      <c r="AV153" s="8">
        <v>22.68724772092348</v>
      </c>
      <c r="AW153" s="8">
        <v>0.64319150380193024</v>
      </c>
      <c r="AX153" s="8">
        <v>66.420439902462093</v>
      </c>
      <c r="AY153" s="8">
        <v>53.234292898761723</v>
      </c>
      <c r="AZ153" s="8">
        <v>34.919579057754397</v>
      </c>
      <c r="BA153" s="8">
        <v>21.597832309563721</v>
      </c>
      <c r="BB153" s="8">
        <v>0.63193608292428372</v>
      </c>
      <c r="BC153" s="8">
        <v>67.253402001094017</v>
      </c>
      <c r="BD153" s="8">
        <v>49.89540248679841</v>
      </c>
      <c r="BE153" s="8">
        <v>34.458475956713272</v>
      </c>
      <c r="BF153" s="8">
        <v>27.270601222696001</v>
      </c>
      <c r="BG153" s="8">
        <v>0.64636038278631713</v>
      </c>
      <c r="BH153" s="8">
        <v>61.473637616742288</v>
      </c>
      <c r="BI153" s="8">
        <v>61.159439048353278</v>
      </c>
    </row>
    <row r="154" spans="1:61" x14ac:dyDescent="0.15">
      <c r="A154" s="7">
        <v>2022</v>
      </c>
      <c r="B154" s="7">
        <v>7</v>
      </c>
      <c r="C154" s="7">
        <v>556.75543259082644</v>
      </c>
      <c r="D154" s="7">
        <v>379.65894435515133</v>
      </c>
      <c r="E154" s="8">
        <v>28.440247817468521</v>
      </c>
      <c r="F154" s="8">
        <v>19.676189057341841</v>
      </c>
      <c r="G154" s="8">
        <v>0.54607172434554985</v>
      </c>
      <c r="H154" s="8">
        <v>60.69445218498857</v>
      </c>
      <c r="I154" s="8">
        <v>46.056248576335364</v>
      </c>
      <c r="J154" s="8">
        <v>30.324298958594799</v>
      </c>
      <c r="K154" s="8">
        <v>24.329953694627338</v>
      </c>
      <c r="L154" s="8">
        <v>0.60767483976586978</v>
      </c>
      <c r="M154" s="8">
        <v>56.975505268010217</v>
      </c>
      <c r="N154" s="8">
        <v>46.521971599536769</v>
      </c>
      <c r="O154" s="8">
        <v>287.19</v>
      </c>
      <c r="P154" s="8">
        <v>282.89</v>
      </c>
      <c r="Q154" s="8">
        <v>87.770300000000006</v>
      </c>
      <c r="R154" s="8">
        <v>-0.19664799999999999</v>
      </c>
      <c r="S154" s="8">
        <v>-0.24051400000000001</v>
      </c>
      <c r="T154" s="7">
        <f>C154-D154</f>
        <v>177.09648823567511</v>
      </c>
      <c r="U154" s="8">
        <f>D154/C154</f>
        <v>0.68191331800469779</v>
      </c>
      <c r="V154" s="8">
        <v>29.282301338141739</v>
      </c>
      <c r="W154" s="8">
        <v>21.502810908372265</v>
      </c>
      <c r="X154" s="8">
        <v>0.54557819644358507</v>
      </c>
      <c r="Y154" s="8">
        <v>56.229131954282728</v>
      </c>
      <c r="Z154" s="8">
        <v>45.58632787276467</v>
      </c>
      <c r="AA154" s="7">
        <v>29.803300148368269</v>
      </c>
      <c r="AB154" s="7">
        <v>22.916382301499802</v>
      </c>
      <c r="AC154" s="7">
        <v>0.57662651810472743</v>
      </c>
      <c r="AD154" s="7">
        <v>56.602318611146472</v>
      </c>
      <c r="AE154" s="7">
        <v>46.05414973615072</v>
      </c>
      <c r="AF154" s="8">
        <v>29.72293482443111</v>
      </c>
      <c r="AG154" s="8">
        <v>24.423617566802559</v>
      </c>
      <c r="AH154" s="8">
        <v>0.60475290098393153</v>
      </c>
      <c r="AI154" s="8">
        <v>56.54941515487198</v>
      </c>
      <c r="AJ154" s="8">
        <v>46.967773947649107</v>
      </c>
      <c r="AK154" s="8">
        <v>30.38768312501718</v>
      </c>
      <c r="AL154" s="8">
        <v>24.320081462273521</v>
      </c>
      <c r="AM154" s="8">
        <v>0.60798281399231402</v>
      </c>
      <c r="AN154" s="8">
        <v>57.020415439914053</v>
      </c>
      <c r="AO154" s="8">
        <v>46.474983745391562</v>
      </c>
      <c r="AP154" s="8">
        <v>30.248275245157402</v>
      </c>
      <c r="AQ154" s="8">
        <v>23.566632177480141</v>
      </c>
      <c r="AR154" s="8">
        <v>0.57770565586189337</v>
      </c>
      <c r="AS154" s="8">
        <v>55.008589459218847</v>
      </c>
      <c r="AT154" s="8">
        <v>46.055462783370537</v>
      </c>
      <c r="AU154" s="8">
        <v>28.123338212157481</v>
      </c>
      <c r="AV154" s="8">
        <v>22.782020312332349</v>
      </c>
      <c r="AW154" s="8">
        <v>0.58224778610792383</v>
      </c>
      <c r="AX154" s="8">
        <v>61.840275716429659</v>
      </c>
      <c r="AY154" s="8">
        <v>41.652281515329442</v>
      </c>
      <c r="AZ154" s="8">
        <v>30.167005551518219</v>
      </c>
      <c r="BA154" s="8">
        <v>25.816317592670689</v>
      </c>
      <c r="BB154" s="8">
        <v>0.6210420221007078</v>
      </c>
      <c r="BC154" s="8">
        <v>57.486952444217088</v>
      </c>
      <c r="BD154" s="8">
        <v>46.53830438371056</v>
      </c>
      <c r="BE154" s="8">
        <v>27.147648628686991</v>
      </c>
      <c r="BF154" s="8">
        <v>26.610091035048089</v>
      </c>
      <c r="BG154" s="8">
        <v>0.72574426514768142</v>
      </c>
      <c r="BH154" s="8">
        <v>57.355987434978609</v>
      </c>
      <c r="BI154" s="8">
        <v>38.990826523787689</v>
      </c>
    </row>
    <row r="155" spans="1:61" x14ac:dyDescent="0.15">
      <c r="A155" s="7">
        <v>2022</v>
      </c>
      <c r="B155" s="7">
        <v>117</v>
      </c>
      <c r="C155" s="7">
        <v>36.479070615867592</v>
      </c>
      <c r="D155" s="7">
        <v>13.32389141983599</v>
      </c>
      <c r="E155" s="8">
        <v>30.18053112585261</v>
      </c>
      <c r="F155" s="8">
        <v>20.25182007755901</v>
      </c>
      <c r="G155" s="8">
        <v>0.54623316609421824</v>
      </c>
      <c r="H155" s="8">
        <v>60.89794702387394</v>
      </c>
      <c r="I155" s="8">
        <v>47.300696404966963</v>
      </c>
      <c r="J155" s="8">
        <v>30.698315203301739</v>
      </c>
      <c r="K155" s="8">
        <v>21.79729127659299</v>
      </c>
      <c r="L155" s="8">
        <v>0.54912365053209677</v>
      </c>
      <c r="M155" s="8">
        <v>58.270435881384053</v>
      </c>
      <c r="N155" s="8">
        <v>43.933912658061729</v>
      </c>
      <c r="O155" s="8">
        <v>289.07499999999999</v>
      </c>
      <c r="P155" s="8">
        <v>284.36399999999998</v>
      </c>
      <c r="Q155" s="8">
        <v>91.207300000000004</v>
      </c>
      <c r="R155" s="8">
        <v>-0.29759000000000002</v>
      </c>
      <c r="S155" s="8">
        <v>-0.34393800000000002</v>
      </c>
      <c r="T155" s="7">
        <f>C155-D155</f>
        <v>23.155179196031604</v>
      </c>
      <c r="U155" s="8">
        <f>D155/C155</f>
        <v>0.36524755688376531</v>
      </c>
      <c r="V155" s="8">
        <v>30.117430807741584</v>
      </c>
      <c r="W155" s="8">
        <v>20.827004428033948</v>
      </c>
      <c r="X155" s="8">
        <v>0.53857951512392066</v>
      </c>
      <c r="Y155" s="8">
        <v>57.553620846982902</v>
      </c>
      <c r="Z155" s="8">
        <v>46.806572596245132</v>
      </c>
      <c r="AA155" s="7">
        <v>30.407873005521662</v>
      </c>
      <c r="AB155" s="7">
        <v>21.312147852313469</v>
      </c>
      <c r="AC155" s="7">
        <v>0.54385158282800872</v>
      </c>
      <c r="AD155" s="7">
        <v>57.912028364183477</v>
      </c>
      <c r="AE155" s="7">
        <v>45.370242627153431</v>
      </c>
      <c r="AF155" s="8">
        <v>30.28994242370646</v>
      </c>
      <c r="AG155" s="8">
        <v>21.929665727838142</v>
      </c>
      <c r="AH155" s="8">
        <v>0.5469736676711654</v>
      </c>
      <c r="AI155" s="8">
        <v>58.02891918776686</v>
      </c>
      <c r="AJ155" s="8">
        <v>44.324388367461417</v>
      </c>
      <c r="AK155" s="8">
        <v>30.754200461730139</v>
      </c>
      <c r="AL155" s="8">
        <v>21.77917601331691</v>
      </c>
      <c r="AM155" s="8">
        <v>0.54941787275699361</v>
      </c>
      <c r="AN155" s="8">
        <v>58.303487111808742</v>
      </c>
      <c r="AO155" s="8">
        <v>43.880476589302589</v>
      </c>
      <c r="AP155" s="8">
        <v>30.454061102592838</v>
      </c>
      <c r="AQ155" s="8">
        <v>21.515406330139552</v>
      </c>
      <c r="AR155" s="8">
        <v>0.5391139613499577</v>
      </c>
      <c r="AS155" s="8">
        <v>56.864174585738283</v>
      </c>
      <c r="AT155" s="8">
        <v>44.852929491085938</v>
      </c>
      <c r="AU155" s="8">
        <v>29.943972553973619</v>
      </c>
      <c r="AV155" s="8">
        <v>23.31863989057689</v>
      </c>
      <c r="AW155" s="8">
        <v>0.59699971096110338</v>
      </c>
      <c r="AX155" s="8">
        <v>61.861187546766693</v>
      </c>
      <c r="AY155" s="8">
        <v>42.873715910680957</v>
      </c>
      <c r="AZ155" s="8">
        <v>30.924596688225531</v>
      </c>
      <c r="BA155" s="8">
        <v>22.60405463050526</v>
      </c>
      <c r="BB155" s="8">
        <v>0.56330741064223688</v>
      </c>
      <c r="BC155" s="8">
        <v>58.345269419716352</v>
      </c>
      <c r="BD155" s="8">
        <v>44.259836768210477</v>
      </c>
      <c r="BE155" s="8">
        <v>29.316056634825671</v>
      </c>
      <c r="BF155" s="8">
        <v>23.294243048873991</v>
      </c>
      <c r="BG155" s="8">
        <v>0.70220931475755843</v>
      </c>
      <c r="BH155" s="8">
        <v>56.878024498106981</v>
      </c>
      <c r="BI155" s="8">
        <v>42.674899412279068</v>
      </c>
    </row>
    <row r="156" spans="1:61" x14ac:dyDescent="0.15">
      <c r="A156" s="7">
        <v>2021</v>
      </c>
      <c r="B156" s="7">
        <v>123</v>
      </c>
      <c r="C156" s="7">
        <v>31.531893943211319</v>
      </c>
      <c r="D156" s="7">
        <v>27.706833288551859</v>
      </c>
      <c r="E156" s="8">
        <v>27.650702992223639</v>
      </c>
      <c r="F156" s="8">
        <v>17.404797497050509</v>
      </c>
      <c r="G156" s="8">
        <v>0.54639654373311541</v>
      </c>
      <c r="H156" s="8">
        <v>70.244479374083411</v>
      </c>
      <c r="I156" s="8">
        <v>39.310723491527597</v>
      </c>
      <c r="J156" s="8">
        <v>34.133304480005897</v>
      </c>
      <c r="K156" s="8">
        <v>22.41492560490002</v>
      </c>
      <c r="L156" s="8">
        <v>0.57703300970168125</v>
      </c>
      <c r="M156" s="8">
        <v>65.695460023643463</v>
      </c>
      <c r="N156" s="8">
        <v>46.068731452484073</v>
      </c>
      <c r="O156" s="8">
        <v>290.61200000000002</v>
      </c>
      <c r="P156" s="8">
        <v>285.82799999999997</v>
      </c>
      <c r="Q156" s="8">
        <v>99.206000000000003</v>
      </c>
      <c r="R156" s="8">
        <v>-0.47242499999999998</v>
      </c>
      <c r="S156" s="8">
        <v>-0.32984200000000002</v>
      </c>
      <c r="T156" s="7">
        <f>C156-D156</f>
        <v>3.8250606546594597</v>
      </c>
      <c r="U156" s="8">
        <f>D156/C156</f>
        <v>0.87869232778886153</v>
      </c>
      <c r="V156" s="8">
        <v>27.919724145285386</v>
      </c>
      <c r="W156" s="8">
        <v>17.859297317278241</v>
      </c>
      <c r="X156" s="8">
        <v>0.58910396015832711</v>
      </c>
      <c r="Y156" s="8">
        <v>68.269059205489341</v>
      </c>
      <c r="Z156" s="8">
        <v>37.811947072355409</v>
      </c>
      <c r="AA156" s="7">
        <v>31.026514312645642</v>
      </c>
      <c r="AB156" s="7">
        <v>20.13711146108913</v>
      </c>
      <c r="AC156" s="7">
        <v>0.58306848493000418</v>
      </c>
      <c r="AD156" s="7">
        <v>66.982259614566402</v>
      </c>
      <c r="AE156" s="7">
        <v>41.940339262419741</v>
      </c>
      <c r="AF156" s="8">
        <v>35.705070724306736</v>
      </c>
      <c r="AG156" s="8">
        <v>24.70220920823995</v>
      </c>
      <c r="AH156" s="8">
        <v>0.59357787662924699</v>
      </c>
      <c r="AI156" s="8">
        <v>62.609278267658823</v>
      </c>
      <c r="AJ156" s="8">
        <v>47.520204299893862</v>
      </c>
      <c r="AK156" s="8">
        <v>33.893422713010459</v>
      </c>
      <c r="AL156" s="8">
        <v>22.065842123575528</v>
      </c>
      <c r="AM156" s="8">
        <v>0.57450794471337285</v>
      </c>
      <c r="AN156" s="8">
        <v>66.166470732506227</v>
      </c>
      <c r="AO156" s="8">
        <v>45.847208772095023</v>
      </c>
      <c r="AP156" s="8">
        <v>33.359307672794998</v>
      </c>
      <c r="AQ156" s="8">
        <v>22.349259253615529</v>
      </c>
      <c r="AR156" s="8">
        <v>0.59620931530023691</v>
      </c>
      <c r="AS156" s="8">
        <v>64.484471979787358</v>
      </c>
      <c r="AT156" s="8">
        <v>42.872217775913008</v>
      </c>
      <c r="AU156" s="8">
        <v>29.23108432802977</v>
      </c>
      <c r="AV156" s="8">
        <v>20.121640131886029</v>
      </c>
      <c r="AW156" s="8">
        <v>0.57027893375545158</v>
      </c>
      <c r="AX156" s="8">
        <v>68.508287794680641</v>
      </c>
      <c r="AY156" s="8">
        <v>41.338460553969433</v>
      </c>
      <c r="AZ156" s="8">
        <v>34.01312946229725</v>
      </c>
      <c r="BA156" s="8">
        <v>22.543706101867549</v>
      </c>
      <c r="BB156" s="8">
        <v>0.56082064500199647</v>
      </c>
      <c r="BC156" s="8">
        <v>66.823534044061489</v>
      </c>
      <c r="BD156" s="8">
        <v>49.479845440998687</v>
      </c>
      <c r="BE156" s="8">
        <v>32.216315549073819</v>
      </c>
      <c r="BF156" s="8">
        <v>27.132319541336919</v>
      </c>
      <c r="BG156" s="8">
        <v>0.52933859854029575</v>
      </c>
      <c r="BH156" s="8">
        <v>65.244430245823821</v>
      </c>
      <c r="BI156" s="8">
        <v>53.392830867625499</v>
      </c>
    </row>
    <row r="157" spans="1:61" x14ac:dyDescent="0.15">
      <c r="A157" s="7">
        <v>2022</v>
      </c>
      <c r="B157" s="7">
        <v>78</v>
      </c>
      <c r="C157" s="7">
        <v>36.926675205359871</v>
      </c>
      <c r="D157" s="7">
        <v>2.9976550791299728</v>
      </c>
      <c r="E157" s="8">
        <v>18.859872528931518</v>
      </c>
      <c r="F157" s="8">
        <v>17.701896836907778</v>
      </c>
      <c r="G157" s="8">
        <v>0.54654685612875031</v>
      </c>
      <c r="H157" s="8">
        <v>70.277752995424109</v>
      </c>
      <c r="I157" s="8">
        <v>25.17229579338608</v>
      </c>
      <c r="J157" s="8">
        <v>23.576763928555359</v>
      </c>
      <c r="K157" s="8">
        <v>28.617934765012411</v>
      </c>
      <c r="L157" s="8">
        <v>0.67223305172708925</v>
      </c>
      <c r="M157" s="8">
        <v>67.262084741562404</v>
      </c>
      <c r="N157" s="8">
        <v>35.468510976775228</v>
      </c>
      <c r="O157" s="8">
        <v>290.68099999999998</v>
      </c>
      <c r="P157" s="8">
        <v>285.815</v>
      </c>
      <c r="Q157" s="8">
        <v>100.486</v>
      </c>
      <c r="R157" s="8">
        <v>-0.70829399999999998</v>
      </c>
      <c r="S157" s="8">
        <v>-0.26220900000000003</v>
      </c>
      <c r="T157" s="7">
        <f>C157-D157</f>
        <v>33.929020126229901</v>
      </c>
      <c r="U157" s="8">
        <f>D157/C157</f>
        <v>8.1178580591378724E-2</v>
      </c>
      <c r="V157" s="8">
        <v>20.345729446682341</v>
      </c>
      <c r="W157" s="8">
        <v>19.344603114641448</v>
      </c>
      <c r="X157" s="8">
        <v>0.5915922814695439</v>
      </c>
      <c r="Y157" s="8">
        <v>70.201867505430954</v>
      </c>
      <c r="Z157" s="8">
        <v>28.17637624101981</v>
      </c>
      <c r="AA157" s="7">
        <v>21.96124668761885</v>
      </c>
      <c r="AB157" s="7">
        <v>23.981268939826929</v>
      </c>
      <c r="AC157" s="7">
        <v>0.63191266659831657</v>
      </c>
      <c r="AD157" s="7">
        <v>68.731976123496679</v>
      </c>
      <c r="AE157" s="7">
        <v>31.822443608897519</v>
      </c>
      <c r="AF157" s="8">
        <v>23.3452960592079</v>
      </c>
      <c r="AG157" s="8">
        <v>30.031535400573841</v>
      </c>
      <c r="AH157" s="8">
        <v>0.66241414675236432</v>
      </c>
      <c r="AI157" s="8">
        <v>67.290281941324466</v>
      </c>
      <c r="AJ157" s="8">
        <v>35.179426352616908</v>
      </c>
      <c r="AK157" s="8">
        <v>23.60579354148561</v>
      </c>
      <c r="AL157" s="8">
        <v>28.440647613219021</v>
      </c>
      <c r="AM157" s="8">
        <v>0.6734644926679797</v>
      </c>
      <c r="AN157" s="8">
        <v>67.258548381215192</v>
      </c>
      <c r="AO157" s="8">
        <v>35.504766612458319</v>
      </c>
      <c r="AP157" s="8">
        <v>23.764652030253849</v>
      </c>
      <c r="AQ157" s="8">
        <v>28.152353517005938</v>
      </c>
      <c r="AR157" s="8">
        <v>0.6776835179728482</v>
      </c>
      <c r="AS157" s="8">
        <v>68.281665106982118</v>
      </c>
      <c r="AT157" s="8">
        <v>34.837381730409753</v>
      </c>
      <c r="AU157" s="8">
        <v>27.519726026900191</v>
      </c>
      <c r="AV157" s="8">
        <v>30.107655193952159</v>
      </c>
      <c r="AW157" s="8">
        <v>0.63719324865999405</v>
      </c>
      <c r="AX157" s="8">
        <v>65.224771879561104</v>
      </c>
      <c r="AY157" s="8">
        <v>37.004363918287567</v>
      </c>
      <c r="AZ157" s="8">
        <v>24.721192669614691</v>
      </c>
      <c r="BA157" s="8">
        <v>28.581507718427989</v>
      </c>
      <c r="BB157" s="8">
        <v>0.68894265672695754</v>
      </c>
      <c r="BC157" s="8">
        <v>66.765612429181871</v>
      </c>
      <c r="BD157" s="8">
        <v>39.323933845136338</v>
      </c>
      <c r="BE157" s="8">
        <v>31.615899928118949</v>
      </c>
      <c r="BF157" s="8">
        <v>30.657452774170601</v>
      </c>
      <c r="BG157" s="8">
        <v>0.56591915307923346</v>
      </c>
      <c r="BH157" s="8">
        <v>63.189840155395451</v>
      </c>
      <c r="BI157" s="8">
        <v>49.575747442378571</v>
      </c>
    </row>
    <row r="158" spans="1:61" x14ac:dyDescent="0.15">
      <c r="A158" s="7">
        <v>2023</v>
      </c>
      <c r="B158" s="7">
        <v>90</v>
      </c>
      <c r="C158" s="9">
        <v>5.1425433673901688</v>
      </c>
      <c r="D158" s="7">
        <v>0.33525544591939982</v>
      </c>
      <c r="E158" s="8">
        <v>31.965630527801991</v>
      </c>
      <c r="F158" s="8">
        <v>23.346689050416419</v>
      </c>
      <c r="G158" s="8">
        <v>0.54726089931278032</v>
      </c>
      <c r="H158" s="8">
        <v>75.32443429097826</v>
      </c>
      <c r="I158" s="8">
        <v>62.342401651366387</v>
      </c>
      <c r="J158" s="8">
        <v>29.384497457089751</v>
      </c>
      <c r="K158" s="8">
        <v>22.293875285485608</v>
      </c>
      <c r="L158" s="8">
        <v>0.49779171852759779</v>
      </c>
      <c r="M158" s="8">
        <v>77.727807729549355</v>
      </c>
      <c r="N158" s="8">
        <v>60.694171168236757</v>
      </c>
      <c r="O158" s="7">
        <v>289.81299999999999</v>
      </c>
      <c r="P158" s="7">
        <v>284.20400000000001</v>
      </c>
      <c r="Q158" s="7">
        <v>101.221</v>
      </c>
      <c r="R158" s="7">
        <v>-0.80633999999999995</v>
      </c>
      <c r="S158" s="7">
        <v>-3.3053699999999998E-2</v>
      </c>
      <c r="T158" s="7">
        <f>C158-D158</f>
        <v>4.8072879214707687</v>
      </c>
      <c r="U158" s="8">
        <f>D158/C158</f>
        <v>6.519253644904921E-2</v>
      </c>
      <c r="V158" s="8">
        <v>30.186063068675686</v>
      </c>
      <c r="W158" s="8">
        <v>22.456984303965573</v>
      </c>
      <c r="X158" s="8">
        <v>0.50358719494147541</v>
      </c>
      <c r="Y158" s="8">
        <v>79.420417342637606</v>
      </c>
      <c r="Z158" s="8">
        <v>60.601966491673998</v>
      </c>
      <c r="AA158" s="7">
        <v>29.785280262882718</v>
      </c>
      <c r="AB158" s="7">
        <v>22.375429794725591</v>
      </c>
      <c r="AC158" s="7">
        <v>0.50068945673453658</v>
      </c>
      <c r="AD158" s="7">
        <v>78.57411253609348</v>
      </c>
      <c r="AE158" s="7">
        <v>60.648068829955378</v>
      </c>
      <c r="AF158" s="8">
        <v>29.705996990090451</v>
      </c>
      <c r="AG158" s="8">
        <v>22.36828489548753</v>
      </c>
      <c r="AH158" s="8">
        <v>0.51005439659347418</v>
      </c>
      <c r="AI158" s="8">
        <v>76.486798427080544</v>
      </c>
      <c r="AJ158" s="8">
        <v>61.091820286290911</v>
      </c>
      <c r="AK158" s="8">
        <v>29.34279235514224</v>
      </c>
      <c r="AL158" s="8">
        <v>22.28422282863119</v>
      </c>
      <c r="AM158" s="8">
        <v>0.49620099696693581</v>
      </c>
      <c r="AN158" s="8">
        <v>77.888792160830505</v>
      </c>
      <c r="AO158" s="8">
        <v>60.642587898883299</v>
      </c>
      <c r="AP158" s="8">
        <v>29.716399684161821</v>
      </c>
      <c r="AQ158" s="8">
        <v>22.401451106628411</v>
      </c>
      <c r="AR158" s="8">
        <v>0.49371653818743882</v>
      </c>
      <c r="AS158" s="8">
        <v>79.517191145730806</v>
      </c>
      <c r="AT158" s="8">
        <v>60.531268296387672</v>
      </c>
      <c r="AU158" s="8">
        <v>28.817463709969999</v>
      </c>
      <c r="AV158" s="8">
        <v>19.407759924603631</v>
      </c>
      <c r="AW158" s="8">
        <v>0.53713418772046706</v>
      </c>
      <c r="AX158" s="8">
        <v>75.843294074294235</v>
      </c>
      <c r="AY158" s="8">
        <v>61.14863576189304</v>
      </c>
      <c r="AZ158" s="8">
        <v>29.55815934200433</v>
      </c>
      <c r="BA158" s="8">
        <v>22.125548781475231</v>
      </c>
      <c r="BB158" s="8">
        <v>0.50488972521022535</v>
      </c>
      <c r="BC158" s="8">
        <v>78.276279477742619</v>
      </c>
      <c r="BD158" s="8">
        <v>61.47728996316706</v>
      </c>
      <c r="BE158" s="8">
        <v>29.591247088806821</v>
      </c>
      <c r="BF158" s="8">
        <v>27.104163580712989</v>
      </c>
      <c r="BG158" s="8">
        <v>0.66219446020045669</v>
      </c>
      <c r="BH158" s="8">
        <v>69.325002539766359</v>
      </c>
      <c r="BI158" s="8">
        <v>62.483072714133868</v>
      </c>
    </row>
    <row r="159" spans="1:61" x14ac:dyDescent="0.15">
      <c r="A159" s="7">
        <v>2021</v>
      </c>
      <c r="B159" s="7">
        <v>60</v>
      </c>
      <c r="C159" s="7">
        <v>67.780226364446889</v>
      </c>
      <c r="D159" s="7">
        <v>29.239152070776033</v>
      </c>
      <c r="E159" s="8">
        <v>20.223117214393881</v>
      </c>
      <c r="F159" s="8">
        <v>9.9254997167219976</v>
      </c>
      <c r="G159" s="8">
        <v>0.54883509905850858</v>
      </c>
      <c r="H159" s="8">
        <v>67.86804319244456</v>
      </c>
      <c r="I159" s="8">
        <v>33.339815724498543</v>
      </c>
      <c r="J159" s="8">
        <v>33.500724757050747</v>
      </c>
      <c r="K159" s="8">
        <v>18.04187402296003</v>
      </c>
      <c r="L159" s="8">
        <v>0.62519218901915186</v>
      </c>
      <c r="M159" s="8">
        <v>62.651505472994472</v>
      </c>
      <c r="N159" s="8">
        <v>43.017617395059297</v>
      </c>
      <c r="O159" s="8">
        <v>291.58699999999999</v>
      </c>
      <c r="P159" s="8">
        <v>287.40199999999999</v>
      </c>
      <c r="Q159" s="8">
        <v>100.247</v>
      </c>
      <c r="R159" s="8">
        <v>-0.341671</v>
      </c>
      <c r="S159" s="8">
        <v>-0.69893799999999995</v>
      </c>
      <c r="T159" s="7">
        <f>C159-D159</f>
        <v>38.54107429367086</v>
      </c>
      <c r="U159" s="8">
        <f>D159/C159</f>
        <v>0.43138174124058393</v>
      </c>
      <c r="V159" s="8">
        <v>22.125480265723212</v>
      </c>
      <c r="W159" s="8">
        <v>10.376297620632748</v>
      </c>
      <c r="X159" s="8">
        <v>0.60516664631855943</v>
      </c>
      <c r="Y159" s="8">
        <v>66.842453186009294</v>
      </c>
      <c r="Z159" s="8">
        <v>35.33375789892218</v>
      </c>
      <c r="AA159" s="7">
        <v>27.81310251138698</v>
      </c>
      <c r="AB159" s="7">
        <v>14.209085821796389</v>
      </c>
      <c r="AC159" s="7">
        <v>0.61517941766885564</v>
      </c>
      <c r="AD159" s="7">
        <v>64.746979329501883</v>
      </c>
      <c r="AE159" s="7">
        <v>39.175687646990738</v>
      </c>
      <c r="AF159" s="8">
        <v>33.534129354004143</v>
      </c>
      <c r="AG159" s="8">
        <v>18.21142477862595</v>
      </c>
      <c r="AH159" s="8">
        <v>0.64817220709974999</v>
      </c>
      <c r="AI159" s="8">
        <v>63.276640915179698</v>
      </c>
      <c r="AJ159" s="8">
        <v>44.12357360644851</v>
      </c>
      <c r="AK159" s="8">
        <v>33.496496707338139</v>
      </c>
      <c r="AL159" s="8">
        <v>18.020413832173539</v>
      </c>
      <c r="AM159" s="8">
        <v>0.62228358757795144</v>
      </c>
      <c r="AN159" s="8">
        <v>62.572381520971973</v>
      </c>
      <c r="AO159" s="8">
        <v>42.87763552824488</v>
      </c>
      <c r="AP159" s="8">
        <v>32.560712257599583</v>
      </c>
      <c r="AQ159" s="8">
        <v>16.911411298261719</v>
      </c>
      <c r="AR159" s="8">
        <v>0.62590123649946594</v>
      </c>
      <c r="AS159" s="8">
        <v>62.784453921088762</v>
      </c>
      <c r="AT159" s="8">
        <v>42.374897855782358</v>
      </c>
      <c r="AU159" s="8">
        <v>26.822236589476582</v>
      </c>
      <c r="AV159" s="8">
        <v>16.31565005889497</v>
      </c>
      <c r="AW159" s="8">
        <v>0.60373971405332905</v>
      </c>
      <c r="AX159" s="8">
        <v>64.966531566698876</v>
      </c>
      <c r="AY159" s="8">
        <v>38.179023063727058</v>
      </c>
      <c r="AZ159" s="8">
        <v>34.18468240546202</v>
      </c>
      <c r="BA159" s="8">
        <v>19.17646783165279</v>
      </c>
      <c r="BB159" s="8">
        <v>0.62628788880739594</v>
      </c>
      <c r="BC159" s="8">
        <v>63.862215638661013</v>
      </c>
      <c r="BD159" s="8">
        <v>43.745940458894893</v>
      </c>
      <c r="BE159" s="8">
        <v>29.834397538902639</v>
      </c>
      <c r="BF159" s="8">
        <v>22.90136845339201</v>
      </c>
      <c r="BG159" s="8">
        <v>0.56594832617183377</v>
      </c>
      <c r="BH159" s="8">
        <v>62.222240414999682</v>
      </c>
      <c r="BI159" s="8">
        <v>53.089430072943891</v>
      </c>
    </row>
    <row r="160" spans="1:61" x14ac:dyDescent="0.15">
      <c r="A160" s="7">
        <v>2022</v>
      </c>
      <c r="B160" s="7">
        <v>12</v>
      </c>
      <c r="C160" s="7">
        <v>47.505730668408603</v>
      </c>
      <c r="D160" s="7">
        <v>24.799271666552059</v>
      </c>
      <c r="E160" s="8">
        <v>14.250877351558779</v>
      </c>
      <c r="F160" s="8">
        <v>14.65701987047186</v>
      </c>
      <c r="G160" s="8">
        <v>0.5490214526527698</v>
      </c>
      <c r="H160" s="8">
        <v>67.341446308835998</v>
      </c>
      <c r="I160" s="8">
        <v>19.360350849380819</v>
      </c>
      <c r="J160" s="8">
        <v>17.51430901632056</v>
      </c>
      <c r="K160" s="8">
        <v>23.588820648285211</v>
      </c>
      <c r="L160" s="8">
        <v>0.63103921255597029</v>
      </c>
      <c r="M160" s="8">
        <v>67.519717837038371</v>
      </c>
      <c r="N160" s="8">
        <v>26.412853848725671</v>
      </c>
      <c r="O160" s="8">
        <v>291.33499999999998</v>
      </c>
      <c r="P160" s="8">
        <v>286.892</v>
      </c>
      <c r="Q160" s="8">
        <v>100.29600000000001</v>
      </c>
      <c r="R160" s="8">
        <v>-0.69094100000000003</v>
      </c>
      <c r="S160" s="8">
        <v>-0.71845800000000004</v>
      </c>
      <c r="T160" s="7">
        <f>C160-D160</f>
        <v>22.706459001856544</v>
      </c>
      <c r="U160" s="8">
        <f>D160/C160</f>
        <v>0.52202694954113438</v>
      </c>
      <c r="V160" s="8">
        <v>16.89282165282998</v>
      </c>
      <c r="W160" s="8">
        <v>17.226081573229227</v>
      </c>
      <c r="X160" s="8">
        <v>0.62179482572987665</v>
      </c>
      <c r="Y160" s="8">
        <v>66.682878477168202</v>
      </c>
      <c r="Z160" s="8">
        <v>25.754310432556668</v>
      </c>
      <c r="AA160" s="7">
        <v>17.20356533457527</v>
      </c>
      <c r="AB160" s="7">
        <v>20.407451110757219</v>
      </c>
      <c r="AC160" s="7">
        <v>0.62641701914292347</v>
      </c>
      <c r="AD160" s="7">
        <v>67.101298157103287</v>
      </c>
      <c r="AE160" s="7">
        <v>26.08358214064117</v>
      </c>
      <c r="AF160" s="8">
        <v>18.169122642633742</v>
      </c>
      <c r="AG160" s="8">
        <v>25.150376813679639</v>
      </c>
      <c r="AH160" s="8">
        <v>0.63138771312618358</v>
      </c>
      <c r="AI160" s="8">
        <v>67.931354205744299</v>
      </c>
      <c r="AJ160" s="8">
        <v>26.908500833260369</v>
      </c>
      <c r="AK160" s="8">
        <v>17.45816289935566</v>
      </c>
      <c r="AL160" s="8">
        <v>23.454927107304499</v>
      </c>
      <c r="AM160" s="8">
        <v>0.63100933084155364</v>
      </c>
      <c r="AN160" s="8">
        <v>67.484422628179516</v>
      </c>
      <c r="AO160" s="8">
        <v>26.37035526218331</v>
      </c>
      <c r="AP160" s="8">
        <v>18.967796421707391</v>
      </c>
      <c r="AQ160" s="8">
        <v>24.911184919042121</v>
      </c>
      <c r="AR160" s="8">
        <v>0.63686948671793597</v>
      </c>
      <c r="AS160" s="8">
        <v>67.652045139249893</v>
      </c>
      <c r="AT160" s="8">
        <v>28.13925304928614</v>
      </c>
      <c r="AU160" s="8">
        <v>21.74262486224865</v>
      </c>
      <c r="AV160" s="8">
        <v>25.372604684994339</v>
      </c>
      <c r="AW160" s="8">
        <v>0.58656070902104807</v>
      </c>
      <c r="AX160" s="8">
        <v>63.893893416208428</v>
      </c>
      <c r="AY160" s="8">
        <v>32.125833594194667</v>
      </c>
      <c r="AZ160" s="8">
        <v>17.90861969998495</v>
      </c>
      <c r="BA160" s="8">
        <v>23.673724237859769</v>
      </c>
      <c r="BB160" s="8">
        <v>0.6277656232358001</v>
      </c>
      <c r="BC160" s="8">
        <v>67.378447644202538</v>
      </c>
      <c r="BD160" s="8">
        <v>28.466804534546721</v>
      </c>
      <c r="BE160" s="8">
        <v>25.213197476544529</v>
      </c>
      <c r="BF160" s="8">
        <v>26.360105566435831</v>
      </c>
      <c r="BG160" s="8">
        <v>0.91766757383825082</v>
      </c>
      <c r="BH160" s="8">
        <v>64.674835781283548</v>
      </c>
      <c r="BI160" s="8">
        <v>43.103198235262489</v>
      </c>
    </row>
    <row r="161" spans="1:61" x14ac:dyDescent="0.15">
      <c r="A161" s="7">
        <v>2021</v>
      </c>
      <c r="B161" s="7">
        <v>86</v>
      </c>
      <c r="C161" s="7">
        <v>52.269383771453484</v>
      </c>
      <c r="D161" s="7">
        <v>52.149266216228568</v>
      </c>
      <c r="E161" s="8">
        <v>26.69582508124126</v>
      </c>
      <c r="F161" s="8">
        <v>16.052634646904011</v>
      </c>
      <c r="G161" s="8">
        <v>0.54996494003416285</v>
      </c>
      <c r="H161" s="8">
        <v>71.527736906593745</v>
      </c>
      <c r="I161" s="8">
        <v>49.794145032903039</v>
      </c>
      <c r="J161" s="8">
        <v>32.228985500034668</v>
      </c>
      <c r="K161" s="8">
        <v>21.146777620416</v>
      </c>
      <c r="L161" s="8">
        <v>0.60646522046572715</v>
      </c>
      <c r="M161" s="8">
        <v>58.312573134241191</v>
      </c>
      <c r="N161" s="8">
        <v>47.485706408663653</v>
      </c>
      <c r="O161" s="8">
        <v>285.14999999999998</v>
      </c>
      <c r="P161" s="8">
        <v>281.26299999999998</v>
      </c>
      <c r="Q161" s="8">
        <v>85.589199999999991</v>
      </c>
      <c r="R161" s="8">
        <v>-0.31813200000000003</v>
      </c>
      <c r="S161" s="8">
        <v>-0.212252</v>
      </c>
      <c r="T161" s="7">
        <f>C161-D161</f>
        <v>0.12011755522491541</v>
      </c>
      <c r="U161" s="8">
        <f>D161/C161</f>
        <v>0.99770195195431943</v>
      </c>
      <c r="V161" s="8">
        <v>26.469210272415751</v>
      </c>
      <c r="W161" s="8">
        <v>15.866510052829899</v>
      </c>
      <c r="X161" s="8">
        <v>0.53728509372810873</v>
      </c>
      <c r="Y161" s="8">
        <v>71.709783415651444</v>
      </c>
      <c r="Z161" s="8">
        <v>50.794299912574552</v>
      </c>
      <c r="AA161" s="7">
        <v>29.349097886225209</v>
      </c>
      <c r="AB161" s="7">
        <v>18.506643836622949</v>
      </c>
      <c r="AC161" s="7">
        <v>0.57187515709691794</v>
      </c>
      <c r="AD161" s="7">
        <v>65.011178274946317</v>
      </c>
      <c r="AE161" s="7">
        <v>49.140003160619102</v>
      </c>
      <c r="AF161" s="8">
        <v>32.961222718238531</v>
      </c>
      <c r="AG161" s="8">
        <v>22.547793740491219</v>
      </c>
      <c r="AH161" s="8">
        <v>0.63502906789925406</v>
      </c>
      <c r="AI161" s="8">
        <v>56.858247403106219</v>
      </c>
      <c r="AJ161" s="8">
        <v>48.383228481275466</v>
      </c>
      <c r="AK161" s="8">
        <v>32.160391408945429</v>
      </c>
      <c r="AL161" s="8">
        <v>21.015534049386289</v>
      </c>
      <c r="AM161" s="8">
        <v>0.60378943302416443</v>
      </c>
      <c r="AN161" s="8">
        <v>58.448810611925808</v>
      </c>
      <c r="AO161" s="8">
        <v>47.401628859376622</v>
      </c>
      <c r="AP161" s="8">
        <v>33.071489862578169</v>
      </c>
      <c r="AQ161" s="8">
        <v>21.52597333543531</v>
      </c>
      <c r="AR161" s="8">
        <v>0.59105677251212629</v>
      </c>
      <c r="AS161" s="8">
        <v>57.083809542788138</v>
      </c>
      <c r="AT161" s="8">
        <v>48.969477520113557</v>
      </c>
      <c r="AU161" s="8">
        <v>25.237705642833419</v>
      </c>
      <c r="AV161" s="8">
        <v>18.28368835828628</v>
      </c>
      <c r="AW161" s="8">
        <v>0.60985074117060489</v>
      </c>
      <c r="AX161" s="8">
        <v>61.705402885767391</v>
      </c>
      <c r="AY161" s="8">
        <v>40.814081345751333</v>
      </c>
      <c r="AZ161" s="8">
        <v>31.780575389642649</v>
      </c>
      <c r="BA161" s="8">
        <v>23.346503365377121</v>
      </c>
      <c r="BB161" s="8">
        <v>0.63527056962148554</v>
      </c>
      <c r="BC161" s="8">
        <v>56.040200874889138</v>
      </c>
      <c r="BD161" s="8">
        <v>46.916892707408778</v>
      </c>
      <c r="BE161" s="8">
        <v>23.890946599345611</v>
      </c>
      <c r="BF161" s="8">
        <v>21.2049822573751</v>
      </c>
      <c r="BG161" s="8">
        <v>0.89583776082231936</v>
      </c>
      <c r="BH161" s="8">
        <v>53.402248632957658</v>
      </c>
      <c r="BI161" s="8">
        <v>34.093627799699142</v>
      </c>
    </row>
    <row r="162" spans="1:61" x14ac:dyDescent="0.15">
      <c r="A162" s="7">
        <v>2023</v>
      </c>
      <c r="B162" s="7">
        <v>18</v>
      </c>
      <c r="C162" s="9">
        <v>95.682216751218476</v>
      </c>
      <c r="D162" s="7">
        <v>16.571082412604468</v>
      </c>
      <c r="E162" s="8">
        <v>14.22573827096239</v>
      </c>
      <c r="F162" s="8">
        <v>10.55966124610705</v>
      </c>
      <c r="G162" s="8">
        <v>0.55017629117221567</v>
      </c>
      <c r="H162" s="8">
        <v>65.547005303439306</v>
      </c>
      <c r="I162" s="8">
        <v>26.370984596484611</v>
      </c>
      <c r="J162" s="8">
        <v>16.83812210208362</v>
      </c>
      <c r="K162" s="8">
        <v>15.386327718113311</v>
      </c>
      <c r="L162" s="8">
        <v>0.49483497168739998</v>
      </c>
      <c r="M162" s="8">
        <v>61.299018619049043</v>
      </c>
      <c r="N162" s="8">
        <v>29.991129691031141</v>
      </c>
      <c r="O162" s="7">
        <v>293.12299999999999</v>
      </c>
      <c r="P162" s="7">
        <v>289.36</v>
      </c>
      <c r="Q162" s="7">
        <v>98.249899999999997</v>
      </c>
      <c r="R162" s="7">
        <v>-1.24576</v>
      </c>
      <c r="S162" s="7">
        <v>-1.40754</v>
      </c>
      <c r="T162" s="7">
        <f>C162-D162</f>
        <v>79.111134338614008</v>
      </c>
      <c r="U162" s="8">
        <f>D162/C162</f>
        <v>0.17318873846422922</v>
      </c>
      <c r="V162" s="8">
        <v>13.402742398440559</v>
      </c>
      <c r="W162" s="8">
        <v>9.3995320328384686</v>
      </c>
      <c r="X162" s="8">
        <v>0.5558508950941351</v>
      </c>
      <c r="Y162" s="8">
        <v>67.239944286062951</v>
      </c>
      <c r="Z162" s="8">
        <v>24.98360928452022</v>
      </c>
      <c r="AA162" s="7">
        <v>15.120432250262089</v>
      </c>
      <c r="AB162" s="7">
        <v>12.39292987547589</v>
      </c>
      <c r="AC162" s="7">
        <v>0.52534293339076754</v>
      </c>
      <c r="AD162" s="7">
        <v>64.269481452555993</v>
      </c>
      <c r="AE162" s="7">
        <v>27.48736948777568</v>
      </c>
      <c r="AF162" s="8">
        <v>17.034872040938559</v>
      </c>
      <c r="AG162" s="8">
        <v>15.428101416625919</v>
      </c>
      <c r="AH162" s="8">
        <v>0.50754996766401872</v>
      </c>
      <c r="AI162" s="8">
        <v>60.833662575474477</v>
      </c>
      <c r="AJ162" s="8">
        <v>30.301976739643781</v>
      </c>
      <c r="AK162" s="8">
        <v>16.810883079790379</v>
      </c>
      <c r="AL162" s="8">
        <v>15.38054436330426</v>
      </c>
      <c r="AM162" s="8">
        <v>0.49307464555524888</v>
      </c>
      <c r="AN162" s="8">
        <v>61.363444782121753</v>
      </c>
      <c r="AO162" s="8">
        <v>29.948094507710511</v>
      </c>
      <c r="AP162" s="8">
        <v>16.436906894736829</v>
      </c>
      <c r="AQ162" s="8">
        <v>14.84492493109526</v>
      </c>
      <c r="AR162" s="8">
        <v>0.47135148558019158</v>
      </c>
      <c r="AS162" s="8">
        <v>64.76269919642435</v>
      </c>
      <c r="AT162" s="8">
        <v>30.248714592129271</v>
      </c>
      <c r="AU162" s="8">
        <v>16.870722749673462</v>
      </c>
      <c r="AV162" s="8">
        <v>15.949152704848309</v>
      </c>
      <c r="AW162" s="8">
        <v>0.48528452931299471</v>
      </c>
      <c r="AX162" s="8">
        <v>60.308177610052979</v>
      </c>
      <c r="AY162" s="8">
        <v>30.092246464318311</v>
      </c>
      <c r="AZ162" s="8">
        <v>17.343345944947821</v>
      </c>
      <c r="BA162" s="8">
        <v>17.1161505019064</v>
      </c>
      <c r="BB162" s="8">
        <v>0.48955616496568921</v>
      </c>
      <c r="BC162" s="8">
        <v>61.034561204457759</v>
      </c>
      <c r="BD162" s="8">
        <v>30.774079609189691</v>
      </c>
      <c r="BE162" s="8">
        <v>17.10245995613699</v>
      </c>
      <c r="BF162" s="8">
        <v>16.101456199855249</v>
      </c>
      <c r="BG162" s="8">
        <v>0.48541943836245732</v>
      </c>
      <c r="BH162" s="8">
        <v>60.758765805963733</v>
      </c>
      <c r="BI162" s="8">
        <v>31.443057597100189</v>
      </c>
    </row>
    <row r="163" spans="1:61" x14ac:dyDescent="0.15">
      <c r="A163" s="7">
        <v>2022</v>
      </c>
      <c r="B163" s="7">
        <v>48</v>
      </c>
      <c r="C163" s="7">
        <v>108.08494000800133</v>
      </c>
      <c r="D163" s="7">
        <v>81.253628443832653</v>
      </c>
      <c r="E163" s="8">
        <v>26.798337769985661</v>
      </c>
      <c r="F163" s="8">
        <v>18.258415361405511</v>
      </c>
      <c r="G163" s="8">
        <v>0.55045812554585638</v>
      </c>
      <c r="H163" s="8">
        <v>69.217601422150651</v>
      </c>
      <c r="I163" s="8">
        <v>44.982836889679191</v>
      </c>
      <c r="J163" s="8">
        <v>36.888764481023387</v>
      </c>
      <c r="K163" s="8">
        <v>22.453262088294611</v>
      </c>
      <c r="L163" s="8">
        <v>0.71263725640190068</v>
      </c>
      <c r="M163" s="8">
        <v>69.056435665933378</v>
      </c>
      <c r="N163" s="8">
        <v>68.408753194054086</v>
      </c>
      <c r="O163" s="8">
        <v>287.23500000000001</v>
      </c>
      <c r="P163" s="8">
        <v>279.86799999999999</v>
      </c>
      <c r="Q163" s="8">
        <v>94.648499999999999</v>
      </c>
      <c r="R163" s="8">
        <v>-8.9536199999999996E-2</v>
      </c>
      <c r="S163" s="8">
        <v>2.8647500000000001E-3</v>
      </c>
      <c r="T163" s="7">
        <f>C163-D163</f>
        <v>26.831311564168672</v>
      </c>
      <c r="U163" s="8">
        <f>D163/C163</f>
        <v>0.75175716836978024</v>
      </c>
      <c r="V163" s="8">
        <v>26.982606375600234</v>
      </c>
      <c r="W163" s="8">
        <v>19.304936902039611</v>
      </c>
      <c r="X163" s="8">
        <v>0.53170688524417631</v>
      </c>
      <c r="Y163" s="8">
        <v>64.775535280046483</v>
      </c>
      <c r="Z163" s="8">
        <v>45.37132687635598</v>
      </c>
      <c r="AA163" s="7">
        <v>31.93568542831181</v>
      </c>
      <c r="AB163" s="7">
        <v>20.879099495167111</v>
      </c>
      <c r="AC163" s="7">
        <v>0.62217207082303849</v>
      </c>
      <c r="AD163" s="7">
        <v>66.915985472989931</v>
      </c>
      <c r="AE163" s="7">
        <v>56.890040035205033</v>
      </c>
      <c r="AF163" s="8">
        <v>34.707389482989818</v>
      </c>
      <c r="AG163" s="8">
        <v>21.236871816067151</v>
      </c>
      <c r="AH163" s="8">
        <v>0.67851588688864584</v>
      </c>
      <c r="AI163" s="8">
        <v>69.242878986759592</v>
      </c>
      <c r="AJ163" s="8">
        <v>61.440950114215397</v>
      </c>
      <c r="AK163" s="8">
        <v>37.203548117964402</v>
      </c>
      <c r="AL163" s="8">
        <v>22.628793463769529</v>
      </c>
      <c r="AM163" s="8">
        <v>0.71756114560136075</v>
      </c>
      <c r="AN163" s="8">
        <v>69.029530935354771</v>
      </c>
      <c r="AO163" s="8">
        <v>69.414243032773982</v>
      </c>
      <c r="AP163" s="8">
        <v>35.409887701755402</v>
      </c>
      <c r="AQ163" s="8">
        <v>22.847740831931731</v>
      </c>
      <c r="AR163" s="8">
        <v>0.67000194511042943</v>
      </c>
      <c r="AS163" s="8">
        <v>63.923627467319292</v>
      </c>
      <c r="AT163" s="8">
        <v>64.685269075866913</v>
      </c>
      <c r="AU163" s="8">
        <v>30.33732781620467</v>
      </c>
      <c r="AV163" s="8">
        <v>20.60410847310569</v>
      </c>
      <c r="AW163" s="8">
        <v>0.59558011933395694</v>
      </c>
      <c r="AX163" s="8">
        <v>63.911365604014989</v>
      </c>
      <c r="AY163" s="8">
        <v>52.903294457744657</v>
      </c>
      <c r="AZ163" s="8">
        <v>39.026102926455003</v>
      </c>
      <c r="BA163" s="8">
        <v>22.996601362347381</v>
      </c>
      <c r="BB163" s="8">
        <v>0.73538579475058274</v>
      </c>
      <c r="BC163" s="8">
        <v>71.20339770688895</v>
      </c>
      <c r="BD163" s="8">
        <v>77.678970966421559</v>
      </c>
      <c r="BE163" s="8">
        <v>39.387328111020167</v>
      </c>
      <c r="BF163" s="8">
        <v>24.04781843050576</v>
      </c>
      <c r="BG163" s="8">
        <v>0.76042512584486843</v>
      </c>
      <c r="BH163" s="8">
        <v>71.328995648937862</v>
      </c>
      <c r="BI163" s="8">
        <v>87.463371252083036</v>
      </c>
    </row>
    <row r="164" spans="1:61" x14ac:dyDescent="0.15">
      <c r="A164" s="7">
        <v>2021</v>
      </c>
      <c r="B164" s="7">
        <v>90</v>
      </c>
      <c r="C164" s="7">
        <v>24.313779217847085</v>
      </c>
      <c r="D164" s="7">
        <v>23.373986464718893</v>
      </c>
      <c r="E164" s="8">
        <v>30.070010776833129</v>
      </c>
      <c r="F164" s="8">
        <v>24.39354345124848</v>
      </c>
      <c r="G164" s="8">
        <v>0.55140410080763513</v>
      </c>
      <c r="H164" s="8">
        <v>74.079013530673734</v>
      </c>
      <c r="I164" s="8">
        <v>39.980317590456373</v>
      </c>
      <c r="J164" s="8">
        <v>34.738388583453187</v>
      </c>
      <c r="K164" s="8">
        <v>26.460254977021609</v>
      </c>
      <c r="L164" s="8">
        <v>0.60328399752759254</v>
      </c>
      <c r="M164" s="8">
        <v>69.782081399605445</v>
      </c>
      <c r="N164" s="8">
        <v>55.149408616245601</v>
      </c>
      <c r="O164" s="8">
        <v>290.01900000000001</v>
      </c>
      <c r="P164" s="8">
        <v>284.86399999999998</v>
      </c>
      <c r="Q164" s="8">
        <v>101.176</v>
      </c>
      <c r="R164" s="8">
        <v>-0.78316699999999995</v>
      </c>
      <c r="S164" s="8">
        <v>-3.5926100000000002E-2</v>
      </c>
      <c r="T164" s="7">
        <f>C164-D164</f>
        <v>0.93979275312819155</v>
      </c>
      <c r="U164" s="8">
        <f>D164/C164</f>
        <v>0.96134731895408698</v>
      </c>
      <c r="V164" s="8">
        <v>30.718643519373131</v>
      </c>
      <c r="W164" s="8">
        <v>23.95712925348889</v>
      </c>
      <c r="X164" s="8">
        <v>0.58895171455819928</v>
      </c>
      <c r="Y164" s="8">
        <v>71.737470465931906</v>
      </c>
      <c r="Z164" s="8">
        <v>45.138144194199079</v>
      </c>
      <c r="AA164" s="7">
        <v>32.728516051413159</v>
      </c>
      <c r="AB164" s="7">
        <v>25.20869211525525</v>
      </c>
      <c r="AC164" s="7">
        <v>0.59611785604289591</v>
      </c>
      <c r="AD164" s="7">
        <v>70.759775932768676</v>
      </c>
      <c r="AE164" s="7">
        <v>50.14377640522234</v>
      </c>
      <c r="AF164" s="8">
        <v>34.80929829478751</v>
      </c>
      <c r="AG164" s="8">
        <v>28.04677487195001</v>
      </c>
      <c r="AH164" s="8">
        <v>0.606517434562444</v>
      </c>
      <c r="AI164" s="8">
        <v>68.86358146847104</v>
      </c>
      <c r="AJ164" s="8">
        <v>54.438749198258677</v>
      </c>
      <c r="AK164" s="8">
        <v>34.72909243221271</v>
      </c>
      <c r="AL164" s="8">
        <v>26.252264722770871</v>
      </c>
      <c r="AM164" s="8">
        <v>0.60286009903559601</v>
      </c>
      <c r="AN164" s="8">
        <v>69.902495290926055</v>
      </c>
      <c r="AO164" s="8">
        <v>55.242574944323358</v>
      </c>
      <c r="AP164" s="8">
        <v>32.22168283116175</v>
      </c>
      <c r="AQ164" s="8">
        <v>24.77464729678616</v>
      </c>
      <c r="AR164" s="8">
        <v>0.58310448944770887</v>
      </c>
      <c r="AS164" s="8">
        <v>70.753215291162846</v>
      </c>
      <c r="AT164" s="8">
        <v>49.738628254630278</v>
      </c>
      <c r="AU164" s="8">
        <v>28.818616080112641</v>
      </c>
      <c r="AV164" s="8">
        <v>20.644033848947441</v>
      </c>
      <c r="AW164" s="8">
        <v>0.58066140361637741</v>
      </c>
      <c r="AX164" s="8">
        <v>74.675542834545936</v>
      </c>
      <c r="AY164" s="8">
        <v>45.947385230513333</v>
      </c>
      <c r="AZ164" s="8">
        <v>34.311020436969969</v>
      </c>
      <c r="BA164" s="8">
        <v>25.166564630778218</v>
      </c>
      <c r="BB164" s="8">
        <v>0.59002233984633579</v>
      </c>
      <c r="BC164" s="8">
        <v>70.732552951086618</v>
      </c>
      <c r="BD164" s="8">
        <v>54.809147772307981</v>
      </c>
      <c r="BE164" s="8">
        <v>35.175909251056773</v>
      </c>
      <c r="BF164" s="8">
        <v>26.87087096019058</v>
      </c>
      <c r="BG164" s="8">
        <v>0.69614834901014544</v>
      </c>
      <c r="BH164" s="8">
        <v>69.004594859500656</v>
      </c>
      <c r="BI164" s="8">
        <v>55.253868886587952</v>
      </c>
    </row>
    <row r="165" spans="1:61" x14ac:dyDescent="0.15">
      <c r="A165" s="7">
        <v>2022</v>
      </c>
      <c r="B165" s="7">
        <v>39</v>
      </c>
      <c r="C165" s="7">
        <v>26.939450974861135</v>
      </c>
      <c r="D165" s="7">
        <v>22.371577698155082</v>
      </c>
      <c r="E165" s="8">
        <v>27.731374308334161</v>
      </c>
      <c r="F165" s="8">
        <v>28.278891023232759</v>
      </c>
      <c r="G165" s="8">
        <v>0.55218402732662852</v>
      </c>
      <c r="H165" s="8">
        <v>70.424612124090459</v>
      </c>
      <c r="I165" s="8">
        <v>40.224768902864909</v>
      </c>
      <c r="J165" s="8">
        <v>26.629249588708412</v>
      </c>
      <c r="K165" s="8">
        <v>22.454446888764821</v>
      </c>
      <c r="L165" s="8">
        <v>0.52779123920674498</v>
      </c>
      <c r="M165" s="8">
        <v>76.978097591833361</v>
      </c>
      <c r="N165" s="8">
        <v>42.213688956585003</v>
      </c>
      <c r="O165" s="8">
        <v>289.14299999999997</v>
      </c>
      <c r="P165" s="8">
        <v>283.69299999999998</v>
      </c>
      <c r="Q165" s="8">
        <v>101.70099999999999</v>
      </c>
      <c r="R165" s="8">
        <v>-0.86275999999999997</v>
      </c>
      <c r="S165" s="8">
        <v>-0.31855499999999998</v>
      </c>
      <c r="T165" s="7">
        <f>C165-D165</f>
        <v>4.5678732767060524</v>
      </c>
      <c r="U165" s="8">
        <f>D165/C165</f>
        <v>0.83043925872993418</v>
      </c>
      <c r="V165" s="8">
        <v>26.017634021385469</v>
      </c>
      <c r="W165" s="8">
        <v>25.72014981843904</v>
      </c>
      <c r="X165" s="8">
        <v>0.5941568744935517</v>
      </c>
      <c r="Y165" s="8">
        <v>72.382854913895969</v>
      </c>
      <c r="Z165" s="8">
        <v>40.610652034775484</v>
      </c>
      <c r="AA165" s="7">
        <v>26.32344180504694</v>
      </c>
      <c r="AB165" s="7">
        <v>24.087298353601931</v>
      </c>
      <c r="AC165" s="7">
        <v>0.56097405685014834</v>
      </c>
      <c r="AD165" s="7">
        <v>74.680476252864665</v>
      </c>
      <c r="AE165" s="7">
        <v>41.412170495680243</v>
      </c>
      <c r="AF165" s="8">
        <v>25.61514010514847</v>
      </c>
      <c r="AG165" s="8">
        <v>23.7201675488229</v>
      </c>
      <c r="AH165" s="8">
        <v>0.50812189457922663</v>
      </c>
      <c r="AI165" s="8">
        <v>78.139640499727435</v>
      </c>
      <c r="AJ165" s="8">
        <v>40.216801247430887</v>
      </c>
      <c r="AK165" s="8">
        <v>26.673491851959749</v>
      </c>
      <c r="AL165" s="8">
        <v>22.399227656963191</v>
      </c>
      <c r="AM165" s="8">
        <v>0.52864934805702102</v>
      </c>
      <c r="AN165" s="8">
        <v>76.927423292912152</v>
      </c>
      <c r="AO165" s="8">
        <v>42.300806603292742</v>
      </c>
      <c r="AP165" s="8">
        <v>25.73894752389425</v>
      </c>
      <c r="AQ165" s="8">
        <v>23.602634017485592</v>
      </c>
      <c r="AR165" s="8">
        <v>0.54068287060824693</v>
      </c>
      <c r="AS165" s="8">
        <v>75.591806093224449</v>
      </c>
      <c r="AT165" s="8">
        <v>40.181013697664831</v>
      </c>
      <c r="AU165" s="8">
        <v>24.380231146339291</v>
      </c>
      <c r="AV165" s="8">
        <v>20.66312557149686</v>
      </c>
      <c r="AW165" s="8">
        <v>0.46893017786550478</v>
      </c>
      <c r="AX165" s="8">
        <v>79.668742909458999</v>
      </c>
      <c r="AY165" s="8">
        <v>37.583838487346263</v>
      </c>
      <c r="AZ165" s="8">
        <v>27.566129249044931</v>
      </c>
      <c r="BA165" s="8">
        <v>22.354191728977671</v>
      </c>
      <c r="BB165" s="8">
        <v>0.53956721798419838</v>
      </c>
      <c r="BC165" s="8">
        <v>76.012704747460475</v>
      </c>
      <c r="BD165" s="8">
        <v>44.549505749073397</v>
      </c>
      <c r="BE165" s="8">
        <v>28.89736537810758</v>
      </c>
      <c r="BF165" s="8">
        <v>30.098386833342641</v>
      </c>
      <c r="BG165" s="8">
        <v>0.89944231974211986</v>
      </c>
      <c r="BH165" s="8">
        <v>64.340117261364668</v>
      </c>
      <c r="BI165" s="8">
        <v>46.578170628675913</v>
      </c>
    </row>
    <row r="166" spans="1:61" x14ac:dyDescent="0.15">
      <c r="A166" s="7">
        <v>2021</v>
      </c>
      <c r="B166" s="7">
        <v>6</v>
      </c>
      <c r="C166" s="7">
        <v>31.936546797033323</v>
      </c>
      <c r="D166" s="7">
        <v>24.090983091904455</v>
      </c>
      <c r="E166" s="8">
        <v>25.471362962102621</v>
      </c>
      <c r="F166" s="8">
        <v>26.3365059308288</v>
      </c>
      <c r="G166" s="8">
        <v>0.55267371739323756</v>
      </c>
      <c r="H166" s="8">
        <v>73.423177873387743</v>
      </c>
      <c r="I166" s="8">
        <v>33.057433648279464</v>
      </c>
      <c r="J166" s="8">
        <v>27.547792609107379</v>
      </c>
      <c r="K166" s="8">
        <v>32.954397233016017</v>
      </c>
      <c r="L166" s="8">
        <v>0.69667062505883159</v>
      </c>
      <c r="M166" s="8">
        <v>68.442993157457266</v>
      </c>
      <c r="N166" s="8">
        <v>43.703640039031292</v>
      </c>
      <c r="O166" s="8">
        <v>290.96199999999999</v>
      </c>
      <c r="P166" s="8">
        <v>286.35300000000001</v>
      </c>
      <c r="Q166" s="8">
        <v>101.53</v>
      </c>
      <c r="R166" s="8">
        <v>-0.94746300000000006</v>
      </c>
      <c r="S166" s="8">
        <v>-7.0767700000000003E-2</v>
      </c>
      <c r="T166" s="7">
        <f>C166-D166</f>
        <v>7.8455637051288676</v>
      </c>
      <c r="U166" s="8">
        <f>D166/C166</f>
        <v>0.7543390099440036</v>
      </c>
      <c r="V166" s="8">
        <v>30.945840713028918</v>
      </c>
      <c r="W166" s="8">
        <v>28.209892008232423</v>
      </c>
      <c r="X166" s="8">
        <v>0.87022142849613837</v>
      </c>
      <c r="Y166" s="8">
        <v>69.566415794552739</v>
      </c>
      <c r="Z166" s="8">
        <v>45.411503838713521</v>
      </c>
      <c r="AA166" s="7">
        <v>29.246816661068149</v>
      </c>
      <c r="AB166" s="7">
        <v>30.58214462062422</v>
      </c>
      <c r="AC166" s="7">
        <v>0.78344602677748498</v>
      </c>
      <c r="AD166" s="7">
        <v>69.004704476005003</v>
      </c>
      <c r="AE166" s="7">
        <v>44.557571938872407</v>
      </c>
      <c r="AF166" s="8">
        <v>26.73655114316394</v>
      </c>
      <c r="AG166" s="8">
        <v>34.220704144583017</v>
      </c>
      <c r="AH166" s="8">
        <v>0.66965988499834528</v>
      </c>
      <c r="AI166" s="8">
        <v>68.478744392830166</v>
      </c>
      <c r="AJ166" s="8">
        <v>41.364310750460199</v>
      </c>
      <c r="AK166" s="8">
        <v>27.597429289350021</v>
      </c>
      <c r="AL166" s="8">
        <v>32.876916884812417</v>
      </c>
      <c r="AM166" s="8">
        <v>0.69832330619482408</v>
      </c>
      <c r="AN166" s="8">
        <v>68.440805679729621</v>
      </c>
      <c r="AO166" s="8">
        <v>43.846774413633327</v>
      </c>
      <c r="AP166" s="8">
        <v>26.67267083690902</v>
      </c>
      <c r="AQ166" s="8">
        <v>30.641390548134961</v>
      </c>
      <c r="AR166" s="8">
        <v>0.6843248688454634</v>
      </c>
      <c r="AS166" s="8">
        <v>69.58883930960198</v>
      </c>
      <c r="AT166" s="8">
        <v>41.133018553769837</v>
      </c>
      <c r="AU166" s="8">
        <v>29.981098240591962</v>
      </c>
      <c r="AV166" s="8">
        <v>28.664143363489909</v>
      </c>
      <c r="AW166" s="8">
        <v>0.689980616546093</v>
      </c>
      <c r="AX166" s="8">
        <v>62.413101821220401</v>
      </c>
      <c r="AY166" s="8">
        <v>53.671904564016657</v>
      </c>
      <c r="AZ166" s="8">
        <v>28.944304882409991</v>
      </c>
      <c r="BA166" s="8">
        <v>31.918704622187299</v>
      </c>
      <c r="BB166" s="8">
        <v>0.7048868293373407</v>
      </c>
      <c r="BC166" s="8">
        <v>68.037244265311443</v>
      </c>
      <c r="BD166" s="8">
        <v>46.440867733000573</v>
      </c>
      <c r="BE166" s="8">
        <v>35.796880280127212</v>
      </c>
      <c r="BF166" s="8">
        <v>31.108988520231492</v>
      </c>
      <c r="BG166" s="8">
        <v>0.56459696578511975</v>
      </c>
      <c r="BH166" s="8">
        <v>59.670702937552058</v>
      </c>
      <c r="BI166" s="8">
        <v>54.717276738801203</v>
      </c>
    </row>
    <row r="167" spans="1:61" x14ac:dyDescent="0.15">
      <c r="A167" s="7">
        <v>2021</v>
      </c>
      <c r="B167" s="7">
        <v>61</v>
      </c>
      <c r="C167" s="7">
        <v>97.93606224950156</v>
      </c>
      <c r="D167" s="7">
        <v>51.977360331133049</v>
      </c>
      <c r="E167" s="8">
        <v>28.7188619092999</v>
      </c>
      <c r="F167" s="8">
        <v>16.537727998642321</v>
      </c>
      <c r="G167" s="8">
        <v>0.55307327095679915</v>
      </c>
      <c r="H167" s="8">
        <v>74.447840095726619</v>
      </c>
      <c r="I167" s="8">
        <v>44.975986016464127</v>
      </c>
      <c r="J167" s="8">
        <v>32.179777127916843</v>
      </c>
      <c r="K167" s="8">
        <v>19.100057272873318</v>
      </c>
      <c r="L167" s="8">
        <v>0.6264593665974092</v>
      </c>
      <c r="M167" s="8">
        <v>69.804612603110058</v>
      </c>
      <c r="N167" s="8">
        <v>50.993889491376308</v>
      </c>
      <c r="O167" s="8">
        <v>288.76799999999997</v>
      </c>
      <c r="P167" s="8">
        <v>282.86</v>
      </c>
      <c r="Q167" s="8">
        <v>97.551899999999989</v>
      </c>
      <c r="R167" s="8">
        <v>-0.118759</v>
      </c>
      <c r="S167" s="8">
        <v>-0.27475300000000002</v>
      </c>
      <c r="T167" s="7">
        <f>C167-D167</f>
        <v>45.958701918368511</v>
      </c>
      <c r="U167" s="8">
        <f>D167/C167</f>
        <v>0.53072748829451311</v>
      </c>
      <c r="V167" s="8">
        <v>26.517867490521859</v>
      </c>
      <c r="W167" s="8">
        <v>18.234029751630299</v>
      </c>
      <c r="X167" s="8">
        <v>0.57075334170129532</v>
      </c>
      <c r="Y167" s="8">
        <v>64.259548917416453</v>
      </c>
      <c r="Z167" s="8">
        <v>41.900143095942497</v>
      </c>
      <c r="AA167" s="7">
        <v>29.348822309219351</v>
      </c>
      <c r="AB167" s="7">
        <v>18.667043512251809</v>
      </c>
      <c r="AC167" s="7">
        <v>0.59860635414935226</v>
      </c>
      <c r="AD167" s="7">
        <v>67.032080760263256</v>
      </c>
      <c r="AE167" s="7">
        <v>46.447016293659402</v>
      </c>
      <c r="AF167" s="8">
        <v>33.090685480750111</v>
      </c>
      <c r="AG167" s="8">
        <v>18.788407228820589</v>
      </c>
      <c r="AH167" s="8">
        <v>0.62336508646241096</v>
      </c>
      <c r="AI167" s="8">
        <v>70.462232603633339</v>
      </c>
      <c r="AJ167" s="8">
        <v>50.091607971858103</v>
      </c>
      <c r="AK167" s="8">
        <v>32.057853543164732</v>
      </c>
      <c r="AL167" s="8">
        <v>19.141771118663499</v>
      </c>
      <c r="AM167" s="8">
        <v>0.62687353090396414</v>
      </c>
      <c r="AN167" s="8">
        <v>69.716591247702453</v>
      </c>
      <c r="AO167" s="8">
        <v>51.11465838867877</v>
      </c>
      <c r="AP167" s="8">
        <v>28.89224083949037</v>
      </c>
      <c r="AQ167" s="8">
        <v>19.432795166557899</v>
      </c>
      <c r="AR167" s="8">
        <v>0.61292255863445255</v>
      </c>
      <c r="AS167" s="8">
        <v>62.743533074019538</v>
      </c>
      <c r="AT167" s="8">
        <v>46.474115419198263</v>
      </c>
      <c r="AU167" s="8">
        <v>27.585081335736181</v>
      </c>
      <c r="AV167" s="8">
        <v>17.307553398300239</v>
      </c>
      <c r="AW167" s="8">
        <v>0.58485763560193904</v>
      </c>
      <c r="AX167" s="8">
        <v>68.388222231956121</v>
      </c>
      <c r="AY167" s="8">
        <v>42.688386416292268</v>
      </c>
      <c r="AZ167" s="8">
        <v>31.278218497626039</v>
      </c>
      <c r="BA167" s="8">
        <v>19.312548447723429</v>
      </c>
      <c r="BB167" s="8">
        <v>0.61404920581733491</v>
      </c>
      <c r="BC167" s="8">
        <v>69.377432839127934</v>
      </c>
      <c r="BD167" s="8">
        <v>48.983591143835767</v>
      </c>
      <c r="BE167" s="8">
        <v>30.863884196208421</v>
      </c>
      <c r="BF167" s="8">
        <v>28.02911313576319</v>
      </c>
      <c r="BG167" s="8">
        <v>0.59083938831680394</v>
      </c>
      <c r="BH167" s="8">
        <v>66.469926217047515</v>
      </c>
      <c r="BI167" s="8">
        <v>62.228433692276433</v>
      </c>
    </row>
    <row r="168" spans="1:61" x14ac:dyDescent="0.15">
      <c r="A168" s="7">
        <v>2023</v>
      </c>
      <c r="B168" s="7">
        <v>133</v>
      </c>
      <c r="C168" s="9">
        <v>37.285088346290578</v>
      </c>
      <c r="D168" s="7">
        <v>36.57103229172121</v>
      </c>
      <c r="E168" s="8">
        <v>28.311086022020021</v>
      </c>
      <c r="F168" s="8">
        <v>25.423785900180519</v>
      </c>
      <c r="G168" s="8">
        <v>0.55322001602980087</v>
      </c>
      <c r="H168" s="8">
        <v>70.185385510750379</v>
      </c>
      <c r="I168" s="8">
        <v>52.29213028614992</v>
      </c>
      <c r="J168" s="8">
        <v>27.49823316073676</v>
      </c>
      <c r="K168" s="8">
        <v>24.046950820026218</v>
      </c>
      <c r="L168" s="8">
        <v>0.52171096765258096</v>
      </c>
      <c r="M168" s="8">
        <v>75.281275873650188</v>
      </c>
      <c r="N168" s="8">
        <v>54.894563752675573</v>
      </c>
      <c r="O168" s="7">
        <v>290.32100000000003</v>
      </c>
      <c r="P168" s="7">
        <v>285.053</v>
      </c>
      <c r="Q168" s="7">
        <v>101.319</v>
      </c>
      <c r="R168" s="7">
        <v>-0.82383099999999998</v>
      </c>
      <c r="S168" s="7">
        <v>-0.18423500000000001</v>
      </c>
      <c r="T168" s="7">
        <f>C168-D168</f>
        <v>0.71405605456936883</v>
      </c>
      <c r="U168" s="8">
        <f>D168/C168</f>
        <v>0.98084874982895387</v>
      </c>
      <c r="V168" s="8">
        <v>27.491090433557943</v>
      </c>
      <c r="W168" s="8">
        <v>23.683802084516124</v>
      </c>
      <c r="X168" s="8">
        <v>0.52678077074251861</v>
      </c>
      <c r="Y168" s="8">
        <v>74.924046679389747</v>
      </c>
      <c r="Z168" s="8">
        <v>53.629524178614226</v>
      </c>
      <c r="AA168" s="7">
        <v>27.494661797147351</v>
      </c>
      <c r="AB168" s="7">
        <v>23.865376452271171</v>
      </c>
      <c r="AC168" s="7">
        <v>0.52424586919754979</v>
      </c>
      <c r="AD168" s="7">
        <v>75.102661276519967</v>
      </c>
      <c r="AE168" s="7">
        <v>54.262043965644899</v>
      </c>
      <c r="AF168" s="8">
        <v>27.668172712732769</v>
      </c>
      <c r="AG168" s="8">
        <v>24.290442292374301</v>
      </c>
      <c r="AH168" s="8">
        <v>0.54122734055245081</v>
      </c>
      <c r="AI168" s="8">
        <v>73.556333463085352</v>
      </c>
      <c r="AJ168" s="8">
        <v>55.059899213540717</v>
      </c>
      <c r="AK168" s="8">
        <v>27.483571517579119</v>
      </c>
      <c r="AL168" s="8">
        <v>24.025943438062669</v>
      </c>
      <c r="AM168" s="8">
        <v>0.52002718014208993</v>
      </c>
      <c r="AN168" s="8">
        <v>75.430096379495538</v>
      </c>
      <c r="AO168" s="8">
        <v>54.880299330414623</v>
      </c>
      <c r="AP168" s="8">
        <v>27.58479478258349</v>
      </c>
      <c r="AQ168" s="8">
        <v>23.49764540996344</v>
      </c>
      <c r="AR168" s="8">
        <v>0.51798784306528434</v>
      </c>
      <c r="AS168" s="8">
        <v>76.529953704869598</v>
      </c>
      <c r="AT168" s="8">
        <v>54.858951500935817</v>
      </c>
      <c r="AU168" s="8">
        <v>26.650592713713081</v>
      </c>
      <c r="AV168" s="8">
        <v>23.56434158138244</v>
      </c>
      <c r="AW168" s="8">
        <v>0.55332348970560985</v>
      </c>
      <c r="AX168" s="8">
        <v>70.77143721496833</v>
      </c>
      <c r="AY168" s="8">
        <v>54.527406829429729</v>
      </c>
      <c r="AZ168" s="8">
        <v>27.647309373142129</v>
      </c>
      <c r="BA168" s="8">
        <v>24.595512726875011</v>
      </c>
      <c r="BB168" s="8">
        <v>0.52413329703598066</v>
      </c>
      <c r="BC168" s="8">
        <v>73.71774533484033</v>
      </c>
      <c r="BD168" s="8">
        <v>54.946790653856901</v>
      </c>
      <c r="BE168" s="8">
        <v>25.873738200638609</v>
      </c>
      <c r="BF168" s="8">
        <v>25.891467521201069</v>
      </c>
      <c r="BG168" s="8">
        <v>0.57201502705064955</v>
      </c>
      <c r="BH168" s="8">
        <v>70.811400522917168</v>
      </c>
      <c r="BI168" s="8">
        <v>60.693194504857743</v>
      </c>
    </row>
    <row r="169" spans="1:61" x14ac:dyDescent="0.15">
      <c r="A169" s="7">
        <v>2023</v>
      </c>
      <c r="B169" s="7">
        <v>128</v>
      </c>
      <c r="C169" s="9">
        <v>19.052158687680855</v>
      </c>
      <c r="D169" s="7">
        <v>17.723336124732196</v>
      </c>
      <c r="E169" s="8">
        <v>34.831230240719393</v>
      </c>
      <c r="F169" s="8">
        <v>15.946657434935039</v>
      </c>
      <c r="G169" s="8">
        <v>0.55361760845124541</v>
      </c>
      <c r="H169" s="8">
        <v>82.657440442856526</v>
      </c>
      <c r="I169" s="8">
        <v>64.664004302574469</v>
      </c>
      <c r="J169" s="8">
        <v>37.589842350558101</v>
      </c>
      <c r="K169" s="8">
        <v>19.832207460123389</v>
      </c>
      <c r="L169" s="8">
        <v>0.60875106296529891</v>
      </c>
      <c r="M169" s="8">
        <v>82.195876310569076</v>
      </c>
      <c r="N169" s="8">
        <v>75.150745961831021</v>
      </c>
      <c r="O169" s="7">
        <v>289.69600000000003</v>
      </c>
      <c r="P169" s="7">
        <v>281.32600000000002</v>
      </c>
      <c r="Q169" s="7">
        <v>100.797</v>
      </c>
      <c r="R169" s="7">
        <v>-0.17837800000000001</v>
      </c>
      <c r="S169" s="7">
        <v>0.104585</v>
      </c>
      <c r="T169" s="7">
        <f>C169-D169</f>
        <v>1.328822562948659</v>
      </c>
      <c r="U169" s="8">
        <f>D169/C169</f>
        <v>0.93025343822021189</v>
      </c>
      <c r="V169" s="8">
        <v>34.059511194646063</v>
      </c>
      <c r="W169" s="8">
        <v>18.470781253220775</v>
      </c>
      <c r="X169" s="8">
        <v>0.57917524953307165</v>
      </c>
      <c r="Y169" s="8">
        <v>81.127513415685428</v>
      </c>
      <c r="Z169" s="8">
        <v>68.53746352910882</v>
      </c>
      <c r="AA169" s="7">
        <v>35.824676772602082</v>
      </c>
      <c r="AB169" s="7">
        <v>19.151494356672082</v>
      </c>
      <c r="AC169" s="7">
        <v>0.59396315624918528</v>
      </c>
      <c r="AD169" s="7">
        <v>81.661694863127252</v>
      </c>
      <c r="AE169" s="7">
        <v>71.84410474546992</v>
      </c>
      <c r="AF169" s="8">
        <v>38.277144602816563</v>
      </c>
      <c r="AG169" s="8">
        <v>19.247016264709082</v>
      </c>
      <c r="AH169" s="8">
        <v>0.61388487711231698</v>
      </c>
      <c r="AI169" s="8">
        <v>82.942546623513465</v>
      </c>
      <c r="AJ169" s="8">
        <v>74.753845371687675</v>
      </c>
      <c r="AK169" s="8">
        <v>37.470543453060642</v>
      </c>
      <c r="AL169" s="8">
        <v>19.933782370155679</v>
      </c>
      <c r="AM169" s="8">
        <v>0.60785995811923799</v>
      </c>
      <c r="AN169" s="8">
        <v>82.066272566603985</v>
      </c>
      <c r="AO169" s="8">
        <v>75.219638217988475</v>
      </c>
      <c r="AP169" s="8">
        <v>35.675836769071047</v>
      </c>
      <c r="AQ169" s="8">
        <v>19.25725198499978</v>
      </c>
      <c r="AR169" s="8">
        <v>0.59331393453070658</v>
      </c>
      <c r="AS169" s="8">
        <v>81.706560851688209</v>
      </c>
      <c r="AT169" s="8">
        <v>71.596448362974144</v>
      </c>
      <c r="AU169" s="8">
        <v>33.519334912477262</v>
      </c>
      <c r="AV169" s="8">
        <v>26.481923810495822</v>
      </c>
      <c r="AW169" s="8">
        <v>0.62181093960831124</v>
      </c>
      <c r="AX169" s="8">
        <v>67.74456343123245</v>
      </c>
      <c r="AY169" s="8">
        <v>64.582160198756924</v>
      </c>
      <c r="AZ169" s="8">
        <v>36.505185990310402</v>
      </c>
      <c r="BA169" s="8">
        <v>18.66030431980095</v>
      </c>
      <c r="BB169" s="8">
        <v>0.59333785564479391</v>
      </c>
      <c r="BC169" s="8">
        <v>81.770319192059361</v>
      </c>
      <c r="BD169" s="8">
        <v>73.056997780044128</v>
      </c>
      <c r="BE169" s="8">
        <v>34.616048736650633</v>
      </c>
      <c r="BF169" s="8">
        <v>25.65171941583673</v>
      </c>
      <c r="BG169" s="8">
        <v>0.6026340771488562</v>
      </c>
      <c r="BH169" s="8">
        <v>67.006727816470686</v>
      </c>
      <c r="BI169" s="8">
        <v>68.201806022714436</v>
      </c>
    </row>
    <row r="170" spans="1:61" x14ac:dyDescent="0.15">
      <c r="A170" s="7">
        <v>2021</v>
      </c>
      <c r="B170" s="7">
        <v>130</v>
      </c>
      <c r="C170" s="7">
        <v>6.5466179083120899</v>
      </c>
      <c r="D170" s="7">
        <v>5.6781759004920955</v>
      </c>
      <c r="E170" s="8">
        <v>19.269017648920009</v>
      </c>
      <c r="F170" s="8">
        <v>11.264592324151799</v>
      </c>
      <c r="G170" s="8">
        <v>0.55382206065650974</v>
      </c>
      <c r="H170" s="8">
        <v>59.660544314789803</v>
      </c>
      <c r="I170" s="8">
        <v>28.836861931241209</v>
      </c>
      <c r="J170" s="8">
        <v>23.801262872096551</v>
      </c>
      <c r="K170" s="8">
        <v>14.024994932236931</v>
      </c>
      <c r="L170" s="8">
        <v>0.57727404605844812</v>
      </c>
      <c r="M170" s="8">
        <v>54.051115852441519</v>
      </c>
      <c r="N170" s="8">
        <v>33.392797823492756</v>
      </c>
      <c r="O170" s="8">
        <v>290.92399999999998</v>
      </c>
      <c r="P170" s="8">
        <v>286.86799999999999</v>
      </c>
      <c r="Q170" s="8">
        <v>95.914299999999997</v>
      </c>
      <c r="R170" s="8">
        <v>-0.37368499999999999</v>
      </c>
      <c r="S170" s="8">
        <v>-0.34316600000000003</v>
      </c>
      <c r="T170" s="7">
        <f>C170-D170</f>
        <v>0.86844200781999437</v>
      </c>
      <c r="U170" s="8">
        <f>D170/C170</f>
        <v>0.86734493749553432</v>
      </c>
      <c r="V170" s="8">
        <v>17.716462686638366</v>
      </c>
      <c r="W170" s="8">
        <v>9.1965632519451876</v>
      </c>
      <c r="X170" s="8">
        <v>0.54337562439192089</v>
      </c>
      <c r="Y170" s="8">
        <v>61.214162442056924</v>
      </c>
      <c r="Z170" s="8">
        <v>26.636165030616603</v>
      </c>
      <c r="AA170" s="7">
        <v>20.758862779367458</v>
      </c>
      <c r="AB170" s="7">
        <v>11.610779092091059</v>
      </c>
      <c r="AC170" s="7">
        <v>0.5603248352251845</v>
      </c>
      <c r="AD170" s="7">
        <v>57.632639147249222</v>
      </c>
      <c r="AE170" s="7">
        <v>30.01448142705468</v>
      </c>
      <c r="AF170" s="8">
        <v>25.610596060318571</v>
      </c>
      <c r="AG170" s="8">
        <v>15.13821616444789</v>
      </c>
      <c r="AH170" s="8">
        <v>0.59370640171123723</v>
      </c>
      <c r="AI170" s="8">
        <v>52.787905962716557</v>
      </c>
      <c r="AJ170" s="8">
        <v>36.236098692206852</v>
      </c>
      <c r="AK170" s="8">
        <v>23.599210728562252</v>
      </c>
      <c r="AL170" s="8">
        <v>13.90067911375732</v>
      </c>
      <c r="AM170" s="8">
        <v>0.57543900942474413</v>
      </c>
      <c r="AN170" s="8">
        <v>54.192181228135787</v>
      </c>
      <c r="AO170" s="8">
        <v>33.075280276710139</v>
      </c>
      <c r="AP170" s="8">
        <v>23.305457733408211</v>
      </c>
      <c r="AQ170" s="8">
        <v>12.066151751286</v>
      </c>
      <c r="AR170" s="8">
        <v>0.56431560667128655</v>
      </c>
      <c r="AS170" s="8">
        <v>53.757226773466769</v>
      </c>
      <c r="AT170" s="8">
        <v>31.919550945347979</v>
      </c>
      <c r="AU170" s="8">
        <v>19.8378108579825</v>
      </c>
      <c r="AV170" s="8">
        <v>10.41000477540711</v>
      </c>
      <c r="AW170" s="8">
        <v>0.54620248739487764</v>
      </c>
      <c r="AX170" s="8">
        <v>63.163715104972397</v>
      </c>
      <c r="AY170" s="8">
        <v>28.796820499708641</v>
      </c>
      <c r="AZ170" s="8">
        <v>25.336791518476339</v>
      </c>
      <c r="BA170" s="8">
        <v>16.162363609412338</v>
      </c>
      <c r="BB170" s="8">
        <v>0.62094330013547072</v>
      </c>
      <c r="BC170" s="8">
        <v>54.5278313972264</v>
      </c>
      <c r="BD170" s="8">
        <v>35.433349286231397</v>
      </c>
      <c r="BE170" s="8">
        <v>26.499988293593901</v>
      </c>
      <c r="BF170" s="8">
        <v>20.769340438716071</v>
      </c>
      <c r="BG170" s="8">
        <v>0.6128911634897698</v>
      </c>
      <c r="BH170" s="8">
        <v>54.740651294659507</v>
      </c>
      <c r="BI170" s="8">
        <v>44.925452175694943</v>
      </c>
    </row>
    <row r="171" spans="1:61" x14ac:dyDescent="0.15">
      <c r="A171" s="7">
        <v>2023</v>
      </c>
      <c r="B171" s="7">
        <v>81</v>
      </c>
      <c r="C171" s="9">
        <v>44.720761660403475</v>
      </c>
      <c r="D171" s="7">
        <v>31.941688841151414</v>
      </c>
      <c r="E171" s="8">
        <v>31.494769542515719</v>
      </c>
      <c r="F171" s="8">
        <v>18.97157973202015</v>
      </c>
      <c r="G171" s="8">
        <v>0.5543926688522145</v>
      </c>
      <c r="H171" s="8">
        <v>66.495711978156706</v>
      </c>
      <c r="I171" s="8">
        <v>73.955679156275934</v>
      </c>
      <c r="J171" s="8">
        <v>25.96419097422643</v>
      </c>
      <c r="K171" s="8">
        <v>20.815101163602751</v>
      </c>
      <c r="L171" s="8">
        <v>0.55413463104329819</v>
      </c>
      <c r="M171" s="8">
        <v>65.344473007946405</v>
      </c>
      <c r="N171" s="8">
        <v>78.470902507474435</v>
      </c>
      <c r="O171" s="7">
        <v>280.17700000000002</v>
      </c>
      <c r="P171" s="7">
        <v>266.66399999999999</v>
      </c>
      <c r="Q171" s="7">
        <v>86.508899999999997</v>
      </c>
      <c r="R171" s="7">
        <v>1.82864</v>
      </c>
      <c r="S171" s="7">
        <v>0.414688</v>
      </c>
      <c r="T171" s="7">
        <f>C171-D171</f>
        <v>12.779072819252061</v>
      </c>
      <c r="U171" s="8">
        <f>D171/C171</f>
        <v>0.71424742457893176</v>
      </c>
      <c r="V171" s="8">
        <v>21.93517781470867</v>
      </c>
      <c r="W171" s="8">
        <v>30.012968008324545</v>
      </c>
      <c r="X171" s="8">
        <v>0.70078628825931633</v>
      </c>
      <c r="Y171" s="8">
        <v>50.11960327824697</v>
      </c>
      <c r="Z171" s="8">
        <v>66.018658256826129</v>
      </c>
      <c r="AA171" s="7">
        <v>23.94968439446755</v>
      </c>
      <c r="AB171" s="7">
        <v>25.414034585963648</v>
      </c>
      <c r="AC171" s="7">
        <v>0.62746045965130726</v>
      </c>
      <c r="AD171" s="7">
        <v>57.732038143096688</v>
      </c>
      <c r="AE171" s="7">
        <v>72.244780382150282</v>
      </c>
      <c r="AF171" s="8">
        <v>28.691285650435269</v>
      </c>
      <c r="AG171" s="8">
        <v>18.128990285456041</v>
      </c>
      <c r="AH171" s="8">
        <v>0.51403648345777453</v>
      </c>
      <c r="AI171" s="8">
        <v>71.564355626105254</v>
      </c>
      <c r="AJ171" s="8">
        <v>82.965088467678754</v>
      </c>
      <c r="AK171" s="8">
        <v>25.8426363386166</v>
      </c>
      <c r="AL171" s="8">
        <v>20.934829030716859</v>
      </c>
      <c r="AM171" s="8">
        <v>0.55592192349079173</v>
      </c>
      <c r="AN171" s="8">
        <v>65.06723453442288</v>
      </c>
      <c r="AO171" s="8">
        <v>78.270583412753837</v>
      </c>
      <c r="AP171" s="8">
        <v>27.41641946927059</v>
      </c>
      <c r="AQ171" s="8">
        <v>23.648936426745049</v>
      </c>
      <c r="AR171" s="8">
        <v>0.58588602830593806</v>
      </c>
      <c r="AS171" s="8">
        <v>59.161412129395202</v>
      </c>
      <c r="AT171" s="8">
        <v>77.411288447637048</v>
      </c>
      <c r="AU171" s="8">
        <v>23.25832351454277</v>
      </c>
      <c r="AV171" s="8">
        <v>25.884116864133439</v>
      </c>
      <c r="AW171" s="8">
        <v>0.63695627620846751</v>
      </c>
      <c r="AX171" s="8">
        <v>57.08870181833133</v>
      </c>
      <c r="AY171" s="8">
        <v>71.139270168724423</v>
      </c>
      <c r="AZ171" s="8">
        <v>27.322147267663151</v>
      </c>
      <c r="BA171" s="8">
        <v>22.041785061510279</v>
      </c>
      <c r="BB171" s="8">
        <v>0.56563185083677681</v>
      </c>
      <c r="BC171" s="8">
        <v>66.054989479703792</v>
      </c>
      <c r="BD171" s="8">
        <v>80.673036972971332</v>
      </c>
      <c r="BE171" s="8">
        <v>22.276149299140201</v>
      </c>
      <c r="BF171" s="8">
        <v>22.538971950768619</v>
      </c>
      <c r="BG171" s="8">
        <v>0.5525730963022194</v>
      </c>
      <c r="BH171" s="8">
        <v>61.852430923845972</v>
      </c>
      <c r="BI171" s="8">
        <v>70.312772518940832</v>
      </c>
    </row>
    <row r="172" spans="1:61" x14ac:dyDescent="0.15">
      <c r="A172" s="7">
        <v>2021</v>
      </c>
      <c r="B172" s="7">
        <v>22</v>
      </c>
      <c r="C172" s="7">
        <v>156.30064991071373</v>
      </c>
      <c r="D172" s="7">
        <v>18.165163630743411</v>
      </c>
      <c r="E172" s="8">
        <v>26.65200149454396</v>
      </c>
      <c r="F172" s="8">
        <v>14.73408743281743</v>
      </c>
      <c r="G172" s="8">
        <v>0.55457121583881419</v>
      </c>
      <c r="H172" s="8">
        <v>74.399678252381875</v>
      </c>
      <c r="I172" s="8">
        <v>50.951657648749318</v>
      </c>
      <c r="J172" s="8">
        <v>41.118282676878998</v>
      </c>
      <c r="K172" s="8">
        <v>30.869240603581741</v>
      </c>
      <c r="L172" s="8">
        <v>0.73469255917932985</v>
      </c>
      <c r="M172" s="8">
        <v>55.840568375639442</v>
      </c>
      <c r="N172" s="8">
        <v>75.59021261132564</v>
      </c>
      <c r="O172" s="8">
        <v>286.72800000000001</v>
      </c>
      <c r="P172" s="8">
        <v>279.62599999999998</v>
      </c>
      <c r="Q172" s="8">
        <v>92.288600000000002</v>
      </c>
      <c r="R172" s="8">
        <v>-6.5806799999999999E-2</v>
      </c>
      <c r="S172" s="8">
        <v>-0.104949</v>
      </c>
      <c r="T172" s="7">
        <f>C172-D172</f>
        <v>138.13548627997031</v>
      </c>
      <c r="U172" s="8">
        <f>D172/C172</f>
        <v>0.11621937363101309</v>
      </c>
      <c r="V172" s="8">
        <v>26.684520119388189</v>
      </c>
      <c r="W172" s="8">
        <v>13.469786485406718</v>
      </c>
      <c r="X172" s="8">
        <v>0.56652272748883492</v>
      </c>
      <c r="Y172" s="8">
        <v>72.813662389898411</v>
      </c>
      <c r="Z172" s="8">
        <v>49.505369987005125</v>
      </c>
      <c r="AA172" s="7">
        <v>33.901401398133594</v>
      </c>
      <c r="AB172" s="7">
        <v>22.16951354449423</v>
      </c>
      <c r="AC172" s="7">
        <v>0.65060764333408239</v>
      </c>
      <c r="AD172" s="7">
        <v>64.327115382768923</v>
      </c>
      <c r="AE172" s="7">
        <v>62.547791299165382</v>
      </c>
      <c r="AF172" s="8">
        <v>40.200916029586097</v>
      </c>
      <c r="AG172" s="8">
        <v>29.662569909782409</v>
      </c>
      <c r="AH172" s="8">
        <v>0.72046641593154359</v>
      </c>
      <c r="AI172" s="8">
        <v>59.217257345024358</v>
      </c>
      <c r="AJ172" s="8">
        <v>70.710165855143117</v>
      </c>
      <c r="AK172" s="8">
        <v>41.208062411102297</v>
      </c>
      <c r="AL172" s="8">
        <v>30.987333597810419</v>
      </c>
      <c r="AM172" s="8">
        <v>0.7360848262337053</v>
      </c>
      <c r="AN172" s="8">
        <v>55.510102646238082</v>
      </c>
      <c r="AO172" s="8">
        <v>76.067807150063516</v>
      </c>
      <c r="AP172" s="8">
        <v>41.281152276331738</v>
      </c>
      <c r="AQ172" s="8">
        <v>28.853344414847331</v>
      </c>
      <c r="AR172" s="8">
        <v>0.75282236005675407</v>
      </c>
      <c r="AS172" s="8">
        <v>54.108264137071941</v>
      </c>
      <c r="AT172" s="8">
        <v>73.480933305941448</v>
      </c>
      <c r="AU172" s="8">
        <v>33.720744854250484</v>
      </c>
      <c r="AV172" s="8">
        <v>22.129000984481991</v>
      </c>
      <c r="AW172" s="8">
        <v>0.62574720470342327</v>
      </c>
      <c r="AX172" s="8">
        <v>61.532616761569031</v>
      </c>
      <c r="AY172" s="8">
        <v>58.480253831872567</v>
      </c>
      <c r="AZ172" s="8">
        <v>40.274327620916537</v>
      </c>
      <c r="BA172" s="8">
        <v>31.178264409275869</v>
      </c>
      <c r="BB172" s="8">
        <v>0.7243444699162257</v>
      </c>
      <c r="BC172" s="8">
        <v>55.400057526648823</v>
      </c>
      <c r="BD172" s="8">
        <v>75.586771613920305</v>
      </c>
      <c r="BE172" s="8">
        <v>35.932573773186753</v>
      </c>
      <c r="BF172" s="8">
        <v>30.728635798437519</v>
      </c>
      <c r="BG172" s="8">
        <v>0.64459507702436825</v>
      </c>
      <c r="BH172" s="8">
        <v>61.960799039412521</v>
      </c>
      <c r="BI172" s="8">
        <v>67.19811850263018</v>
      </c>
    </row>
    <row r="173" spans="1:61" x14ac:dyDescent="0.15">
      <c r="A173" s="7">
        <v>2023</v>
      </c>
      <c r="B173" s="7">
        <v>41</v>
      </c>
      <c r="C173" s="9">
        <v>130.9828004758933</v>
      </c>
      <c r="D173" s="7">
        <v>47.235983919655979</v>
      </c>
      <c r="E173" s="8">
        <v>22.687287329755669</v>
      </c>
      <c r="F173" s="8">
        <v>27.173137873073049</v>
      </c>
      <c r="G173" s="8">
        <v>0.55475587194478504</v>
      </c>
      <c r="H173" s="8">
        <v>72.144485328784398</v>
      </c>
      <c r="I173" s="8">
        <v>39.490725005277717</v>
      </c>
      <c r="J173" s="8">
        <v>21.8267474056188</v>
      </c>
      <c r="K173" s="8">
        <v>32.518417624055751</v>
      </c>
      <c r="L173" s="8">
        <v>0.52734327612728171</v>
      </c>
      <c r="M173" s="8">
        <v>72.303031064948911</v>
      </c>
      <c r="N173" s="8">
        <v>40.97684493894667</v>
      </c>
      <c r="O173" s="7">
        <v>291.262</v>
      </c>
      <c r="P173" s="7">
        <v>286.41399999999999</v>
      </c>
      <c r="Q173" s="7">
        <v>101.554</v>
      </c>
      <c r="R173" s="7">
        <v>-0.71253</v>
      </c>
      <c r="S173" s="7">
        <v>-0.322685</v>
      </c>
      <c r="T173" s="7">
        <f>C173-D173</f>
        <v>83.74681655623732</v>
      </c>
      <c r="U173" s="8">
        <f>D173/C173</f>
        <v>0.36062737815984869</v>
      </c>
      <c r="V173" s="8">
        <v>21.110735291983122</v>
      </c>
      <c r="W173" s="8">
        <v>22.607518868314429</v>
      </c>
      <c r="X173" s="8">
        <v>0.49834971544374362</v>
      </c>
      <c r="Y173" s="8">
        <v>73.658156067093174</v>
      </c>
      <c r="Z173" s="8">
        <v>38.622707340892347</v>
      </c>
      <c r="AA173" s="7">
        <v>21.468741348800961</v>
      </c>
      <c r="AB173" s="7">
        <v>27.56296824618509</v>
      </c>
      <c r="AC173" s="7">
        <v>0.51284649578551267</v>
      </c>
      <c r="AD173" s="7">
        <v>72.980593566021042</v>
      </c>
      <c r="AE173" s="7">
        <v>39.799776139919508</v>
      </c>
      <c r="AF173" s="8">
        <v>22.18748154158456</v>
      </c>
      <c r="AG173" s="8">
        <v>32.918953457890218</v>
      </c>
      <c r="AH173" s="8">
        <v>0.53037767595722507</v>
      </c>
      <c r="AI173" s="8">
        <v>71.63779228767099</v>
      </c>
      <c r="AJ173" s="8">
        <v>41.151913689978777</v>
      </c>
      <c r="AK173" s="8">
        <v>21.795233765134672</v>
      </c>
      <c r="AL173" s="8">
        <v>32.483426917576928</v>
      </c>
      <c r="AM173" s="8">
        <v>0.52707819174576098</v>
      </c>
      <c r="AN173" s="8">
        <v>72.361146151859415</v>
      </c>
      <c r="AO173" s="8">
        <v>40.96155097829817</v>
      </c>
      <c r="AP173" s="8">
        <v>21.999082045097559</v>
      </c>
      <c r="AQ173" s="8">
        <v>29.55487733151843</v>
      </c>
      <c r="AR173" s="8">
        <v>0.5244915167336297</v>
      </c>
      <c r="AS173" s="8">
        <v>74.602271002084606</v>
      </c>
      <c r="AT173" s="8">
        <v>41.490623745643383</v>
      </c>
      <c r="AU173" s="8">
        <v>22.06117294423268</v>
      </c>
      <c r="AV173" s="8">
        <v>32.915224919760938</v>
      </c>
      <c r="AW173" s="8">
        <v>0.62115428366568426</v>
      </c>
      <c r="AX173" s="8">
        <v>63.026897741935947</v>
      </c>
      <c r="AY173" s="8">
        <v>45.223664695759737</v>
      </c>
      <c r="AZ173" s="8">
        <v>21.709744621383791</v>
      </c>
      <c r="BA173" s="8">
        <v>32.437511667246063</v>
      </c>
      <c r="BB173" s="8">
        <v>0.53841760397183469</v>
      </c>
      <c r="BC173" s="8">
        <v>69.165274582517767</v>
      </c>
      <c r="BD173" s="8">
        <v>41.636155774659898</v>
      </c>
      <c r="BE173" s="8">
        <v>23.582824259620651</v>
      </c>
      <c r="BF173" s="8">
        <v>28.812833029407081</v>
      </c>
      <c r="BG173" s="8">
        <v>0.59934103049261744</v>
      </c>
      <c r="BH173" s="8">
        <v>65.822205354313354</v>
      </c>
      <c r="BI173" s="8">
        <v>50.154478550444523</v>
      </c>
    </row>
    <row r="174" spans="1:61" x14ac:dyDescent="0.15">
      <c r="A174" s="7">
        <v>2021</v>
      </c>
      <c r="B174" s="7">
        <v>59</v>
      </c>
      <c r="C174" s="7">
        <v>60.870289299192883</v>
      </c>
      <c r="D174" s="7">
        <v>43.407811414491569</v>
      </c>
      <c r="E174" s="8">
        <v>30.380246066876801</v>
      </c>
      <c r="F174" s="8">
        <v>24.834837695156391</v>
      </c>
      <c r="G174" s="8">
        <v>0.55502892750598165</v>
      </c>
      <c r="H174" s="8">
        <v>74.985058890136941</v>
      </c>
      <c r="I174" s="8">
        <v>40.727793099564273</v>
      </c>
      <c r="J174" s="8">
        <v>34.951865932629246</v>
      </c>
      <c r="K174" s="8">
        <v>24.604766525060889</v>
      </c>
      <c r="L174" s="8">
        <v>0.61175926175271866</v>
      </c>
      <c r="M174" s="8">
        <v>74.170604334965546</v>
      </c>
      <c r="N174" s="8">
        <v>55.261842982553731</v>
      </c>
      <c r="O174" s="8">
        <v>289.50700000000001</v>
      </c>
      <c r="P174" s="8">
        <v>284.31400000000002</v>
      </c>
      <c r="Q174" s="8">
        <v>101.501</v>
      </c>
      <c r="R174" s="8">
        <v>-0.78322199999999997</v>
      </c>
      <c r="S174" s="8">
        <v>4.5396100000000002E-2</v>
      </c>
      <c r="T174" s="7">
        <f>C174-D174</f>
        <v>17.462477884701315</v>
      </c>
      <c r="U174" s="8">
        <f>D174/C174</f>
        <v>0.71311984737137002</v>
      </c>
      <c r="V174" s="8">
        <v>32.05385010137978</v>
      </c>
      <c r="W174" s="8">
        <v>29.974871093691092</v>
      </c>
      <c r="X174" s="8">
        <v>0.67233856937597947</v>
      </c>
      <c r="Y174" s="8">
        <v>70.659835899986874</v>
      </c>
      <c r="Z174" s="8">
        <v>48.358481380169991</v>
      </c>
      <c r="AA174" s="7">
        <v>33.502858017004513</v>
      </c>
      <c r="AB174" s="7">
        <v>27.289818809375991</v>
      </c>
      <c r="AC174" s="7">
        <v>0.64204891556434907</v>
      </c>
      <c r="AD174" s="7">
        <v>72.41522011747621</v>
      </c>
      <c r="AE174" s="7">
        <v>51.810162181361861</v>
      </c>
      <c r="AF174" s="8">
        <v>34.320449871036089</v>
      </c>
      <c r="AG174" s="8">
        <v>25.061358879524921</v>
      </c>
      <c r="AH174" s="8">
        <v>0.62314860811390793</v>
      </c>
      <c r="AI174" s="8">
        <v>73.179560520094611</v>
      </c>
      <c r="AJ174" s="8">
        <v>52.587001589807031</v>
      </c>
      <c r="AK174" s="8">
        <v>35.013272666591241</v>
      </c>
      <c r="AL174" s="8">
        <v>24.56036181801414</v>
      </c>
      <c r="AM174" s="8">
        <v>0.61065162036608989</v>
      </c>
      <c r="AN174" s="8">
        <v>74.266985734784413</v>
      </c>
      <c r="AO174" s="8">
        <v>55.521977755464782</v>
      </c>
      <c r="AP174" s="8">
        <v>32.113409780496092</v>
      </c>
      <c r="AQ174" s="8">
        <v>26.930274727980589</v>
      </c>
      <c r="AR174" s="8">
        <v>0.59497246788184521</v>
      </c>
      <c r="AS174" s="8">
        <v>72.927771313984664</v>
      </c>
      <c r="AT174" s="8">
        <v>49.839567716140976</v>
      </c>
      <c r="AU174" s="8">
        <v>30.029726254116781</v>
      </c>
      <c r="AV174" s="8">
        <v>22.655989670048221</v>
      </c>
      <c r="AW174" s="8">
        <v>0.64742157631684738</v>
      </c>
      <c r="AX174" s="8">
        <v>72.533128301009981</v>
      </c>
      <c r="AY174" s="8">
        <v>50.798318168352417</v>
      </c>
      <c r="AZ174" s="8">
        <v>35.022649256766719</v>
      </c>
      <c r="BA174" s="8">
        <v>24.379998251604611</v>
      </c>
      <c r="BB174" s="8">
        <v>0.5979806083039988</v>
      </c>
      <c r="BC174" s="8">
        <v>73.678971834837427</v>
      </c>
      <c r="BD174" s="8">
        <v>56.318066846401159</v>
      </c>
      <c r="BE174" s="8"/>
      <c r="BF174" s="8"/>
      <c r="BG174" s="8"/>
      <c r="BH174" s="8"/>
      <c r="BI174" s="8"/>
    </row>
    <row r="175" spans="1:61" x14ac:dyDescent="0.15">
      <c r="A175" s="7">
        <v>2023</v>
      </c>
      <c r="B175" s="7">
        <v>7</v>
      </c>
      <c r="C175" s="9">
        <v>396.73427933917714</v>
      </c>
      <c r="D175" s="7">
        <v>268.22159685456523</v>
      </c>
      <c r="E175" s="8">
        <v>23.838037008859612</v>
      </c>
      <c r="F175" s="8">
        <v>15.321366348817399</v>
      </c>
      <c r="G175" s="8">
        <v>0.55517111116829554</v>
      </c>
      <c r="H175" s="8">
        <v>59.87409699828055</v>
      </c>
      <c r="I175" s="8">
        <v>40.425113667915873</v>
      </c>
      <c r="J175" s="8">
        <v>29.967316600979601</v>
      </c>
      <c r="K175" s="8">
        <v>22.929491121682641</v>
      </c>
      <c r="L175" s="8">
        <v>0.62262918800076406</v>
      </c>
      <c r="M175" s="8">
        <v>59.114242027863128</v>
      </c>
      <c r="N175" s="8">
        <v>52.739443210396651</v>
      </c>
      <c r="O175" s="7">
        <v>287.43900000000002</v>
      </c>
      <c r="P175" s="7">
        <v>282.68700000000001</v>
      </c>
      <c r="Q175" s="7">
        <v>87.813500000000005</v>
      </c>
      <c r="R175" s="7">
        <v>-0.208063</v>
      </c>
      <c r="S175" s="7">
        <v>-0.242202</v>
      </c>
      <c r="T175" s="7">
        <f>C175-D175</f>
        <v>128.5126824846119</v>
      </c>
      <c r="U175" s="8">
        <f>D175/C175</f>
        <v>0.67607366144748104</v>
      </c>
      <c r="V175" s="8">
        <v>24.588206201431618</v>
      </c>
      <c r="W175" s="8">
        <v>14.368817933270517</v>
      </c>
      <c r="X175" s="8">
        <v>0.54950972490383776</v>
      </c>
      <c r="Y175" s="8">
        <v>61.390373237078606</v>
      </c>
      <c r="Z175" s="8">
        <v>42.305928428954623</v>
      </c>
      <c r="AA175" s="7">
        <v>27.277761401205609</v>
      </c>
      <c r="AB175" s="7">
        <v>18.649154527476579</v>
      </c>
      <c r="AC175" s="7">
        <v>0.58606945645230091</v>
      </c>
      <c r="AD175" s="7">
        <v>60.252307632470867</v>
      </c>
      <c r="AE175" s="7">
        <v>47.522685819675637</v>
      </c>
      <c r="AF175" s="8">
        <v>30.671279234927589</v>
      </c>
      <c r="AG175" s="8">
        <v>22.047819140251661</v>
      </c>
      <c r="AH175" s="8">
        <v>0.62804994531498359</v>
      </c>
      <c r="AI175" s="8">
        <v>58.91213171464814</v>
      </c>
      <c r="AJ175" s="8">
        <v>53.666598129680338</v>
      </c>
      <c r="AK175" s="8">
        <v>29.895585530575829</v>
      </c>
      <c r="AL175" s="8">
        <v>23.019330087450431</v>
      </c>
      <c r="AM175" s="8">
        <v>0.6220768337907584</v>
      </c>
      <c r="AN175" s="8">
        <v>59.134836287284628</v>
      </c>
      <c r="AO175" s="8">
        <v>52.644969709129441</v>
      </c>
      <c r="AP175" s="8">
        <v>28.055573354019799</v>
      </c>
      <c r="AQ175" s="8">
        <v>18.5819136170824</v>
      </c>
      <c r="AR175" s="8">
        <v>0.58910871523941599</v>
      </c>
      <c r="AS175" s="8">
        <v>60.864020607454769</v>
      </c>
      <c r="AT175" s="8">
        <v>49.06102126496269</v>
      </c>
      <c r="AU175" s="8">
        <v>23.061150937597588</v>
      </c>
      <c r="AV175" s="8">
        <v>16.122384329459418</v>
      </c>
      <c r="AW175" s="8">
        <v>0.53835222605652155</v>
      </c>
      <c r="AX175" s="8">
        <v>60.298399625877117</v>
      </c>
      <c r="AY175" s="8">
        <v>40.348430027979092</v>
      </c>
      <c r="AZ175" s="8">
        <v>30.425381465608901</v>
      </c>
      <c r="BA175" s="8">
        <v>25.816220277799282</v>
      </c>
      <c r="BB175" s="8">
        <v>0.63051522714507513</v>
      </c>
      <c r="BC175" s="8">
        <v>57.916115557935953</v>
      </c>
      <c r="BD175" s="8">
        <v>54.044252320808447</v>
      </c>
      <c r="BE175" s="8">
        <v>22.8944958695145</v>
      </c>
      <c r="BF175" s="8">
        <v>19.706286014183661</v>
      </c>
      <c r="BG175" s="8">
        <v>0.5766788603028935</v>
      </c>
      <c r="BH175" s="8">
        <v>57.279840000771763</v>
      </c>
      <c r="BI175" s="8">
        <v>42.337531887639237</v>
      </c>
    </row>
    <row r="176" spans="1:61" x14ac:dyDescent="0.15">
      <c r="A176" s="7">
        <v>2021</v>
      </c>
      <c r="B176" s="7">
        <v>100</v>
      </c>
      <c r="C176" s="7">
        <v>61.458100138860196</v>
      </c>
      <c r="D176" s="7">
        <v>8.8530363433589141</v>
      </c>
      <c r="E176" s="8">
        <v>17.481630975715358</v>
      </c>
      <c r="F176" s="8">
        <v>11.387196831632931</v>
      </c>
      <c r="G176" s="8">
        <v>0.55556406170345796</v>
      </c>
      <c r="H176" s="8">
        <v>68.142006754616546</v>
      </c>
      <c r="I176" s="8">
        <v>24.15503751739503</v>
      </c>
      <c r="J176" s="8">
        <v>25.669905597911502</v>
      </c>
      <c r="K176" s="8">
        <v>18.968027765610518</v>
      </c>
      <c r="L176" s="8">
        <v>0.63440469357511908</v>
      </c>
      <c r="M176" s="8">
        <v>61.003221237599078</v>
      </c>
      <c r="N176" s="8">
        <v>38.35685337410569</v>
      </c>
      <c r="O176" s="8">
        <v>292.55799999999999</v>
      </c>
      <c r="P176" s="8">
        <v>287.51</v>
      </c>
      <c r="Q176" s="8">
        <v>99.2607</v>
      </c>
      <c r="R176" s="8">
        <v>-0.42163600000000001</v>
      </c>
      <c r="S176" s="8">
        <v>-0.56933100000000003</v>
      </c>
      <c r="T176" s="7">
        <f>C176-D176</f>
        <v>52.60506379550128</v>
      </c>
      <c r="U176" s="8">
        <f>D176/C176</f>
        <v>0.14404995148493216</v>
      </c>
      <c r="V176" s="8">
        <v>16.194495365317678</v>
      </c>
      <c r="W176" s="8">
        <v>9.4694994969473214</v>
      </c>
      <c r="X176" s="8">
        <v>0.57109993747869692</v>
      </c>
      <c r="Y176" s="8">
        <v>69.767902801502387</v>
      </c>
      <c r="Z176" s="8">
        <v>20.784451752473707</v>
      </c>
      <c r="AA176" s="7">
        <v>20.93220048161459</v>
      </c>
      <c r="AB176" s="7">
        <v>14.21876363127892</v>
      </c>
      <c r="AC176" s="7">
        <v>0.602752315526908</v>
      </c>
      <c r="AD176" s="7">
        <v>65.385562019550733</v>
      </c>
      <c r="AE176" s="7">
        <v>29.570652563289698</v>
      </c>
      <c r="AF176" s="8">
        <v>25.209323057476269</v>
      </c>
      <c r="AG176" s="8">
        <v>19.72691001063237</v>
      </c>
      <c r="AH176" s="8">
        <v>0.68723427790037861</v>
      </c>
      <c r="AI176" s="8">
        <v>61.143153140980679</v>
      </c>
      <c r="AJ176" s="8">
        <v>36.151274268400151</v>
      </c>
      <c r="AK176" s="8">
        <v>25.721489525578921</v>
      </c>
      <c r="AL176" s="8">
        <v>18.883035123904438</v>
      </c>
      <c r="AM176" s="8">
        <v>0.62848793117687796</v>
      </c>
      <c r="AN176" s="8">
        <v>60.987549264502633</v>
      </c>
      <c r="AO176" s="8">
        <v>38.603871927926583</v>
      </c>
      <c r="AP176" s="8">
        <v>25.85718236678159</v>
      </c>
      <c r="AQ176" s="8">
        <v>18.219934972345559</v>
      </c>
      <c r="AR176" s="8">
        <v>0.66873244697008061</v>
      </c>
      <c r="AS176" s="8">
        <v>61.357759215592353</v>
      </c>
      <c r="AT176" s="8">
        <v>36.148602366263511</v>
      </c>
      <c r="AU176" s="8">
        <v>22.499209031400351</v>
      </c>
      <c r="AV176" s="8">
        <v>17.264370739358419</v>
      </c>
      <c r="AW176" s="8">
        <v>0.52867861982769959</v>
      </c>
      <c r="AX176" s="8">
        <v>60.486984983970807</v>
      </c>
      <c r="AY176" s="8">
        <v>32.804340086859021</v>
      </c>
      <c r="AZ176" s="8">
        <v>26.652368751468401</v>
      </c>
      <c r="BA176" s="8">
        <v>19.87086333997668</v>
      </c>
      <c r="BB176" s="8">
        <v>0.58767734204590005</v>
      </c>
      <c r="BC176" s="8">
        <v>60.000597952299323</v>
      </c>
      <c r="BD176" s="8">
        <v>41.464047224259559</v>
      </c>
      <c r="BE176" s="8">
        <v>31.040276333591009</v>
      </c>
      <c r="BF176" s="8">
        <v>28.584511912485901</v>
      </c>
      <c r="BG176" s="8">
        <v>0.54901711598920555</v>
      </c>
      <c r="BH176" s="8">
        <v>63.037094227853167</v>
      </c>
      <c r="BI176" s="8">
        <v>46.953727597119503</v>
      </c>
    </row>
    <row r="177" spans="1:61" x14ac:dyDescent="0.15">
      <c r="A177" s="7">
        <v>2021</v>
      </c>
      <c r="B177" s="7">
        <v>133</v>
      </c>
      <c r="C177" s="7">
        <v>35.208622554951113</v>
      </c>
      <c r="D177" s="7">
        <v>3.8001380724486347</v>
      </c>
      <c r="E177" s="8">
        <v>28.267779320950702</v>
      </c>
      <c r="F177" s="8">
        <v>26.08600588190291</v>
      </c>
      <c r="G177" s="8">
        <v>0.55563948029066912</v>
      </c>
      <c r="H177" s="8">
        <v>72.843381322789639</v>
      </c>
      <c r="I177" s="8">
        <v>38.51980330292195</v>
      </c>
      <c r="J177" s="8">
        <v>32.892437636481041</v>
      </c>
      <c r="K177" s="8">
        <v>32.782743902962203</v>
      </c>
      <c r="L177" s="8">
        <v>0.68559653429698952</v>
      </c>
      <c r="M177" s="8">
        <v>63.855132871409467</v>
      </c>
      <c r="N177" s="8">
        <v>55.391666692363238</v>
      </c>
      <c r="O177" s="8">
        <v>290.71899999999999</v>
      </c>
      <c r="P177" s="8">
        <v>285.65699999999998</v>
      </c>
      <c r="Q177" s="8">
        <v>101.271</v>
      </c>
      <c r="R177" s="8">
        <v>-0.79114700000000004</v>
      </c>
      <c r="S177" s="8">
        <v>-0.235123</v>
      </c>
      <c r="T177" s="7">
        <f>C177-D177</f>
        <v>31.408484482502477</v>
      </c>
      <c r="U177" s="8">
        <f>D177/C177</f>
        <v>0.10793202905105559</v>
      </c>
      <c r="V177" s="8">
        <v>30.642271524375261</v>
      </c>
      <c r="W177" s="8">
        <v>28.373146545368179</v>
      </c>
      <c r="X177" s="8">
        <v>0.6678611058843088</v>
      </c>
      <c r="Y177" s="8">
        <v>69.505512555589917</v>
      </c>
      <c r="Z177" s="8">
        <v>45.946976789329987</v>
      </c>
      <c r="AA177" s="7">
        <v>31.767354580428151</v>
      </c>
      <c r="AB177" s="7">
        <v>30.577945224165191</v>
      </c>
      <c r="AC177" s="7">
        <v>0.67672882009064916</v>
      </c>
      <c r="AD177" s="7">
        <v>66.680322713499692</v>
      </c>
      <c r="AE177" s="7">
        <v>50.669321740846613</v>
      </c>
      <c r="AF177" s="8">
        <v>31.88534685845778</v>
      </c>
      <c r="AG177" s="8">
        <v>34.899215082050787</v>
      </c>
      <c r="AH177" s="8">
        <v>0.68245163644618023</v>
      </c>
      <c r="AI177" s="8">
        <v>62.519420150553508</v>
      </c>
      <c r="AJ177" s="8">
        <v>55.767629380809318</v>
      </c>
      <c r="AK177" s="8">
        <v>32.981039644910602</v>
      </c>
      <c r="AL177" s="8">
        <v>32.596540631774893</v>
      </c>
      <c r="AM177" s="8">
        <v>0.68587321666959022</v>
      </c>
      <c r="AN177" s="8">
        <v>63.972646438542952</v>
      </c>
      <c r="AO177" s="8">
        <v>55.358590181270273</v>
      </c>
      <c r="AP177" s="8">
        <v>31.621716355121009</v>
      </c>
      <c r="AQ177" s="8">
        <v>31.05507193109743</v>
      </c>
      <c r="AR177" s="8">
        <v>0.6673231245103376</v>
      </c>
      <c r="AS177" s="8">
        <v>66.095117613763406</v>
      </c>
      <c r="AT177" s="8">
        <v>51.124994615040592</v>
      </c>
      <c r="AU177" s="8">
        <v>35.010358347196792</v>
      </c>
      <c r="AV177" s="8">
        <v>27.709585404137808</v>
      </c>
      <c r="AW177" s="8">
        <v>0.6025574962815341</v>
      </c>
      <c r="AX177" s="8">
        <v>68.766328917496395</v>
      </c>
      <c r="AY177" s="8">
        <v>55.384393650503483</v>
      </c>
      <c r="AZ177" s="8">
        <v>33.706353461295549</v>
      </c>
      <c r="BA177" s="8">
        <v>32.394108192841919</v>
      </c>
      <c r="BB177" s="8">
        <v>0.69714957342071759</v>
      </c>
      <c r="BC177" s="8">
        <v>64.664830746624375</v>
      </c>
      <c r="BD177" s="8">
        <v>56.559145998429557</v>
      </c>
      <c r="BE177" s="8">
        <v>37.765254159899477</v>
      </c>
      <c r="BF177" s="8">
        <v>32.525093638793983</v>
      </c>
      <c r="BG177" s="8">
        <v>0.44746548526957192</v>
      </c>
      <c r="BH177" s="8">
        <v>64.912020859161629</v>
      </c>
      <c r="BI177" s="8">
        <v>65.15728641556565</v>
      </c>
    </row>
    <row r="178" spans="1:61" x14ac:dyDescent="0.15">
      <c r="A178" s="7">
        <v>2020</v>
      </c>
      <c r="B178" s="7">
        <v>129</v>
      </c>
      <c r="C178" s="7">
        <v>29.354709771119921</v>
      </c>
      <c r="D178" s="7">
        <v>19.731975885612279</v>
      </c>
      <c r="E178" s="8">
        <v>22.97550992283368</v>
      </c>
      <c r="F178" s="8">
        <v>14.84609840678274</v>
      </c>
      <c r="G178" s="8">
        <v>0.55660782398850461</v>
      </c>
      <c r="H178" s="8">
        <v>61.441564252325513</v>
      </c>
      <c r="I178" s="8">
        <v>36.535192434617016</v>
      </c>
      <c r="J178" s="8">
        <v>32.570079899141049</v>
      </c>
      <c r="K178" s="8">
        <v>22.35982627905809</v>
      </c>
      <c r="L178" s="8">
        <v>0.61589106934888393</v>
      </c>
      <c r="M178" s="8">
        <v>53.841304377903718</v>
      </c>
      <c r="N178" s="8">
        <v>45.425164799064653</v>
      </c>
      <c r="O178" s="8">
        <v>290.27999999999997</v>
      </c>
      <c r="P178" s="8">
        <v>286.678</v>
      </c>
      <c r="Q178" s="8">
        <v>94.153100000000009</v>
      </c>
      <c r="R178" s="8">
        <v>4.38553E-2</v>
      </c>
      <c r="S178" s="8">
        <v>-9.0111800000000006E-2</v>
      </c>
      <c r="T178" s="7">
        <f>C178-D178</f>
        <v>9.6227338855076425</v>
      </c>
      <c r="U178" s="8">
        <f>D178/C178</f>
        <v>0.67219114205057517</v>
      </c>
      <c r="V178" s="8">
        <v>23.902490489437049</v>
      </c>
      <c r="W178" s="8">
        <v>15.07564333460801</v>
      </c>
      <c r="X178" s="8">
        <v>0.55482316805257748</v>
      </c>
      <c r="Y178" s="8">
        <v>60.777273401015329</v>
      </c>
      <c r="Z178" s="8">
        <v>37.841014649188061</v>
      </c>
      <c r="AA178" s="7">
        <v>28.236285194289049</v>
      </c>
      <c r="AB178" s="7">
        <v>18.71773480683305</v>
      </c>
      <c r="AC178" s="7">
        <v>0.58535711870073071</v>
      </c>
      <c r="AD178" s="7">
        <v>57.309288889459523</v>
      </c>
      <c r="AE178" s="7">
        <v>41.633089724126357</v>
      </c>
      <c r="AF178" s="8">
        <v>33.919467034266603</v>
      </c>
      <c r="AG178" s="8">
        <v>24.076787486524029</v>
      </c>
      <c r="AH178" s="8">
        <v>0.64106749414448883</v>
      </c>
      <c r="AI178" s="8">
        <v>52.476390108496417</v>
      </c>
      <c r="AJ178" s="8">
        <v>46.19193817114818</v>
      </c>
      <c r="AK178" s="8">
        <v>32.424535036507557</v>
      </c>
      <c r="AL178" s="8">
        <v>22.17463488617852</v>
      </c>
      <c r="AM178" s="8">
        <v>0.61317554080033443</v>
      </c>
      <c r="AN178" s="8">
        <v>53.988523996852379</v>
      </c>
      <c r="AO178" s="8">
        <v>45.342460642336093</v>
      </c>
      <c r="AP178" s="8">
        <v>32.31374632921672</v>
      </c>
      <c r="AQ178" s="8">
        <v>21.671108102061869</v>
      </c>
      <c r="AR178" s="8">
        <v>0.59994368357235839</v>
      </c>
      <c r="AS178" s="8">
        <v>54.056267938407089</v>
      </c>
      <c r="AT178" s="8">
        <v>45.498249674521539</v>
      </c>
      <c r="AU178" s="8">
        <v>26.112870419993381</v>
      </c>
      <c r="AV178" s="8">
        <v>21.18623463711673</v>
      </c>
      <c r="AW178" s="8">
        <v>0.59804535082408439</v>
      </c>
      <c r="AX178" s="8">
        <v>59.672138572774912</v>
      </c>
      <c r="AY178" s="8">
        <v>40.761357137415743</v>
      </c>
      <c r="AZ178" s="8">
        <v>36.397222948838433</v>
      </c>
      <c r="BA178" s="8">
        <v>28.978095183238789</v>
      </c>
      <c r="BB178" s="8">
        <v>0.70761752208390272</v>
      </c>
      <c r="BC178" s="8">
        <v>50.126396470174527</v>
      </c>
      <c r="BD178" s="8">
        <v>50.693385898624904</v>
      </c>
      <c r="BE178" s="8"/>
      <c r="BF178" s="8"/>
      <c r="BG178" s="8"/>
      <c r="BH178" s="8"/>
      <c r="BI178" s="8"/>
    </row>
    <row r="179" spans="1:61" x14ac:dyDescent="0.15">
      <c r="A179" s="7">
        <v>2021</v>
      </c>
      <c r="B179" s="7">
        <v>112</v>
      </c>
      <c r="C179" s="7">
        <v>45.814053903211303</v>
      </c>
      <c r="D179" s="7">
        <v>24.028005080269079</v>
      </c>
      <c r="E179" s="8">
        <v>30.16806528993056</v>
      </c>
      <c r="F179" s="8">
        <v>17.754730113483429</v>
      </c>
      <c r="G179" s="8">
        <v>0.55670350564609683</v>
      </c>
      <c r="H179" s="8">
        <v>73.340549647519893</v>
      </c>
      <c r="I179" s="8">
        <v>55.648809762083388</v>
      </c>
      <c r="J179" s="8">
        <v>41.38597570500545</v>
      </c>
      <c r="K179" s="8">
        <v>30.31915692103215</v>
      </c>
      <c r="L179" s="8">
        <v>0.70963027854294369</v>
      </c>
      <c r="M179" s="8">
        <v>52.626247506311998</v>
      </c>
      <c r="N179" s="8">
        <v>76.422734900988132</v>
      </c>
      <c r="O179" s="8">
        <v>285.58499999999998</v>
      </c>
      <c r="P179" s="8">
        <v>277.59100000000001</v>
      </c>
      <c r="Q179" s="8">
        <v>89.947800000000001</v>
      </c>
      <c r="R179" s="8">
        <v>-0.18514700000000001</v>
      </c>
      <c r="S179" s="8">
        <v>-0.25509700000000002</v>
      </c>
      <c r="T179" s="7">
        <f>C179-D179</f>
        <v>21.786048822942224</v>
      </c>
      <c r="U179" s="8">
        <f>D179/C179</f>
        <v>0.52446799689526824</v>
      </c>
      <c r="V179" s="8">
        <v>38.721093049170676</v>
      </c>
      <c r="W179" s="8">
        <v>24.004102184689533</v>
      </c>
      <c r="X179" s="8">
        <v>0.64327356300348792</v>
      </c>
      <c r="Y179" s="8">
        <v>59.877816552968881</v>
      </c>
      <c r="Z179" s="8">
        <v>68.592340320445572</v>
      </c>
      <c r="AA179" s="7">
        <v>40.053534377088063</v>
      </c>
      <c r="AB179" s="7">
        <v>27.161629552860841</v>
      </c>
      <c r="AC179" s="7">
        <v>0.67645192077321581</v>
      </c>
      <c r="AD179" s="7">
        <v>56.252032029640439</v>
      </c>
      <c r="AE179" s="7">
        <v>72.507537610716852</v>
      </c>
      <c r="AF179" s="8">
        <v>42.594180745278507</v>
      </c>
      <c r="AG179" s="8">
        <v>31.351786241667071</v>
      </c>
      <c r="AH179" s="8">
        <v>0.72602389898325792</v>
      </c>
      <c r="AI179" s="8">
        <v>53.132924730568291</v>
      </c>
      <c r="AJ179" s="8">
        <v>76.937848541585879</v>
      </c>
      <c r="AK179" s="8">
        <v>41.202836584954753</v>
      </c>
      <c r="AL179" s="8">
        <v>30.162631481379229</v>
      </c>
      <c r="AM179" s="8">
        <v>0.7071453416971204</v>
      </c>
      <c r="AN179" s="8">
        <v>52.549445624258077</v>
      </c>
      <c r="AO179" s="8">
        <v>76.344654231134413</v>
      </c>
      <c r="AP179" s="8">
        <v>42.704135975728171</v>
      </c>
      <c r="AQ179" s="8">
        <v>29.589286862497399</v>
      </c>
      <c r="AR179" s="8">
        <v>0.71222128939379192</v>
      </c>
      <c r="AS179" s="8">
        <v>51.943797696114913</v>
      </c>
      <c r="AT179" s="8">
        <v>77.361565359875726</v>
      </c>
      <c r="AU179" s="8">
        <v>39.546463808943727</v>
      </c>
      <c r="AV179" s="8">
        <v>24.044390885908012</v>
      </c>
      <c r="AW179" s="8">
        <v>0.61611586278582531</v>
      </c>
      <c r="AX179" s="8">
        <v>58.536998034042533</v>
      </c>
      <c r="AY179" s="8">
        <v>67.346481165534783</v>
      </c>
      <c r="AZ179" s="8">
        <v>39.219923251821839</v>
      </c>
      <c r="BA179" s="8">
        <v>30.321091925405518</v>
      </c>
      <c r="BB179" s="8">
        <v>0.69609190790197961</v>
      </c>
      <c r="BC179" s="8">
        <v>53.41052692793027</v>
      </c>
      <c r="BD179" s="8">
        <v>73.890169572945183</v>
      </c>
      <c r="BE179" s="8">
        <v>37.056994802329363</v>
      </c>
      <c r="BF179" s="8">
        <v>30.377354791551941</v>
      </c>
      <c r="BG179" s="8">
        <v>0.61937966833777558</v>
      </c>
      <c r="BH179" s="8">
        <v>57.648642050284607</v>
      </c>
      <c r="BI179" s="8">
        <v>68.260647963066205</v>
      </c>
    </row>
    <row r="180" spans="1:61" x14ac:dyDescent="0.15">
      <c r="A180" s="7">
        <v>2023</v>
      </c>
      <c r="B180" s="7">
        <v>117</v>
      </c>
      <c r="C180" s="9">
        <v>29.351674431213642</v>
      </c>
      <c r="D180" s="7">
        <v>5.0502360294509829</v>
      </c>
      <c r="E180" s="8">
        <v>25.18942485533502</v>
      </c>
      <c r="F180" s="8">
        <v>16.75567748077939</v>
      </c>
      <c r="G180" s="8">
        <v>0.55684482744500174</v>
      </c>
      <c r="H180" s="8">
        <v>58.830711943689003</v>
      </c>
      <c r="I180" s="8">
        <v>43.079429755034518</v>
      </c>
      <c r="J180" s="8">
        <v>28.233561991045161</v>
      </c>
      <c r="K180" s="8">
        <v>21.619127636181201</v>
      </c>
      <c r="L180" s="8">
        <v>0.5743498020561284</v>
      </c>
      <c r="M180" s="8">
        <v>59.305576959435527</v>
      </c>
      <c r="N180" s="8">
        <v>50.999553921125518</v>
      </c>
      <c r="O180" s="7">
        <v>289.27300000000002</v>
      </c>
      <c r="P180" s="7">
        <v>283.964</v>
      </c>
      <c r="Q180" s="7">
        <v>91.248000000000005</v>
      </c>
      <c r="R180" s="7">
        <v>-0.32783600000000002</v>
      </c>
      <c r="S180" s="7">
        <v>-0.35473500000000002</v>
      </c>
      <c r="T180" s="7">
        <f>C180-D180</f>
        <v>24.30143840176266</v>
      </c>
      <c r="U180" s="8">
        <f>D180/C180</f>
        <v>0.17205955460177691</v>
      </c>
      <c r="V180" s="8">
        <v>26.199942022799778</v>
      </c>
      <c r="W180" s="8">
        <v>15.606999316500858</v>
      </c>
      <c r="X180" s="8">
        <v>0.553580145650862</v>
      </c>
      <c r="Y180" s="8">
        <v>58.655320777270219</v>
      </c>
      <c r="Z180" s="8">
        <v>46.042517163462016</v>
      </c>
      <c r="AA180" s="7">
        <v>27.216752006922469</v>
      </c>
      <c r="AB180" s="7">
        <v>18.613063476341029</v>
      </c>
      <c r="AC180" s="7">
        <v>0.5639649738534952</v>
      </c>
      <c r="AD180" s="7">
        <v>58.980448868352873</v>
      </c>
      <c r="AE180" s="7">
        <v>48.521035542293767</v>
      </c>
      <c r="AF180" s="8">
        <v>29.205383557756729</v>
      </c>
      <c r="AG180" s="8">
        <v>20.86410423223743</v>
      </c>
      <c r="AH180" s="8">
        <v>0.58638774297538976</v>
      </c>
      <c r="AI180" s="8">
        <v>59.913428003196849</v>
      </c>
      <c r="AJ180" s="8">
        <v>51.79791128236409</v>
      </c>
      <c r="AK180" s="8">
        <v>28.102378054904712</v>
      </c>
      <c r="AL180" s="8">
        <v>21.72104649186441</v>
      </c>
      <c r="AM180" s="8">
        <v>0.57272482837072403</v>
      </c>
      <c r="AN180" s="8">
        <v>59.223524558831258</v>
      </c>
      <c r="AO180" s="8">
        <v>50.891785515194421</v>
      </c>
      <c r="AP180" s="8">
        <v>27.858135733782049</v>
      </c>
      <c r="AQ180" s="8">
        <v>18.83586278154516</v>
      </c>
      <c r="AR180" s="8">
        <v>0.56439225144441918</v>
      </c>
      <c r="AS180" s="8">
        <v>59.077460353342033</v>
      </c>
      <c r="AT180" s="8">
        <v>50.203126526285921</v>
      </c>
      <c r="AU180" s="8">
        <v>24.4193430362123</v>
      </c>
      <c r="AV180" s="8">
        <v>18.164579257824538</v>
      </c>
      <c r="AW180" s="8">
        <v>0.54896499852048097</v>
      </c>
      <c r="AX180" s="8">
        <v>60.840339230423183</v>
      </c>
      <c r="AY180" s="8">
        <v>43.533641989623661</v>
      </c>
      <c r="AZ180" s="8">
        <v>28.35339362706415</v>
      </c>
      <c r="BA180" s="8">
        <v>23.298358648635951</v>
      </c>
      <c r="BB180" s="8">
        <v>0.58124079800797379</v>
      </c>
      <c r="BC180" s="8">
        <v>58.422224551177237</v>
      </c>
      <c r="BD180" s="8">
        <v>51.414616540306582</v>
      </c>
      <c r="BE180" s="8">
        <v>24.297819980346912</v>
      </c>
      <c r="BF180" s="8">
        <v>18.65138065569597</v>
      </c>
      <c r="BG180" s="8">
        <v>0.61176253546679693</v>
      </c>
      <c r="BH180" s="8">
        <v>58.887680678725722</v>
      </c>
      <c r="BI180" s="8">
        <v>43.662200552890262</v>
      </c>
    </row>
    <row r="181" spans="1:61" x14ac:dyDescent="0.15">
      <c r="A181" s="7">
        <v>2022</v>
      </c>
      <c r="B181" s="7">
        <v>112</v>
      </c>
      <c r="C181" s="7">
        <v>13.994113010757577</v>
      </c>
      <c r="D181" s="7">
        <v>3.5594749015238096</v>
      </c>
      <c r="E181" s="8">
        <v>29.249127745333151</v>
      </c>
      <c r="F181" s="8">
        <v>19.76882575663809</v>
      </c>
      <c r="G181" s="8">
        <v>0.55710366740423778</v>
      </c>
      <c r="H181" s="8">
        <v>67.05972986178827</v>
      </c>
      <c r="I181" s="8">
        <v>54.069247751554187</v>
      </c>
      <c r="J181" s="8">
        <v>39.474901813825277</v>
      </c>
      <c r="K181" s="8">
        <v>27.79663476864425</v>
      </c>
      <c r="L181" s="8">
        <v>0.71577879714394599</v>
      </c>
      <c r="M181" s="8">
        <v>52.999546792904937</v>
      </c>
      <c r="N181" s="8">
        <v>75.713313598498402</v>
      </c>
      <c r="O181" s="8">
        <v>285.721</v>
      </c>
      <c r="P181" s="8">
        <v>277.80500000000001</v>
      </c>
      <c r="Q181" s="8">
        <v>89.922800000000009</v>
      </c>
      <c r="R181" s="8">
        <v>-0.44627800000000001</v>
      </c>
      <c r="S181" s="8">
        <v>-8.2829600000000003E-2</v>
      </c>
      <c r="T181" s="7">
        <f>C181-D181</f>
        <v>10.434638109233767</v>
      </c>
      <c r="U181" s="8">
        <f>D181/C181</f>
        <v>0.25435516340246533</v>
      </c>
      <c r="V181" s="8">
        <v>36.513854902972177</v>
      </c>
      <c r="W181" s="8">
        <v>25.473413349743513</v>
      </c>
      <c r="X181" s="8">
        <v>0.65963810823782398</v>
      </c>
      <c r="Y181" s="8">
        <v>56.117466365450298</v>
      </c>
      <c r="Z181" s="8">
        <v>64.729870423505943</v>
      </c>
      <c r="AA181" s="7">
        <v>37.994378358398727</v>
      </c>
      <c r="AB181" s="7">
        <v>26.635024059193881</v>
      </c>
      <c r="AC181" s="7">
        <v>0.68770845269088499</v>
      </c>
      <c r="AD181" s="7">
        <v>54.558506579177617</v>
      </c>
      <c r="AE181" s="7">
        <v>70.221592011002173</v>
      </c>
      <c r="AF181" s="8">
        <v>39.671179125533662</v>
      </c>
      <c r="AG181" s="8">
        <v>28.641645949219839</v>
      </c>
      <c r="AH181" s="8">
        <v>0.72980902735054054</v>
      </c>
      <c r="AI181" s="8">
        <v>53.212472420006101</v>
      </c>
      <c r="AJ181" s="8">
        <v>75.750551248276693</v>
      </c>
      <c r="AK181" s="8">
        <v>39.446572065394783</v>
      </c>
      <c r="AL181" s="8">
        <v>27.674669810196889</v>
      </c>
      <c r="AM181" s="8">
        <v>0.71375373938910247</v>
      </c>
      <c r="AN181" s="8">
        <v>52.968814104558639</v>
      </c>
      <c r="AO181" s="8">
        <v>75.707938890432658</v>
      </c>
      <c r="AP181" s="8">
        <v>40.298807061445032</v>
      </c>
      <c r="AQ181" s="8">
        <v>28.622070784279121</v>
      </c>
      <c r="AR181" s="8">
        <v>0.72437190723910161</v>
      </c>
      <c r="AS181" s="8">
        <v>51.124709021191777</v>
      </c>
      <c r="AT181" s="8">
        <v>74.690318028103022</v>
      </c>
      <c r="AU181" s="8">
        <v>37.630143308737047</v>
      </c>
      <c r="AV181" s="8">
        <v>24.754969917441109</v>
      </c>
      <c r="AW181" s="8">
        <v>0.65122318493716014</v>
      </c>
      <c r="AX181" s="8">
        <v>55.655235437321053</v>
      </c>
      <c r="AY181" s="8">
        <v>64.061827083277905</v>
      </c>
      <c r="AZ181" s="8">
        <v>37.945235309156381</v>
      </c>
      <c r="BA181" s="8">
        <v>26.557442650325569</v>
      </c>
      <c r="BB181" s="8">
        <v>0.69231232423198408</v>
      </c>
      <c r="BC181" s="8">
        <v>55.086108896259972</v>
      </c>
      <c r="BD181" s="8">
        <v>74.184555891695325</v>
      </c>
      <c r="BE181" s="8">
        <v>34.57017683297687</v>
      </c>
      <c r="BF181" s="8">
        <v>27.831489556639951</v>
      </c>
      <c r="BG181" s="8">
        <v>0.62998519425712129</v>
      </c>
      <c r="BH181" s="8">
        <v>59.498960632539912</v>
      </c>
      <c r="BI181" s="8">
        <v>69.623208176079928</v>
      </c>
    </row>
    <row r="182" spans="1:61" x14ac:dyDescent="0.15">
      <c r="A182" s="7">
        <v>2021</v>
      </c>
      <c r="B182" s="7">
        <v>109</v>
      </c>
      <c r="C182" s="7">
        <v>33.009475665930182</v>
      </c>
      <c r="D182" s="7">
        <v>31.106022960591577</v>
      </c>
      <c r="E182" s="8">
        <v>18.61247869667228</v>
      </c>
      <c r="F182" s="8">
        <v>13.591636465180359</v>
      </c>
      <c r="G182" s="8">
        <v>0.55778843232236874</v>
      </c>
      <c r="H182" s="8">
        <v>58.80402646088698</v>
      </c>
      <c r="I182" s="8">
        <v>26.685486992010279</v>
      </c>
      <c r="J182" s="8">
        <v>18.894021600512811</v>
      </c>
      <c r="K182" s="8">
        <v>13.86027668587443</v>
      </c>
      <c r="L182" s="8">
        <v>0.61608051713356959</v>
      </c>
      <c r="M182" s="8">
        <v>70.261145445078</v>
      </c>
      <c r="N182" s="8">
        <v>30.381262564505839</v>
      </c>
      <c r="O182" s="8">
        <v>296.19799999999998</v>
      </c>
      <c r="P182" s="8">
        <v>291.42399999999998</v>
      </c>
      <c r="Q182" s="8">
        <v>100.163</v>
      </c>
      <c r="R182" s="8">
        <v>-1.18007</v>
      </c>
      <c r="S182" s="8">
        <v>-0.304456</v>
      </c>
      <c r="T182" s="7">
        <f>C182-D182</f>
        <v>1.903452705338605</v>
      </c>
      <c r="U182" s="8">
        <f>D182/C182</f>
        <v>0.94233617266137915</v>
      </c>
      <c r="V182" s="8">
        <v>20.201432807926889</v>
      </c>
      <c r="W182" s="8">
        <v>18.173880062455531</v>
      </c>
      <c r="X182" s="8">
        <v>0.68760462855980264</v>
      </c>
      <c r="Y182" s="8">
        <v>58.707283041095451</v>
      </c>
      <c r="Z182" s="8">
        <v>30.597990748260521</v>
      </c>
      <c r="AA182" s="7">
        <v>19.54772720421985</v>
      </c>
      <c r="AB182" s="7">
        <v>16.017078374164981</v>
      </c>
      <c r="AC182" s="7">
        <v>0.65184257284668612</v>
      </c>
      <c r="AD182" s="7">
        <v>64.484214243086726</v>
      </c>
      <c r="AE182" s="7">
        <v>30.48962665638318</v>
      </c>
      <c r="AF182" s="8">
        <v>20.554435186575549</v>
      </c>
      <c r="AG182" s="8">
        <v>15.03734334752107</v>
      </c>
      <c r="AH182" s="8">
        <v>0.63856901611616901</v>
      </c>
      <c r="AI182" s="8">
        <v>61.614284075023079</v>
      </c>
      <c r="AJ182" s="8">
        <v>30.50515865552762</v>
      </c>
      <c r="AK182" s="8">
        <v>18.63307840036126</v>
      </c>
      <c r="AL182" s="8">
        <v>13.67529413450294</v>
      </c>
      <c r="AM182" s="8">
        <v>0.6125463248453461</v>
      </c>
      <c r="AN182" s="8">
        <v>71.620047646377927</v>
      </c>
      <c r="AO182" s="8">
        <v>30.361791606939079</v>
      </c>
      <c r="AP182" s="8">
        <v>21.118330846003161</v>
      </c>
      <c r="AQ182" s="8">
        <v>15.863812787705241</v>
      </c>
      <c r="AR182" s="8">
        <v>0.64217863546880516</v>
      </c>
      <c r="AS182" s="8">
        <v>63.893771283946897</v>
      </c>
      <c r="AT182" s="8">
        <v>30.168608906884991</v>
      </c>
      <c r="AU182" s="8">
        <v>18.584593463910299</v>
      </c>
      <c r="AV182" s="8">
        <v>14.19427164722129</v>
      </c>
      <c r="AW182" s="8">
        <v>0.60072734401743577</v>
      </c>
      <c r="AX182" s="8">
        <v>71.954479175716429</v>
      </c>
      <c r="AY182" s="8">
        <v>30.423618197980279</v>
      </c>
      <c r="AZ182" s="8">
        <v>17.49509232007572</v>
      </c>
      <c r="BA182" s="8">
        <v>12.905435365681511</v>
      </c>
      <c r="BB182" s="8">
        <v>0.60840810980511206</v>
      </c>
      <c r="BC182" s="8">
        <v>74.144960625825675</v>
      </c>
      <c r="BD182" s="8">
        <v>30.082735687381199</v>
      </c>
      <c r="BE182" s="8">
        <v>20.598710507782581</v>
      </c>
      <c r="BF182" s="8">
        <v>16.59244376713605</v>
      </c>
      <c r="BG182" s="8">
        <v>0.70192715742640421</v>
      </c>
      <c r="BH182" s="8">
        <v>68.434473442063975</v>
      </c>
      <c r="BI182" s="8">
        <v>34.536572239414177</v>
      </c>
    </row>
    <row r="183" spans="1:61" x14ac:dyDescent="0.15">
      <c r="A183" s="7">
        <v>2022</v>
      </c>
      <c r="B183" s="7">
        <v>24</v>
      </c>
      <c r="C183" s="7">
        <v>90.913933983139302</v>
      </c>
      <c r="D183" s="7">
        <v>61.590838170106579</v>
      </c>
      <c r="E183" s="8">
        <v>17.576134575245451</v>
      </c>
      <c r="F183" s="8">
        <v>16.682100118470661</v>
      </c>
      <c r="G183" s="8">
        <v>0.5580060146022644</v>
      </c>
      <c r="H183" s="8">
        <v>51.237612735954471</v>
      </c>
      <c r="I183" s="8">
        <v>28.42636035717814</v>
      </c>
      <c r="J183" s="8">
        <v>19.747671662844841</v>
      </c>
      <c r="K183" s="8">
        <v>24.494183490188309</v>
      </c>
      <c r="L183" s="8">
        <v>0.61588331073606806</v>
      </c>
      <c r="M183" s="8">
        <v>52.711446546128848</v>
      </c>
      <c r="N183" s="8">
        <v>35.032218730055781</v>
      </c>
      <c r="O183" s="8">
        <v>296.09800000000001</v>
      </c>
      <c r="P183" s="8">
        <v>291.42399999999998</v>
      </c>
      <c r="Q183" s="8">
        <v>100.646</v>
      </c>
      <c r="R183" s="8">
        <v>-0.80496299999999998</v>
      </c>
      <c r="S183" s="8">
        <v>-0.432284</v>
      </c>
      <c r="T183" s="7">
        <f>C183-D183</f>
        <v>29.323095813032722</v>
      </c>
      <c r="U183" s="8">
        <f>D183/C183</f>
        <v>0.67746312882609483</v>
      </c>
      <c r="V183" s="8">
        <v>19.856207895657722</v>
      </c>
      <c r="W183" s="8">
        <v>18.297726877485349</v>
      </c>
      <c r="X183" s="8">
        <v>0.62803132068115908</v>
      </c>
      <c r="Y183" s="8">
        <v>53.900591408442217</v>
      </c>
      <c r="Z183" s="8">
        <v>30.620271012302332</v>
      </c>
      <c r="AA183" s="7">
        <v>19.801939779251281</v>
      </c>
      <c r="AB183" s="7">
        <v>21.395955183836829</v>
      </c>
      <c r="AC183" s="7">
        <v>0.62195731570861357</v>
      </c>
      <c r="AD183" s="7">
        <v>53.306018977285532</v>
      </c>
      <c r="AE183" s="7">
        <v>32.826244871179057</v>
      </c>
      <c r="AF183" s="8">
        <v>19.310552441727872</v>
      </c>
      <c r="AG183" s="8">
        <v>22.527486284596709</v>
      </c>
      <c r="AH183" s="8">
        <v>0.59544638058647215</v>
      </c>
      <c r="AI183" s="8">
        <v>52.116476516116677</v>
      </c>
      <c r="AJ183" s="8">
        <v>33.635435911271848</v>
      </c>
      <c r="AK183" s="8">
        <v>19.80054480855496</v>
      </c>
      <c r="AL183" s="8">
        <v>24.732071606051122</v>
      </c>
      <c r="AM183" s="8">
        <v>0.61835532462487874</v>
      </c>
      <c r="AN183" s="8">
        <v>52.783413038495873</v>
      </c>
      <c r="AO183" s="8">
        <v>35.201171038568432</v>
      </c>
      <c r="AP183" s="8">
        <v>20.56755595894241</v>
      </c>
      <c r="AQ183" s="8">
        <v>20.755308300911</v>
      </c>
      <c r="AR183" s="8">
        <v>0.6033923949968697</v>
      </c>
      <c r="AS183" s="8">
        <v>53.073397102410908</v>
      </c>
      <c r="AT183" s="8">
        <v>31.88509520467823</v>
      </c>
      <c r="AU183" s="8">
        <v>21.636688687911761</v>
      </c>
      <c r="AV183" s="8">
        <v>22.92282509036254</v>
      </c>
      <c r="AW183" s="8">
        <v>0.67117870934821311</v>
      </c>
      <c r="AX183" s="8">
        <v>57.52938213912342</v>
      </c>
      <c r="AY183" s="8">
        <v>34.162535515495968</v>
      </c>
      <c r="AZ183" s="8">
        <v>20.073264037899669</v>
      </c>
      <c r="BA183" s="8">
        <v>24.154127095720369</v>
      </c>
      <c r="BB183" s="8">
        <v>0.63980497946372505</v>
      </c>
      <c r="BC183" s="8">
        <v>54.370003050291032</v>
      </c>
      <c r="BD183" s="8">
        <v>35.535968194596173</v>
      </c>
      <c r="BE183" s="8">
        <v>23.66442562427595</v>
      </c>
      <c r="BF183" s="8">
        <v>23.029506309856469</v>
      </c>
      <c r="BG183" s="8">
        <v>0.74151190301398318</v>
      </c>
      <c r="BH183" s="8">
        <v>55.851417886397527</v>
      </c>
      <c r="BI183" s="8">
        <v>36.243726965681269</v>
      </c>
    </row>
    <row r="184" spans="1:61" x14ac:dyDescent="0.15">
      <c r="A184" s="7">
        <v>2021</v>
      </c>
      <c r="B184" s="7">
        <v>63</v>
      </c>
      <c r="C184" s="7">
        <v>40.964772223443049</v>
      </c>
      <c r="D184" s="7">
        <v>14.488093277242886</v>
      </c>
      <c r="E184" s="8">
        <v>25.914051067769041</v>
      </c>
      <c r="F184" s="8">
        <v>22.374099486975439</v>
      </c>
      <c r="G184" s="8">
        <v>0.55890194106957991</v>
      </c>
      <c r="H184" s="8">
        <v>73.355961752087111</v>
      </c>
      <c r="I184" s="8">
        <v>36.081681651429378</v>
      </c>
      <c r="J184" s="8">
        <v>32.576164772020057</v>
      </c>
      <c r="K184" s="8">
        <v>33.296606523298777</v>
      </c>
      <c r="L184" s="8">
        <v>0.71193305125495232</v>
      </c>
      <c r="M184" s="8">
        <v>62.737324242221561</v>
      </c>
      <c r="N184" s="8">
        <v>55.425125856821602</v>
      </c>
      <c r="O184" s="8">
        <v>291.14699999999999</v>
      </c>
      <c r="P184" s="8">
        <v>286.108</v>
      </c>
      <c r="Q184" s="8">
        <v>101.241</v>
      </c>
      <c r="R184" s="8">
        <v>-0.60303200000000001</v>
      </c>
      <c r="S184" s="8">
        <v>-0.34410400000000002</v>
      </c>
      <c r="T184" s="7">
        <f>C184-D184</f>
        <v>26.476678946200163</v>
      </c>
      <c r="U184" s="8">
        <f>D184/C184</f>
        <v>0.35367200867656079</v>
      </c>
      <c r="V184" s="8">
        <v>29.988157905461186</v>
      </c>
      <c r="W184" s="8">
        <v>27.008198361304963</v>
      </c>
      <c r="X184" s="8">
        <v>0.67000859068602125</v>
      </c>
      <c r="Y184" s="8">
        <v>68.94508223191049</v>
      </c>
      <c r="Z184" s="8">
        <v>46.260219205776998</v>
      </c>
      <c r="AA184" s="7">
        <v>31.282161338740622</v>
      </c>
      <c r="AB184" s="7">
        <v>30.15240244230187</v>
      </c>
      <c r="AC184" s="7">
        <v>0.69097082097048679</v>
      </c>
      <c r="AD184" s="7">
        <v>65.841203237066026</v>
      </c>
      <c r="AE184" s="7">
        <v>50.8426725312993</v>
      </c>
      <c r="AF184" s="8">
        <v>31.751927168261059</v>
      </c>
      <c r="AG184" s="8">
        <v>34.542733529317339</v>
      </c>
      <c r="AH184" s="8">
        <v>0.71617287441316801</v>
      </c>
      <c r="AI184" s="8">
        <v>62.120820652159601</v>
      </c>
      <c r="AJ184" s="8">
        <v>55.009206686757011</v>
      </c>
      <c r="AK184" s="8">
        <v>32.66610082358315</v>
      </c>
      <c r="AL184" s="8">
        <v>33.160636334415962</v>
      </c>
      <c r="AM184" s="8">
        <v>0.71147042621523493</v>
      </c>
      <c r="AN184" s="8">
        <v>62.804593556812122</v>
      </c>
      <c r="AO184" s="8">
        <v>55.470508556851797</v>
      </c>
      <c r="AP184" s="8">
        <v>31.622552338211769</v>
      </c>
      <c r="AQ184" s="8">
        <v>31.30808732787213</v>
      </c>
      <c r="AR184" s="8">
        <v>0.68971739380959729</v>
      </c>
      <c r="AS184" s="8">
        <v>64.655651980082212</v>
      </c>
      <c r="AT184" s="8">
        <v>52.467784731227567</v>
      </c>
      <c r="AU184" s="8">
        <v>34.45981993864666</v>
      </c>
      <c r="AV184" s="8">
        <v>27.437986720611491</v>
      </c>
      <c r="AW184" s="8">
        <v>0.59959568273465313</v>
      </c>
      <c r="AX184" s="8">
        <v>67.87899534105884</v>
      </c>
      <c r="AY184" s="8">
        <v>51.831709334173553</v>
      </c>
      <c r="AZ184" s="8">
        <v>33.433899217101313</v>
      </c>
      <c r="BA184" s="8">
        <v>32.558320004360958</v>
      </c>
      <c r="BB184" s="8">
        <v>0.70710495709931731</v>
      </c>
      <c r="BC184" s="8">
        <v>63.605399258197963</v>
      </c>
      <c r="BD184" s="8">
        <v>56.655282439704358</v>
      </c>
      <c r="BE184" s="8">
        <v>36.679013714119542</v>
      </c>
      <c r="BF184" s="8">
        <v>29.778961882336279</v>
      </c>
      <c r="BG184" s="8">
        <v>0.52251383032769083</v>
      </c>
      <c r="BH184" s="8">
        <v>64.774249581296871</v>
      </c>
      <c r="BI184" s="8">
        <v>53.868480804052183</v>
      </c>
    </row>
    <row r="185" spans="1:61" x14ac:dyDescent="0.15">
      <c r="A185" s="7">
        <v>2022</v>
      </c>
      <c r="B185" s="7">
        <v>53</v>
      </c>
      <c r="C185" s="7">
        <v>80.677091751612821</v>
      </c>
      <c r="D185" s="7">
        <v>65.968718652892676</v>
      </c>
      <c r="E185" s="8">
        <v>24.425024833137439</v>
      </c>
      <c r="F185" s="8">
        <v>18.081619639614889</v>
      </c>
      <c r="G185" s="8">
        <v>0.55911309007249455</v>
      </c>
      <c r="H185" s="8">
        <v>51.27733714104739</v>
      </c>
      <c r="I185" s="8">
        <v>34.154873538765507</v>
      </c>
      <c r="J185" s="8">
        <v>33.095780602676797</v>
      </c>
      <c r="K185" s="8">
        <v>28.115800381429779</v>
      </c>
      <c r="L185" s="8">
        <v>0.60013180391523158</v>
      </c>
      <c r="M185" s="8">
        <v>52.822075658085858</v>
      </c>
      <c r="N185" s="8">
        <v>44.617629166671009</v>
      </c>
      <c r="O185" s="8">
        <v>277.41500000000002</v>
      </c>
      <c r="P185" s="8">
        <v>271.399</v>
      </c>
      <c r="Q185" s="8">
        <v>97.87</v>
      </c>
      <c r="R185" s="8">
        <v>1.3779999999999999</v>
      </c>
      <c r="S185" s="8">
        <v>0.70217499999999999</v>
      </c>
      <c r="T185" s="7">
        <f>C185-D185</f>
        <v>14.708373098720145</v>
      </c>
      <c r="U185" s="8">
        <f>D185/C185</f>
        <v>0.81768835763187875</v>
      </c>
      <c r="V185" s="8">
        <v>20.152889742082763</v>
      </c>
      <c r="W185" s="8">
        <v>15.610157997021403</v>
      </c>
      <c r="X185" s="8">
        <v>0.51650594192864008</v>
      </c>
      <c r="Y185" s="8">
        <v>51.485792635158326</v>
      </c>
      <c r="Z185" s="8">
        <v>28.411733503838505</v>
      </c>
      <c r="AA185" s="7">
        <v>26.62433517237978</v>
      </c>
      <c r="AB185" s="7">
        <v>21.862979189225591</v>
      </c>
      <c r="AC185" s="7">
        <v>0.55831887292193583</v>
      </c>
      <c r="AD185" s="7">
        <v>52.153934146622092</v>
      </c>
      <c r="AE185" s="7">
        <v>36.514681335254757</v>
      </c>
      <c r="AF185" s="8">
        <v>32.671055904969727</v>
      </c>
      <c r="AG185" s="8">
        <v>29.095658023217322</v>
      </c>
      <c r="AH185" s="8">
        <v>0.61564611924837997</v>
      </c>
      <c r="AI185" s="8">
        <v>53.109408903060647</v>
      </c>
      <c r="AJ185" s="8">
        <v>44.426116809895099</v>
      </c>
      <c r="AK185" s="8">
        <v>33.145521028740653</v>
      </c>
      <c r="AL185" s="8">
        <v>28.00104713809932</v>
      </c>
      <c r="AM185" s="8">
        <v>0.5983148889608485</v>
      </c>
      <c r="AN185" s="8">
        <v>52.788425441593837</v>
      </c>
      <c r="AO185" s="8">
        <v>44.640057592128613</v>
      </c>
      <c r="AP185" s="8">
        <v>27.992450230988819</v>
      </c>
      <c r="AQ185" s="8">
        <v>24.15038087954462</v>
      </c>
      <c r="AR185" s="8">
        <v>0.54923249398800733</v>
      </c>
      <c r="AS185" s="8">
        <v>52.658705728012571</v>
      </c>
      <c r="AT185" s="8">
        <v>37.584613018293787</v>
      </c>
      <c r="AU185" s="8">
        <v>27.649722201460431</v>
      </c>
      <c r="AV185" s="8">
        <v>24.09888206019556</v>
      </c>
      <c r="AW185" s="8">
        <v>0.57403400259316262</v>
      </c>
      <c r="AX185" s="8">
        <v>55.03153347563147</v>
      </c>
      <c r="AY185" s="8">
        <v>39.568147193183172</v>
      </c>
      <c r="AZ185" s="8">
        <v>33.904841889502833</v>
      </c>
      <c r="BA185" s="8">
        <v>28.440514478307879</v>
      </c>
      <c r="BB185" s="8">
        <v>0.60948190895532606</v>
      </c>
      <c r="BC185" s="8">
        <v>53.181998115506751</v>
      </c>
      <c r="BD185" s="8">
        <v>47.945612223793233</v>
      </c>
      <c r="BE185" s="8">
        <v>21.329540098363061</v>
      </c>
      <c r="BF185" s="8">
        <v>27.65865527491535</v>
      </c>
      <c r="BG185" s="8">
        <v>0.57502880503601361</v>
      </c>
      <c r="BH185" s="8">
        <v>55.860243866452713</v>
      </c>
      <c r="BI185" s="8">
        <v>38.663311160563033</v>
      </c>
    </row>
    <row r="186" spans="1:61" x14ac:dyDescent="0.15">
      <c r="A186" s="7">
        <v>2020</v>
      </c>
      <c r="B186" s="7">
        <v>130</v>
      </c>
      <c r="C186" s="7">
        <v>43.644171922444293</v>
      </c>
      <c r="D186" s="7">
        <v>10.340613850364312</v>
      </c>
      <c r="E186" s="8">
        <v>19.65592605560715</v>
      </c>
      <c r="F186" s="8">
        <v>10.85488088032093</v>
      </c>
      <c r="G186" s="8">
        <v>0.55952542973086916</v>
      </c>
      <c r="H186" s="8">
        <v>62.463343566809371</v>
      </c>
      <c r="I186" s="8">
        <v>29.150836967905729</v>
      </c>
      <c r="J186" s="8">
        <v>26.017772054691211</v>
      </c>
      <c r="K186" s="8">
        <v>14.08734384984924</v>
      </c>
      <c r="L186" s="8">
        <v>0.64159402526376297</v>
      </c>
      <c r="M186" s="8">
        <v>54.347067485128854</v>
      </c>
      <c r="N186" s="8">
        <v>37.134746041363627</v>
      </c>
      <c r="O186" s="8">
        <v>290.27</v>
      </c>
      <c r="P186" s="8">
        <v>286.70299999999997</v>
      </c>
      <c r="Q186" s="8">
        <v>95.964300000000009</v>
      </c>
      <c r="R186" s="8">
        <v>-0.43199500000000002</v>
      </c>
      <c r="S186" s="8">
        <v>-0.258969</v>
      </c>
      <c r="T186" s="7">
        <f>C186-D186</f>
        <v>33.30355807207998</v>
      </c>
      <c r="U186" s="8">
        <f>D186/C186</f>
        <v>0.23693000450872537</v>
      </c>
      <c r="V186" s="8">
        <v>16.938188138198388</v>
      </c>
      <c r="W186" s="8">
        <v>8.0138129803803189</v>
      </c>
      <c r="X186" s="8">
        <v>0.51285931482671276</v>
      </c>
      <c r="Y186" s="8">
        <v>65.313131118816614</v>
      </c>
      <c r="Z186" s="8">
        <v>25.329693839505595</v>
      </c>
      <c r="AA186" s="7">
        <v>21.477980096444799</v>
      </c>
      <c r="AB186" s="7">
        <v>11.05057841511478</v>
      </c>
      <c r="AC186" s="7">
        <v>0.57722667004523787</v>
      </c>
      <c r="AD186" s="7">
        <v>59.83009930197273</v>
      </c>
      <c r="AE186" s="7">
        <v>31.232219940434611</v>
      </c>
      <c r="AF186" s="8">
        <v>27.356986232572361</v>
      </c>
      <c r="AG186" s="8">
        <v>14.597056348465109</v>
      </c>
      <c r="AH186" s="8">
        <v>0.64744087763400482</v>
      </c>
      <c r="AI186" s="8">
        <v>53.882833090312459</v>
      </c>
      <c r="AJ186" s="8">
        <v>39.152091724674598</v>
      </c>
      <c r="AK186" s="8">
        <v>25.84031845615015</v>
      </c>
      <c r="AL186" s="8">
        <v>14.019804005517649</v>
      </c>
      <c r="AM186" s="8">
        <v>0.64081928362021245</v>
      </c>
      <c r="AN186" s="8">
        <v>54.40858121854604</v>
      </c>
      <c r="AO186" s="8">
        <v>36.867436109227746</v>
      </c>
      <c r="AP186" s="8">
        <v>24.537228932187361</v>
      </c>
      <c r="AQ186" s="8">
        <v>11.124288449392671</v>
      </c>
      <c r="AR186" s="8">
        <v>0.59973941797046304</v>
      </c>
      <c r="AS186" s="8">
        <v>54.908352834366077</v>
      </c>
      <c r="AT186" s="8">
        <v>34.618547004064752</v>
      </c>
      <c r="AU186" s="8">
        <v>21.651302445509309</v>
      </c>
      <c r="AV186" s="8">
        <v>9.736558199888437</v>
      </c>
      <c r="AW186" s="8">
        <v>0.6031868143607918</v>
      </c>
      <c r="AX186" s="8">
        <v>63.353915955388658</v>
      </c>
      <c r="AY186" s="8">
        <v>30.109070946450402</v>
      </c>
      <c r="AZ186" s="8">
        <v>28.42856194724499</v>
      </c>
      <c r="BA186" s="8">
        <v>16.85490387460505</v>
      </c>
      <c r="BB186" s="8">
        <v>0.72299083054953195</v>
      </c>
      <c r="BC186" s="8">
        <v>54.65885235449133</v>
      </c>
      <c r="BD186" s="8">
        <v>40.477337038050663</v>
      </c>
      <c r="BE186" s="8">
        <v>27.92285936269289</v>
      </c>
      <c r="BF186" s="8">
        <v>18.378695465892399</v>
      </c>
      <c r="BG186" s="8">
        <v>0.71039506192551716</v>
      </c>
      <c r="BH186" s="8">
        <v>61.94053023607357</v>
      </c>
      <c r="BI186" s="8">
        <v>46.022368837352388</v>
      </c>
    </row>
    <row r="187" spans="1:61" x14ac:dyDescent="0.15">
      <c r="A187" s="7">
        <v>2022</v>
      </c>
      <c r="B187" s="7">
        <v>97</v>
      </c>
      <c r="C187" s="7">
        <v>0.24105445955897967</v>
      </c>
      <c r="D187" s="7">
        <v>5.127120397038834E-2</v>
      </c>
      <c r="E187" s="8">
        <v>27.453200386593871</v>
      </c>
      <c r="F187" s="8">
        <v>18.197747029577279</v>
      </c>
      <c r="G187" s="8">
        <v>0.55971768117589349</v>
      </c>
      <c r="H187" s="8">
        <v>76.467582095896589</v>
      </c>
      <c r="I187" s="8">
        <v>52.912710058032197</v>
      </c>
      <c r="J187" s="8">
        <v>30.754056916467899</v>
      </c>
      <c r="K187" s="8">
        <v>25.606644054014119</v>
      </c>
      <c r="L187" s="8">
        <v>0.59074992185053765</v>
      </c>
      <c r="M187" s="8">
        <v>59.373210401602798</v>
      </c>
      <c r="N187" s="8">
        <v>71.476947165597778</v>
      </c>
      <c r="O187" s="8">
        <v>280.64699999999999</v>
      </c>
      <c r="P187" s="8">
        <v>269.411</v>
      </c>
      <c r="Q187" s="8">
        <v>77.509500000000003</v>
      </c>
      <c r="R187" s="8">
        <v>-0.47314499999999998</v>
      </c>
      <c r="S187" s="8">
        <v>-0.29629100000000003</v>
      </c>
      <c r="T187" s="7">
        <f>C187-D187</f>
        <v>0.18978325558859133</v>
      </c>
      <c r="U187" s="8">
        <f>D187/C187</f>
        <v>0.21269552143607462</v>
      </c>
      <c r="V187" s="8">
        <v>34.568748003992113</v>
      </c>
      <c r="W187" s="8">
        <v>26.286131973902698</v>
      </c>
      <c r="X187" s="8">
        <v>0.48922060257367805</v>
      </c>
      <c r="Y187" s="8">
        <v>63.997502861651945</v>
      </c>
      <c r="Z187" s="8">
        <v>77.983719004982362</v>
      </c>
      <c r="AA187" s="7">
        <v>32.661402460230008</v>
      </c>
      <c r="AB187" s="7">
        <v>25.946388013958408</v>
      </c>
      <c r="AC187" s="7">
        <v>0.53998526221210785</v>
      </c>
      <c r="AD187" s="7">
        <v>61.685356631627371</v>
      </c>
      <c r="AE187" s="7">
        <v>74.73033308529007</v>
      </c>
      <c r="AF187" s="8">
        <v>30.450419799379549</v>
      </c>
      <c r="AG187" s="8">
        <v>24.774307525033429</v>
      </c>
      <c r="AH187" s="8">
        <v>0.585945001647871</v>
      </c>
      <c r="AI187" s="8">
        <v>58.458882249949873</v>
      </c>
      <c r="AJ187" s="8">
        <v>72.083005940284437</v>
      </c>
      <c r="AK187" s="8">
        <v>30.801492410699058</v>
      </c>
      <c r="AL187" s="8">
        <v>25.73667524057478</v>
      </c>
      <c r="AM187" s="8">
        <v>0.59150056711663834</v>
      </c>
      <c r="AN187" s="8">
        <v>59.516050671524432</v>
      </c>
      <c r="AO187" s="8">
        <v>71.38226606143607</v>
      </c>
      <c r="AP187" s="8">
        <v>31.0143079994224</v>
      </c>
      <c r="AQ187" s="8">
        <v>24.025324697624811</v>
      </c>
      <c r="AR187" s="8">
        <v>0.49509770654258722</v>
      </c>
      <c r="AS187" s="8">
        <v>62.237131173800449</v>
      </c>
      <c r="AT187" s="8">
        <v>71.86956660457848</v>
      </c>
      <c r="AU187" s="8">
        <v>33.244859099881793</v>
      </c>
      <c r="AV187" s="8">
        <v>26.529069019898191</v>
      </c>
      <c r="AW187" s="8">
        <v>0.54345444760815109</v>
      </c>
      <c r="AX187" s="8">
        <v>61.019512154923788</v>
      </c>
      <c r="AY187" s="8">
        <v>76.456043933527923</v>
      </c>
      <c r="AZ187" s="8">
        <v>31.22936257228249</v>
      </c>
      <c r="BA187" s="8">
        <v>27.873692749407219</v>
      </c>
      <c r="BB187" s="8">
        <v>0.67090433085929035</v>
      </c>
      <c r="BC187" s="8">
        <v>55.14261325315006</v>
      </c>
      <c r="BD187" s="8">
        <v>70.640941113698162</v>
      </c>
      <c r="BE187" s="8">
        <v>30.110531417463939</v>
      </c>
      <c r="BF187" s="8">
        <v>28.698309308998951</v>
      </c>
      <c r="BG187" s="8">
        <v>0.55639710686534916</v>
      </c>
      <c r="BH187" s="8">
        <v>63.250125883550389</v>
      </c>
      <c r="BI187" s="8">
        <v>66.27062230768361</v>
      </c>
    </row>
    <row r="188" spans="1:61" x14ac:dyDescent="0.15">
      <c r="A188" s="7">
        <v>2021</v>
      </c>
      <c r="B188" s="7">
        <v>140</v>
      </c>
      <c r="C188" s="7">
        <v>6.7217583432673802</v>
      </c>
      <c r="D188" s="7">
        <v>4.7660759594842093</v>
      </c>
      <c r="E188" s="8">
        <v>28.11562101366885</v>
      </c>
      <c r="F188" s="8">
        <v>17.201135004956608</v>
      </c>
      <c r="G188" s="8">
        <v>0.56007193079641948</v>
      </c>
      <c r="H188" s="8">
        <v>62.925297271692351</v>
      </c>
      <c r="I188" s="8">
        <v>43.363570935386178</v>
      </c>
      <c r="J188" s="8">
        <v>31.709605286066729</v>
      </c>
      <c r="K188" s="8">
        <v>21.539985737467571</v>
      </c>
      <c r="L188" s="8">
        <v>0.57835544017756624</v>
      </c>
      <c r="M188" s="8">
        <v>61.765891864712273</v>
      </c>
      <c r="N188" s="8">
        <v>45.036665447958619</v>
      </c>
      <c r="O188" s="8">
        <v>288.154</v>
      </c>
      <c r="P188" s="8">
        <v>285.07100000000003</v>
      </c>
      <c r="Q188" s="8">
        <v>89.80810000000001</v>
      </c>
      <c r="R188" s="8">
        <v>-0.172904</v>
      </c>
      <c r="S188" s="8">
        <v>-0.38207799999999997</v>
      </c>
      <c r="T188" s="7">
        <f>C188-D188</f>
        <v>1.9556823837831709</v>
      </c>
      <c r="U188" s="8">
        <f>D188/C188</f>
        <v>0.7090519646928376</v>
      </c>
      <c r="V188" s="8">
        <v>27.276933437786209</v>
      </c>
      <c r="W188" s="8">
        <v>15.817947184033631</v>
      </c>
      <c r="X188" s="8">
        <v>0.55030566683190651</v>
      </c>
      <c r="Y188" s="8">
        <v>63.300724622499871</v>
      </c>
      <c r="Z188" s="8">
        <v>43.118089871494455</v>
      </c>
      <c r="AA188" s="7">
        <v>29.493269361926469</v>
      </c>
      <c r="AB188" s="7">
        <v>18.678966460750601</v>
      </c>
      <c r="AC188" s="7">
        <v>0.56433055350473638</v>
      </c>
      <c r="AD188" s="7">
        <v>62.533308243606072</v>
      </c>
      <c r="AE188" s="7">
        <v>44.077377659726537</v>
      </c>
      <c r="AF188" s="8">
        <v>32.077998080021587</v>
      </c>
      <c r="AG188" s="8">
        <v>22.638663654571221</v>
      </c>
      <c r="AH188" s="8">
        <v>0.58143085047000276</v>
      </c>
      <c r="AI188" s="8">
        <v>61.756125571662082</v>
      </c>
      <c r="AJ188" s="8">
        <v>45.723933314004142</v>
      </c>
      <c r="AK188" s="8">
        <v>31.65481021900165</v>
      </c>
      <c r="AL188" s="8">
        <v>21.376567421098471</v>
      </c>
      <c r="AM188" s="8">
        <v>0.57789800095510591</v>
      </c>
      <c r="AN188" s="8">
        <v>61.767344511700607</v>
      </c>
      <c r="AO188" s="8">
        <v>44.934440623180294</v>
      </c>
      <c r="AP188" s="8">
        <v>31.49958861066672</v>
      </c>
      <c r="AQ188" s="8">
        <v>20.65153907585098</v>
      </c>
      <c r="AR188" s="8">
        <v>0.56375560347881837</v>
      </c>
      <c r="AS188" s="8">
        <v>62.087739651768644</v>
      </c>
      <c r="AT188" s="8">
        <v>45.07787145444486</v>
      </c>
      <c r="AU188" s="8">
        <v>21.049895343865611</v>
      </c>
      <c r="AV188" s="8">
        <v>14.101410194947</v>
      </c>
      <c r="AW188" s="8">
        <v>0.49368164806741588</v>
      </c>
      <c r="AX188" s="8">
        <v>66.001479858464577</v>
      </c>
      <c r="AY188" s="8">
        <v>31.852839539244361</v>
      </c>
      <c r="AZ188" s="8">
        <v>32.367777338179287</v>
      </c>
      <c r="BA188" s="8">
        <v>23.842523627032421</v>
      </c>
      <c r="BB188" s="8">
        <v>0.61549926548132672</v>
      </c>
      <c r="BC188" s="8">
        <v>61.747320520597263</v>
      </c>
      <c r="BD188" s="8">
        <v>45.274266839741728</v>
      </c>
      <c r="BE188" s="8">
        <v>27.224957272851931</v>
      </c>
      <c r="BF188" s="8">
        <v>29.046735133959402</v>
      </c>
      <c r="BG188" s="8">
        <v>1.115195627380329</v>
      </c>
      <c r="BH188" s="8">
        <v>51.388617375876663</v>
      </c>
      <c r="BI188" s="8">
        <v>28.57409135462666</v>
      </c>
    </row>
    <row r="189" spans="1:61" x14ac:dyDescent="0.15">
      <c r="A189" s="7">
        <v>2022</v>
      </c>
      <c r="B189" s="7">
        <v>36</v>
      </c>
      <c r="C189" s="7">
        <v>63.480221248805854</v>
      </c>
      <c r="D189" s="7">
        <v>19.5715216181964</v>
      </c>
      <c r="E189" s="8">
        <v>17.871043902808879</v>
      </c>
      <c r="F189" s="8">
        <v>10.246423644831991</v>
      </c>
      <c r="G189" s="8">
        <v>0.56017498694478063</v>
      </c>
      <c r="H189" s="8">
        <v>65.305021423107789</v>
      </c>
      <c r="I189" s="8">
        <v>23.8667964407311</v>
      </c>
      <c r="J189" s="8">
        <v>27.625920071511281</v>
      </c>
      <c r="K189" s="8">
        <v>21.981056558843981</v>
      </c>
      <c r="L189" s="8">
        <v>0.60264362615459877</v>
      </c>
      <c r="M189" s="8">
        <v>58.28401240849189</v>
      </c>
      <c r="N189" s="8">
        <v>39.518286575046233</v>
      </c>
      <c r="O189" s="8">
        <v>292.55</v>
      </c>
      <c r="P189" s="8">
        <v>287.14499999999998</v>
      </c>
      <c r="Q189" s="8">
        <v>100.864</v>
      </c>
      <c r="R189" s="8">
        <v>-0.29593599999999998</v>
      </c>
      <c r="S189" s="8">
        <v>-1.15943</v>
      </c>
      <c r="T189" s="7">
        <f>C189-D189</f>
        <v>43.908699630609455</v>
      </c>
      <c r="U189" s="8">
        <f>D189/C189</f>
        <v>0.30830896983624745</v>
      </c>
      <c r="V189" s="8">
        <v>23.752032990013696</v>
      </c>
      <c r="W189" s="8">
        <v>15.950527436503656</v>
      </c>
      <c r="X189" s="8">
        <v>0.6064877730948629</v>
      </c>
      <c r="Y189" s="8">
        <v>60.467631941685411</v>
      </c>
      <c r="Z189" s="8">
        <v>30.90815426292977</v>
      </c>
      <c r="AA189" s="7">
        <v>25.688976530762488</v>
      </c>
      <c r="AB189" s="7">
        <v>18.965791997673819</v>
      </c>
      <c r="AC189" s="7">
        <v>0.60456569962473083</v>
      </c>
      <c r="AD189" s="7">
        <v>59.375822175088651</v>
      </c>
      <c r="AE189" s="7">
        <v>35.213220418988001</v>
      </c>
      <c r="AF189" s="8">
        <v>27.040988547781719</v>
      </c>
      <c r="AG189" s="8">
        <v>22.37040817037121</v>
      </c>
      <c r="AH189" s="8">
        <v>0.63077352677355958</v>
      </c>
      <c r="AI189" s="8">
        <v>59.126588810356857</v>
      </c>
      <c r="AJ189" s="8">
        <v>38.368305028524063</v>
      </c>
      <c r="AK189" s="8">
        <v>27.68401816434227</v>
      </c>
      <c r="AL189" s="8">
        <v>21.94238436363355</v>
      </c>
      <c r="AM189" s="8">
        <v>0.59984963487324949</v>
      </c>
      <c r="AN189" s="8">
        <v>58.200323839784517</v>
      </c>
      <c r="AO189" s="8">
        <v>39.632508038471158</v>
      </c>
      <c r="AP189" s="8">
        <v>26.73070490675682</v>
      </c>
      <c r="AQ189" s="8">
        <v>20.32728737567291</v>
      </c>
      <c r="AR189" s="8">
        <v>0.60302604844107299</v>
      </c>
      <c r="AS189" s="8">
        <v>58.084772563502362</v>
      </c>
      <c r="AT189" s="8">
        <v>36.170743595893747</v>
      </c>
      <c r="AU189" s="8">
        <v>29.623544964173711</v>
      </c>
      <c r="AV189" s="8">
        <v>30.038554283923101</v>
      </c>
      <c r="AW189" s="8">
        <v>0.65445214847185584</v>
      </c>
      <c r="AX189" s="8">
        <v>65.788050185035416</v>
      </c>
      <c r="AY189" s="8">
        <v>44.055502859598903</v>
      </c>
      <c r="AZ189" s="8">
        <v>27.95122783081726</v>
      </c>
      <c r="BA189" s="8">
        <v>22.295943511181012</v>
      </c>
      <c r="BB189" s="8">
        <v>0.57972491433092743</v>
      </c>
      <c r="BC189" s="8">
        <v>59.041718750513454</v>
      </c>
      <c r="BD189" s="8">
        <v>39.887880682843097</v>
      </c>
      <c r="BE189" s="8">
        <v>28.231760547886712</v>
      </c>
      <c r="BF189" s="8">
        <v>30.40592570697671</v>
      </c>
      <c r="BG189" s="8">
        <v>0.62430725197369696</v>
      </c>
      <c r="BH189" s="8">
        <v>64.532169465061088</v>
      </c>
      <c r="BI189" s="8">
        <v>43.520755386776742</v>
      </c>
    </row>
    <row r="190" spans="1:61" x14ac:dyDescent="0.15">
      <c r="A190" s="7">
        <v>2020</v>
      </c>
      <c r="B190" s="7">
        <v>4</v>
      </c>
      <c r="C190" s="7">
        <v>225.58099227228311</v>
      </c>
      <c r="D190" s="7">
        <v>7.0189121953974842</v>
      </c>
      <c r="E190" s="8">
        <v>24.783319840780941</v>
      </c>
      <c r="F190" s="8">
        <v>12.47775445912257</v>
      </c>
      <c r="G190" s="8">
        <v>0.56126466490575222</v>
      </c>
      <c r="H190" s="8">
        <v>68.069229795297886</v>
      </c>
      <c r="I190" s="8">
        <v>40.597859020732663</v>
      </c>
      <c r="J190" s="8">
        <v>30.938663680519941</v>
      </c>
      <c r="K190" s="8">
        <v>20.881925290120058</v>
      </c>
      <c r="L190" s="8">
        <v>0.61128616127392299</v>
      </c>
      <c r="M190" s="8">
        <v>53.831042701478751</v>
      </c>
      <c r="N190" s="8">
        <v>45.505338361364522</v>
      </c>
      <c r="O190" s="8">
        <v>289.09699999999998</v>
      </c>
      <c r="P190" s="8">
        <v>285.27300000000002</v>
      </c>
      <c r="Q190" s="8">
        <v>93.198399999999992</v>
      </c>
      <c r="R190" s="8">
        <v>-0.55351799999999995</v>
      </c>
      <c r="S190" s="8">
        <v>-0.179144</v>
      </c>
      <c r="T190" s="7">
        <f>C190-D190</f>
        <v>218.56208007688562</v>
      </c>
      <c r="U190" s="8">
        <f>D190/C190</f>
        <v>3.1114820999304071E-2</v>
      </c>
      <c r="V190" s="8">
        <v>24.094806299140256</v>
      </c>
      <c r="W190" s="8">
        <v>11.354670901528962</v>
      </c>
      <c r="X190" s="8">
        <v>0.54317815419004967</v>
      </c>
      <c r="Y190" s="8">
        <v>69.074743616896924</v>
      </c>
      <c r="Z190" s="8">
        <v>40.162692107279753</v>
      </c>
      <c r="AA190" s="7">
        <v>27.516734989830098</v>
      </c>
      <c r="AB190" s="7">
        <v>16.11829809582451</v>
      </c>
      <c r="AC190" s="7">
        <v>0.57723215773198633</v>
      </c>
      <c r="AD190" s="7">
        <v>61.452893159187838</v>
      </c>
      <c r="AE190" s="7">
        <v>42.834015234322138</v>
      </c>
      <c r="AF190" s="8">
        <v>31.42849097331878</v>
      </c>
      <c r="AG190" s="8">
        <v>22.22385834295233</v>
      </c>
      <c r="AH190" s="8">
        <v>0.62887087027827193</v>
      </c>
      <c r="AI190" s="8">
        <v>52.545264225616492</v>
      </c>
      <c r="AJ190" s="8">
        <v>46.228133799327978</v>
      </c>
      <c r="AK190" s="8">
        <v>30.87375033640453</v>
      </c>
      <c r="AL190" s="8">
        <v>20.704088400834891</v>
      </c>
      <c r="AM190" s="8">
        <v>0.60895578425420638</v>
      </c>
      <c r="AN190" s="8">
        <v>54.00143782214036</v>
      </c>
      <c r="AO190" s="8">
        <v>45.409551397919763</v>
      </c>
      <c r="AP190" s="8">
        <v>30.319751873428789</v>
      </c>
      <c r="AQ190" s="8">
        <v>20.036366108863071</v>
      </c>
      <c r="AR190" s="8">
        <v>0.58169773459607521</v>
      </c>
      <c r="AS190" s="8">
        <v>53.714802046298352</v>
      </c>
      <c r="AT190" s="8">
        <v>44.926145380347563</v>
      </c>
      <c r="AU190" s="8">
        <v>28.01680918284077</v>
      </c>
      <c r="AV190" s="8">
        <v>20.460742897498889</v>
      </c>
      <c r="AW190" s="8">
        <v>0.63182198900762898</v>
      </c>
      <c r="AX190" s="8">
        <v>59.610841885449851</v>
      </c>
      <c r="AY190" s="8">
        <v>44.085830959578509</v>
      </c>
      <c r="AZ190" s="8">
        <v>34.265341323542764</v>
      </c>
      <c r="BA190" s="8">
        <v>28.176495393580041</v>
      </c>
      <c r="BB190" s="8">
        <v>0.69168394280168977</v>
      </c>
      <c r="BC190" s="8">
        <v>49.312326810812642</v>
      </c>
      <c r="BD190" s="8">
        <v>50.141305836599173</v>
      </c>
      <c r="BE190" s="8">
        <v>30.109441840201381</v>
      </c>
      <c r="BF190" s="8">
        <v>38.463340497430337</v>
      </c>
      <c r="BG190" s="8">
        <v>0.59985446202803827</v>
      </c>
      <c r="BH190" s="8">
        <v>54.719185737991737</v>
      </c>
      <c r="BI190" s="8">
        <v>57.108245132251149</v>
      </c>
    </row>
    <row r="191" spans="1:61" x14ac:dyDescent="0.15">
      <c r="A191" s="7">
        <v>2020</v>
      </c>
      <c r="B191" s="7">
        <v>111</v>
      </c>
      <c r="C191" s="7">
        <v>26.218412583528238</v>
      </c>
      <c r="D191" s="7">
        <v>2.5297195919350548</v>
      </c>
      <c r="E191" s="8">
        <v>33.039753009243547</v>
      </c>
      <c r="F191" s="8">
        <v>20.025213227332301</v>
      </c>
      <c r="G191" s="8">
        <v>0.5612787139494072</v>
      </c>
      <c r="H191" s="8">
        <v>52.48353295625386</v>
      </c>
      <c r="I191" s="8">
        <v>44.447537070645822</v>
      </c>
      <c r="J191" s="8">
        <v>32.204008208228281</v>
      </c>
      <c r="K191" s="8">
        <v>19.336042744676941</v>
      </c>
      <c r="L191" s="8">
        <v>0.61998051711037128</v>
      </c>
      <c r="M191" s="8">
        <v>55.667853093637923</v>
      </c>
      <c r="N191" s="8">
        <v>52.449348598695963</v>
      </c>
      <c r="O191" s="8">
        <v>278.44299999999998</v>
      </c>
      <c r="P191" s="8">
        <v>271.46600000000001</v>
      </c>
      <c r="Q191" s="8">
        <v>99.649600000000007</v>
      </c>
      <c r="R191" s="8">
        <v>0.85175800000000002</v>
      </c>
      <c r="S191" s="8">
        <v>-0.15801200000000001</v>
      </c>
      <c r="T191" s="7">
        <f>C191-D191</f>
        <v>23.688692991593182</v>
      </c>
      <c r="U191" s="8">
        <f>D191/C191</f>
        <v>9.6486375133342572E-2</v>
      </c>
      <c r="V191" s="8">
        <v>31.966319545237134</v>
      </c>
      <c r="W191" s="8">
        <v>22.0854226036376</v>
      </c>
      <c r="X191" s="8">
        <v>0.66084841576106534</v>
      </c>
      <c r="Y191" s="8">
        <v>57.795507420219174</v>
      </c>
      <c r="Z191" s="8">
        <v>49.064246651810336</v>
      </c>
      <c r="AA191" s="7">
        <v>32.085163876732707</v>
      </c>
      <c r="AB191" s="7">
        <v>20.710732674157271</v>
      </c>
      <c r="AC191" s="7">
        <v>0.64041446643571831</v>
      </c>
      <c r="AD191" s="7">
        <v>56.731680256928549</v>
      </c>
      <c r="AE191" s="7">
        <v>50.756797625253149</v>
      </c>
      <c r="AF191" s="8">
        <v>33.925438766355057</v>
      </c>
      <c r="AG191" s="8">
        <v>20.689810208615938</v>
      </c>
      <c r="AH191" s="8">
        <v>0.64286501452407141</v>
      </c>
      <c r="AI191" s="8">
        <v>54.627044833012661</v>
      </c>
      <c r="AJ191" s="8">
        <v>53.021190131630838</v>
      </c>
      <c r="AK191" s="8">
        <v>32.058893788641413</v>
      </c>
      <c r="AL191" s="8">
        <v>19.221921859081149</v>
      </c>
      <c r="AM191" s="8">
        <v>0.61805138291204487</v>
      </c>
      <c r="AN191" s="8">
        <v>55.755591914079339</v>
      </c>
      <c r="AO191" s="8">
        <v>52.401143080468273</v>
      </c>
      <c r="AP191" s="8">
        <v>33.058625418125153</v>
      </c>
      <c r="AQ191" s="8">
        <v>21.194540151525072</v>
      </c>
      <c r="AR191" s="8">
        <v>0.6366954610733826</v>
      </c>
      <c r="AS191" s="8">
        <v>57.051279089480438</v>
      </c>
      <c r="AT191" s="8">
        <v>52.295593177759478</v>
      </c>
      <c r="AU191" s="8">
        <v>34.835634743133298</v>
      </c>
      <c r="AV191" s="8">
        <v>21.570628613336851</v>
      </c>
      <c r="AW191" s="8">
        <v>0.65597532809754822</v>
      </c>
      <c r="AX191" s="8">
        <v>57.776792757039964</v>
      </c>
      <c r="AY191" s="8">
        <v>53.449466934154167</v>
      </c>
      <c r="AZ191" s="8">
        <v>31.257632173356772</v>
      </c>
      <c r="BA191" s="8">
        <v>19.696479430859</v>
      </c>
      <c r="BB191" s="8">
        <v>0.62377680126531831</v>
      </c>
      <c r="BC191" s="8">
        <v>56.82833371739801</v>
      </c>
      <c r="BD191" s="8">
        <v>52.880574993557467</v>
      </c>
      <c r="BE191" s="8">
        <v>28.543406446581379</v>
      </c>
      <c r="BF191" s="8">
        <v>22.229632718360239</v>
      </c>
      <c r="BG191" s="8">
        <v>0.60032222333003538</v>
      </c>
      <c r="BH191" s="8">
        <v>60.468210565666368</v>
      </c>
      <c r="BI191" s="8">
        <v>49.765214398332162</v>
      </c>
    </row>
    <row r="192" spans="1:61" x14ac:dyDescent="0.15">
      <c r="A192" s="7">
        <v>2022</v>
      </c>
      <c r="B192" s="7">
        <v>85</v>
      </c>
      <c r="C192" s="7">
        <v>114.84990402766093</v>
      </c>
      <c r="D192" s="7">
        <v>43.75057097709157</v>
      </c>
      <c r="E192" s="8">
        <v>17.97371561489679</v>
      </c>
      <c r="F192" s="8">
        <v>16.431057584696521</v>
      </c>
      <c r="G192" s="8">
        <v>0.561724161938986</v>
      </c>
      <c r="H192" s="8">
        <v>51.534417542055678</v>
      </c>
      <c r="I192" s="8">
        <v>28.05912501717415</v>
      </c>
      <c r="J192" s="8">
        <v>20.667821195656341</v>
      </c>
      <c r="K192" s="8">
        <v>27.6432388856296</v>
      </c>
      <c r="L192" s="8">
        <v>0.65934866119987212</v>
      </c>
      <c r="M192" s="8">
        <v>54.725617889798848</v>
      </c>
      <c r="N192" s="8">
        <v>37.732304934777417</v>
      </c>
      <c r="O192" s="8">
        <v>296.50599999999997</v>
      </c>
      <c r="P192" s="8">
        <v>292.08100000000002</v>
      </c>
      <c r="Q192" s="8">
        <v>101.113</v>
      </c>
      <c r="R192" s="8">
        <v>-0.84112699999999996</v>
      </c>
      <c r="S192" s="8">
        <v>-0.43428800000000001</v>
      </c>
      <c r="T192" s="7">
        <f>C192-D192</f>
        <v>71.099333050569356</v>
      </c>
      <c r="U192" s="8">
        <f>D192/C192</f>
        <v>0.3809369398040986</v>
      </c>
      <c r="V192" s="8">
        <v>20.174251219204596</v>
      </c>
      <c r="W192" s="8">
        <v>18.073259294664503</v>
      </c>
      <c r="X192" s="8">
        <v>0.65780026658957935</v>
      </c>
      <c r="Y192" s="8">
        <v>53.654584113309518</v>
      </c>
      <c r="Z192" s="8">
        <v>32.418050486088603</v>
      </c>
      <c r="AA192" s="7">
        <v>20.421036207430468</v>
      </c>
      <c r="AB192" s="7">
        <v>22.858249090147051</v>
      </c>
      <c r="AC192" s="7">
        <v>0.65857446389472574</v>
      </c>
      <c r="AD192" s="7">
        <v>54.190101001554183</v>
      </c>
      <c r="AE192" s="7">
        <v>35.07517771043301</v>
      </c>
      <c r="AF192" s="8">
        <v>19.996345554733161</v>
      </c>
      <c r="AG192" s="8">
        <v>25.889431930300368</v>
      </c>
      <c r="AH192" s="8">
        <v>0.6567172843450344</v>
      </c>
      <c r="AI192" s="8">
        <v>54.460915242415318</v>
      </c>
      <c r="AJ192" s="8">
        <v>36.691552646105187</v>
      </c>
      <c r="AK192" s="8">
        <v>20.729035200111081</v>
      </c>
      <c r="AL192" s="8">
        <v>27.803121895873542</v>
      </c>
      <c r="AM192" s="8">
        <v>0.65958854646852116</v>
      </c>
      <c r="AN192" s="8">
        <v>54.749749083916093</v>
      </c>
      <c r="AO192" s="8">
        <v>37.827183455087507</v>
      </c>
      <c r="AP192" s="8">
        <v>20.868445901626959</v>
      </c>
      <c r="AQ192" s="8">
        <v>23.04259355593565</v>
      </c>
      <c r="AR192" s="8">
        <v>0.62868025436628927</v>
      </c>
      <c r="AS192" s="8">
        <v>53.985701104682363</v>
      </c>
      <c r="AT192" s="8">
        <v>36.021808357891352</v>
      </c>
      <c r="AU192" s="8">
        <v>21.493466208286989</v>
      </c>
      <c r="AV192" s="8">
        <v>23.630131196861171</v>
      </c>
      <c r="AW192" s="8">
        <v>0.68703072285450884</v>
      </c>
      <c r="AX192" s="8">
        <v>56.857771229364737</v>
      </c>
      <c r="AY192" s="8">
        <v>35.739148750766027</v>
      </c>
      <c r="AZ192" s="8">
        <v>21.00933697640539</v>
      </c>
      <c r="BA192" s="8">
        <v>27.181089873323771</v>
      </c>
      <c r="BB192" s="8">
        <v>0.68859376795641836</v>
      </c>
      <c r="BC192" s="8">
        <v>55.046122764669889</v>
      </c>
      <c r="BD192" s="8">
        <v>37.956478757887112</v>
      </c>
      <c r="BE192" s="8">
        <v>23.291273884202699</v>
      </c>
      <c r="BF192" s="8">
        <v>21.42274819018105</v>
      </c>
      <c r="BG192" s="8">
        <v>0.75007826146600998</v>
      </c>
      <c r="BH192" s="8">
        <v>54.879479202699962</v>
      </c>
      <c r="BI192" s="8">
        <v>35.631946049970942</v>
      </c>
    </row>
    <row r="193" spans="1:61" x14ac:dyDescent="0.15">
      <c r="A193" s="7">
        <v>2022</v>
      </c>
      <c r="B193" s="7">
        <v>34</v>
      </c>
      <c r="C193" s="7">
        <v>108.84441074668351</v>
      </c>
      <c r="D193" s="7">
        <v>106.1432056568255</v>
      </c>
      <c r="E193" s="8">
        <v>14.98040933658724</v>
      </c>
      <c r="F193" s="8">
        <v>14.307133928076951</v>
      </c>
      <c r="G193" s="8">
        <v>0.56445346194694868</v>
      </c>
      <c r="H193" s="8">
        <v>66.51139977219492</v>
      </c>
      <c r="I193" s="8">
        <v>19.974218849637339</v>
      </c>
      <c r="J193" s="8">
        <v>19.8787792910089</v>
      </c>
      <c r="K193" s="8">
        <v>24.250891589763398</v>
      </c>
      <c r="L193" s="8">
        <v>0.6574090010049688</v>
      </c>
      <c r="M193" s="8">
        <v>66.149984584011861</v>
      </c>
      <c r="N193" s="8">
        <v>29.42210562562947</v>
      </c>
      <c r="O193" s="8">
        <v>291.46699999999998</v>
      </c>
      <c r="P193" s="8">
        <v>286.14400000000001</v>
      </c>
      <c r="Q193" s="8">
        <v>99.912100000000009</v>
      </c>
      <c r="R193" s="8">
        <v>-0.41120899999999999</v>
      </c>
      <c r="S193" s="8">
        <v>-0.529304</v>
      </c>
      <c r="T193" s="7">
        <f>C193-D193</f>
        <v>2.7012050898580071</v>
      </c>
      <c r="U193" s="8">
        <f>D193/C193</f>
        <v>0.97518287736294895</v>
      </c>
      <c r="V193" s="8">
        <v>15.389512126272461</v>
      </c>
      <c r="W193" s="8">
        <v>13.430274736385059</v>
      </c>
      <c r="X193" s="8">
        <v>0.56673026546208238</v>
      </c>
      <c r="Y193" s="8">
        <v>66.680988530798942</v>
      </c>
      <c r="Z193" s="8">
        <v>20.801928033185767</v>
      </c>
      <c r="AA193" s="7">
        <v>17.634145708640681</v>
      </c>
      <c r="AB193" s="7">
        <v>18.840583163074228</v>
      </c>
      <c r="AC193" s="7">
        <v>0.61206963323352559</v>
      </c>
      <c r="AD193" s="7">
        <v>66.415486557405401</v>
      </c>
      <c r="AE193" s="7">
        <v>25.112016829407619</v>
      </c>
      <c r="AF193" s="8">
        <v>19.68556009601209</v>
      </c>
      <c r="AG193" s="8">
        <v>25.050868462520651</v>
      </c>
      <c r="AH193" s="8">
        <v>0.64649973269316685</v>
      </c>
      <c r="AI193" s="8">
        <v>66.867946533916125</v>
      </c>
      <c r="AJ193" s="8">
        <v>28.476260332807779</v>
      </c>
      <c r="AK193" s="8">
        <v>19.902581479069919</v>
      </c>
      <c r="AL193" s="8">
        <v>24.152344445054801</v>
      </c>
      <c r="AM193" s="8">
        <v>0.65875288640915852</v>
      </c>
      <c r="AN193" s="8">
        <v>66.061540651965899</v>
      </c>
      <c r="AO193" s="8">
        <v>29.53862193518523</v>
      </c>
      <c r="AP193" s="8">
        <v>21.284666853499871</v>
      </c>
      <c r="AQ193" s="8">
        <v>24.932275288188521</v>
      </c>
      <c r="AR193" s="8">
        <v>0.66361672472282862</v>
      </c>
      <c r="AS193" s="8">
        <v>66.495514571566474</v>
      </c>
      <c r="AT193" s="8">
        <v>30.66179000723406</v>
      </c>
      <c r="AU193" s="8">
        <v>20.993237372952411</v>
      </c>
      <c r="AV193" s="8">
        <v>22.381703124834019</v>
      </c>
      <c r="AW193" s="8">
        <v>0.62582789276795803</v>
      </c>
      <c r="AX193" s="8">
        <v>65.354731332903015</v>
      </c>
      <c r="AY193" s="8">
        <v>28.758656072598029</v>
      </c>
      <c r="AZ193" s="8">
        <v>20.418016507308391</v>
      </c>
      <c r="BA193" s="8">
        <v>24.91096329733848</v>
      </c>
      <c r="BB193" s="8">
        <v>0.65848667105945269</v>
      </c>
      <c r="BC193" s="8">
        <v>66.153579093353017</v>
      </c>
      <c r="BD193" s="8">
        <v>32.668350617652791</v>
      </c>
      <c r="BE193" s="8">
        <v>30.025645368933809</v>
      </c>
      <c r="BF193" s="8">
        <v>27.609781433455769</v>
      </c>
      <c r="BG193" s="8">
        <v>0.47881056646977921</v>
      </c>
      <c r="BH193" s="8">
        <v>60.334090009569202</v>
      </c>
      <c r="BI193" s="8">
        <v>50.485196958110308</v>
      </c>
    </row>
    <row r="194" spans="1:61" x14ac:dyDescent="0.15">
      <c r="A194" s="7">
        <v>2023</v>
      </c>
      <c r="B194" s="7">
        <v>92</v>
      </c>
      <c r="C194" s="9">
        <v>10.725870057878909</v>
      </c>
      <c r="D194" s="7">
        <v>2.5999961510405361</v>
      </c>
      <c r="E194" s="8">
        <v>14.901998767628569</v>
      </c>
      <c r="F194" s="8">
        <v>9.9268921177768075</v>
      </c>
      <c r="G194" s="8">
        <v>0.56485650722801362</v>
      </c>
      <c r="H194" s="8">
        <v>63.719724365212272</v>
      </c>
      <c r="I194" s="8">
        <v>26.530867693590029</v>
      </c>
      <c r="J194" s="8">
        <v>16.39059250217068</v>
      </c>
      <c r="K194" s="8">
        <v>14.198188243869129</v>
      </c>
      <c r="L194" s="8">
        <v>0.5164294601030095</v>
      </c>
      <c r="M194" s="8">
        <v>59.193397144596268</v>
      </c>
      <c r="N194" s="8">
        <v>29.288321699322271</v>
      </c>
      <c r="O194" s="7">
        <v>292.19299999999998</v>
      </c>
      <c r="P194" s="7">
        <v>287.92099999999999</v>
      </c>
      <c r="Q194" s="7">
        <v>96.284700000000001</v>
      </c>
      <c r="R194" s="7">
        <v>-0.63064799999999999</v>
      </c>
      <c r="S194" s="7">
        <v>-0.52277499999999999</v>
      </c>
      <c r="T194" s="7">
        <f>C194-D194</f>
        <v>8.1258739068383736</v>
      </c>
      <c r="U194" s="8">
        <f>D194/C194</f>
        <v>0.24240421867973827</v>
      </c>
      <c r="V194" s="8">
        <v>14.105055633662701</v>
      </c>
      <c r="W194" s="8">
        <v>7.8482240123122295</v>
      </c>
      <c r="X194" s="8">
        <v>0.58364115899196167</v>
      </c>
      <c r="Y194" s="8">
        <v>66.690316658258183</v>
      </c>
      <c r="Z194" s="8">
        <v>24.660290223487568</v>
      </c>
      <c r="AA194" s="7">
        <v>15.247824067916691</v>
      </c>
      <c r="AB194" s="7">
        <v>11.023206128090679</v>
      </c>
      <c r="AC194" s="7">
        <v>0.55003530954748558</v>
      </c>
      <c r="AD194" s="7">
        <v>62.941856901427222</v>
      </c>
      <c r="AE194" s="7">
        <v>26.974305961404919</v>
      </c>
      <c r="AF194" s="8">
        <v>16.198608704615989</v>
      </c>
      <c r="AG194" s="8">
        <v>14.17722908733432</v>
      </c>
      <c r="AH194" s="8">
        <v>0.53860135195939585</v>
      </c>
      <c r="AI194" s="8">
        <v>57.960532221276601</v>
      </c>
      <c r="AJ194" s="8">
        <v>29.05684985684989</v>
      </c>
      <c r="AK194" s="8">
        <v>16.41965521463554</v>
      </c>
      <c r="AL194" s="8">
        <v>14.201361063386379</v>
      </c>
      <c r="AM194" s="8">
        <v>0.51307305541661619</v>
      </c>
      <c r="AN194" s="8">
        <v>59.380029554366409</v>
      </c>
      <c r="AO194" s="8">
        <v>29.323362154231329</v>
      </c>
      <c r="AP194" s="8">
        <v>16.113622651068201</v>
      </c>
      <c r="AQ194" s="8">
        <v>13.63587028288627</v>
      </c>
      <c r="AR194" s="8">
        <v>0.47869932515086749</v>
      </c>
      <c r="AS194" s="8">
        <v>64.215543782591652</v>
      </c>
      <c r="AT194" s="8">
        <v>29.06893054299147</v>
      </c>
      <c r="AU194" s="8">
        <v>14.810449477615689</v>
      </c>
      <c r="AV194" s="8">
        <v>13.29389715987638</v>
      </c>
      <c r="AW194" s="8">
        <v>0.50131403133512298</v>
      </c>
      <c r="AX194" s="8">
        <v>55.377221726351557</v>
      </c>
      <c r="AY194" s="8">
        <v>27.07867302826606</v>
      </c>
      <c r="AZ194" s="8">
        <v>16.764215764741589</v>
      </c>
      <c r="BA194" s="8">
        <v>18.58428251898362</v>
      </c>
      <c r="BB194" s="8">
        <v>0.5180453882446201</v>
      </c>
      <c r="BC194" s="8">
        <v>54.217974140909909</v>
      </c>
      <c r="BD194" s="8">
        <v>30.598044810820621</v>
      </c>
      <c r="BE194" s="8">
        <v>17.3204268563839</v>
      </c>
      <c r="BF194" s="8">
        <v>20.51420161784878</v>
      </c>
      <c r="BG194" s="8">
        <v>0.49732364310603272</v>
      </c>
      <c r="BH194" s="8">
        <v>56.096455453694247</v>
      </c>
      <c r="BI194" s="8">
        <v>33.281789198867877</v>
      </c>
    </row>
    <row r="195" spans="1:61" x14ac:dyDescent="0.15">
      <c r="A195" s="7">
        <v>2021</v>
      </c>
      <c r="B195" s="7">
        <v>36</v>
      </c>
      <c r="C195" s="7">
        <v>156.78635995860182</v>
      </c>
      <c r="D195" s="7">
        <v>140.33845445503027</v>
      </c>
      <c r="E195" s="8">
        <v>16.922856970558559</v>
      </c>
      <c r="F195" s="8">
        <v>9.5550182783884416</v>
      </c>
      <c r="G195" s="8">
        <v>0.56487792858525576</v>
      </c>
      <c r="H195" s="8">
        <v>66.870283024659514</v>
      </c>
      <c r="I195" s="8">
        <v>25.80865570507256</v>
      </c>
      <c r="J195" s="8">
        <v>29.467181825449469</v>
      </c>
      <c r="K195" s="8">
        <v>20.231697259518018</v>
      </c>
      <c r="L195" s="8">
        <v>0.64409829701486032</v>
      </c>
      <c r="M195" s="8">
        <v>60.496490375194973</v>
      </c>
      <c r="N195" s="8">
        <v>45.128065893515149</v>
      </c>
      <c r="O195" s="8">
        <v>292.77699999999999</v>
      </c>
      <c r="P195" s="8">
        <v>288.20299999999997</v>
      </c>
      <c r="Q195" s="8">
        <v>100.828</v>
      </c>
      <c r="R195" s="8">
        <v>-0.25786300000000001</v>
      </c>
      <c r="S195" s="8">
        <v>-1.0606899999999999</v>
      </c>
      <c r="T195" s="7">
        <f>C195-D195</f>
        <v>16.447905503571548</v>
      </c>
      <c r="U195" s="8">
        <f>D195/C195</f>
        <v>0.89509351765093292</v>
      </c>
      <c r="V195" s="8">
        <v>23.87202324886189</v>
      </c>
      <c r="W195" s="8">
        <v>15.190492429447861</v>
      </c>
      <c r="X195" s="8">
        <v>0.66160203597635814</v>
      </c>
      <c r="Y195" s="8">
        <v>61.839389630266801</v>
      </c>
      <c r="Z195" s="8">
        <v>33.251976161015229</v>
      </c>
      <c r="AA195" s="7">
        <v>26.669602537155679</v>
      </c>
      <c r="AB195" s="7">
        <v>17.71109484448294</v>
      </c>
      <c r="AC195" s="7">
        <v>0.65285016649560923</v>
      </c>
      <c r="AD195" s="7">
        <v>61.167940002730887</v>
      </c>
      <c r="AE195" s="7">
        <v>39.190021027265189</v>
      </c>
      <c r="AF195" s="8">
        <v>28.91335817882851</v>
      </c>
      <c r="AG195" s="8">
        <v>19.767488414204959</v>
      </c>
      <c r="AH195" s="8">
        <v>0.67610285018111005</v>
      </c>
      <c r="AI195" s="8">
        <v>60.744832609974303</v>
      </c>
      <c r="AJ195" s="8">
        <v>43.705007283961152</v>
      </c>
      <c r="AK195" s="8">
        <v>29.523674903531319</v>
      </c>
      <c r="AL195" s="8">
        <v>20.279049131733231</v>
      </c>
      <c r="AM195" s="8">
        <v>0.6408336554055194</v>
      </c>
      <c r="AN195" s="8">
        <v>60.471158092353647</v>
      </c>
      <c r="AO195" s="8">
        <v>45.273225750150189</v>
      </c>
      <c r="AP195" s="8">
        <v>27.805780809591571</v>
      </c>
      <c r="AQ195" s="8">
        <v>18.619854948297348</v>
      </c>
      <c r="AR195" s="8">
        <v>0.64447880521879319</v>
      </c>
      <c r="AS195" s="8">
        <v>59.740855771114823</v>
      </c>
      <c r="AT195" s="8">
        <v>39.54818797917784</v>
      </c>
      <c r="AU195" s="8">
        <v>28.67592906222572</v>
      </c>
      <c r="AV195" s="8">
        <v>26.659550923873361</v>
      </c>
      <c r="AW195" s="8">
        <v>0.69910354720896395</v>
      </c>
      <c r="AX195" s="8">
        <v>62.751082488880698</v>
      </c>
      <c r="AY195" s="8">
        <v>44.926375497347948</v>
      </c>
      <c r="AZ195" s="8">
        <v>29.689757836953639</v>
      </c>
      <c r="BA195" s="8">
        <v>20.66484811898702</v>
      </c>
      <c r="BB195" s="8">
        <v>0.63049299162786143</v>
      </c>
      <c r="BC195" s="8">
        <v>61.35630062975828</v>
      </c>
      <c r="BD195" s="8">
        <v>45.797814391430663</v>
      </c>
      <c r="BE195" s="8">
        <v>27.430717940345151</v>
      </c>
      <c r="BF195" s="8">
        <v>27.7469980694576</v>
      </c>
      <c r="BG195" s="8">
        <v>0.6673277573930575</v>
      </c>
      <c r="BH195" s="8">
        <v>62.165901014339703</v>
      </c>
      <c r="BI195" s="8">
        <v>45.339602646305977</v>
      </c>
    </row>
    <row r="196" spans="1:61" x14ac:dyDescent="0.15">
      <c r="A196" s="7">
        <v>2023</v>
      </c>
      <c r="B196" s="7">
        <v>13</v>
      </c>
      <c r="C196" s="9">
        <v>14.929955179816123</v>
      </c>
      <c r="D196" s="7">
        <v>0.3634825564167713</v>
      </c>
      <c r="E196" s="8">
        <v>34.793321814602429</v>
      </c>
      <c r="F196" s="8">
        <v>28.59384429439708</v>
      </c>
      <c r="G196" s="8">
        <v>0.56553652820863398</v>
      </c>
      <c r="H196" s="8">
        <v>77.14940463874531</v>
      </c>
      <c r="I196" s="8">
        <v>61.416405719878433</v>
      </c>
      <c r="J196" s="8">
        <v>31.40587331688036</v>
      </c>
      <c r="K196" s="8">
        <v>27.44343529101835</v>
      </c>
      <c r="L196" s="8">
        <v>0.52025450899679615</v>
      </c>
      <c r="M196" s="8">
        <v>79.905323281379594</v>
      </c>
      <c r="N196" s="8">
        <v>55.148832000263631</v>
      </c>
      <c r="O196" s="7">
        <v>287.74200000000002</v>
      </c>
      <c r="P196" s="7">
        <v>280.505</v>
      </c>
      <c r="Q196" s="7">
        <v>101.077</v>
      </c>
      <c r="R196" s="7">
        <v>0.21656800000000001</v>
      </c>
      <c r="S196" s="7">
        <v>2.8343699999999999E-2</v>
      </c>
      <c r="T196" s="7">
        <f>C196-D196</f>
        <v>14.566472623399351</v>
      </c>
      <c r="U196" s="8">
        <f>D196/C196</f>
        <v>2.4345857173648122E-2</v>
      </c>
      <c r="V196" s="8">
        <v>29.59809733625994</v>
      </c>
      <c r="W196" s="8">
        <v>26.239712575052071</v>
      </c>
      <c r="X196" s="8">
        <v>0.4906091443549182</v>
      </c>
      <c r="Y196" s="8">
        <v>81.716205965437496</v>
      </c>
      <c r="Z196" s="8">
        <v>52.705606033070502</v>
      </c>
      <c r="AA196" s="7">
        <v>30.50198532657015</v>
      </c>
      <c r="AB196" s="7">
        <v>26.84157393303521</v>
      </c>
      <c r="AC196" s="7">
        <v>0.50543182667585718</v>
      </c>
      <c r="AD196" s="7">
        <v>80.810764623408545</v>
      </c>
      <c r="AE196" s="7">
        <v>53.927219016667067</v>
      </c>
      <c r="AF196" s="8">
        <v>32.194129564088669</v>
      </c>
      <c r="AG196" s="8">
        <v>27.465296628531</v>
      </c>
      <c r="AH196" s="8">
        <v>0.53874633137249628</v>
      </c>
      <c r="AI196" s="8">
        <v>79.712706781176166</v>
      </c>
      <c r="AJ196" s="8">
        <v>56.001768436958884</v>
      </c>
      <c r="AK196" s="8">
        <v>31.329631130207499</v>
      </c>
      <c r="AL196" s="8">
        <v>27.441320805809429</v>
      </c>
      <c r="AM196" s="8">
        <v>0.51846593202264246</v>
      </c>
      <c r="AN196" s="8">
        <v>79.923953648365938</v>
      </c>
      <c r="AO196" s="8">
        <v>55.066333778071368</v>
      </c>
      <c r="AP196" s="8">
        <v>29.40018454848779</v>
      </c>
      <c r="AQ196" s="8">
        <v>26.741320789316259</v>
      </c>
      <c r="AR196" s="8">
        <v>0.48888464660653558</v>
      </c>
      <c r="AS196" s="8">
        <v>82.267613068641708</v>
      </c>
      <c r="AT196" s="8">
        <v>51.395026361375827</v>
      </c>
      <c r="AU196" s="8">
        <v>28.686139681578151</v>
      </c>
      <c r="AV196" s="8">
        <v>25.643240115825641</v>
      </c>
      <c r="AW196" s="8">
        <v>0.51510120983314478</v>
      </c>
      <c r="AX196" s="8">
        <v>77.433822213838425</v>
      </c>
      <c r="AY196" s="8">
        <v>54.558944612752732</v>
      </c>
      <c r="AZ196" s="8">
        <v>31.83394595983539</v>
      </c>
      <c r="BA196" s="8">
        <v>27.264857636664271</v>
      </c>
      <c r="BB196" s="8">
        <v>0.53346474235564245</v>
      </c>
      <c r="BC196" s="8">
        <v>79.40423095356617</v>
      </c>
      <c r="BD196" s="8">
        <v>56.78127984877478</v>
      </c>
      <c r="BE196" s="8">
        <v>30.072110668055959</v>
      </c>
      <c r="BF196" s="8">
        <v>27.568432733842741</v>
      </c>
      <c r="BG196" s="8">
        <v>0.58698275910499054</v>
      </c>
      <c r="BH196" s="8">
        <v>72.40530486315177</v>
      </c>
      <c r="BI196" s="8">
        <v>61.782938074741651</v>
      </c>
    </row>
    <row r="197" spans="1:61" x14ac:dyDescent="0.15">
      <c r="A197" s="7">
        <v>2023</v>
      </c>
      <c r="B197" s="7">
        <v>35</v>
      </c>
      <c r="C197" s="9">
        <v>121.46677440764097</v>
      </c>
      <c r="D197" s="7">
        <v>36.21990911412167</v>
      </c>
      <c r="E197" s="8">
        <v>37.45624292654233</v>
      </c>
      <c r="F197" s="8">
        <v>25.83935979113058</v>
      </c>
      <c r="G197" s="8">
        <v>0.56568108144676432</v>
      </c>
      <c r="H197" s="8">
        <v>75.610568697315657</v>
      </c>
      <c r="I197" s="8">
        <v>64.202950599967437</v>
      </c>
      <c r="J197" s="8">
        <v>34.746795555298071</v>
      </c>
      <c r="K197" s="8">
        <v>28.47489022071797</v>
      </c>
      <c r="L197" s="8">
        <v>0.62695561938509992</v>
      </c>
      <c r="M197" s="8">
        <v>81.07829639854269</v>
      </c>
      <c r="N197" s="8">
        <v>60.436071338735623</v>
      </c>
      <c r="O197" s="7">
        <v>287.97899999999998</v>
      </c>
      <c r="P197" s="7">
        <v>279.25200000000001</v>
      </c>
      <c r="Q197" s="7">
        <v>100.52</v>
      </c>
      <c r="R197" s="7">
        <v>0.154253</v>
      </c>
      <c r="S197" s="7">
        <v>9.6614599999999995E-2</v>
      </c>
      <c r="T197" s="7">
        <f>C197-D197</f>
        <v>85.246865293519306</v>
      </c>
      <c r="U197" s="8">
        <f>D197/C197</f>
        <v>0.29818779078275437</v>
      </c>
      <c r="V197" s="8">
        <v>30.894997993326747</v>
      </c>
      <c r="W197" s="8">
        <v>25.212641814482868</v>
      </c>
      <c r="X197" s="8">
        <v>0.50061836313109798</v>
      </c>
      <c r="Y197" s="8">
        <v>78.841432352319671</v>
      </c>
      <c r="Z197" s="8">
        <v>55.020548108559474</v>
      </c>
      <c r="AA197" s="7">
        <v>32.820896774312409</v>
      </c>
      <c r="AB197" s="7">
        <v>26.843766017600419</v>
      </c>
      <c r="AC197" s="7">
        <v>0.56378699125809895</v>
      </c>
      <c r="AD197" s="7">
        <v>79.959864375431181</v>
      </c>
      <c r="AE197" s="7">
        <v>57.728309723647548</v>
      </c>
      <c r="AF197" s="8">
        <v>34.61262994649276</v>
      </c>
      <c r="AG197" s="8">
        <v>28.131747028331681</v>
      </c>
      <c r="AH197" s="8">
        <v>0.61811608728941192</v>
      </c>
      <c r="AI197" s="8">
        <v>81.761665997969942</v>
      </c>
      <c r="AJ197" s="8">
        <v>59.926040146998091</v>
      </c>
      <c r="AK197" s="8">
        <v>34.758616909200093</v>
      </c>
      <c r="AL197" s="8">
        <v>28.50512462394833</v>
      </c>
      <c r="AM197" s="8">
        <v>0.62773447201478538</v>
      </c>
      <c r="AN197" s="8">
        <v>81.01808459051945</v>
      </c>
      <c r="AO197" s="8">
        <v>60.481010271091563</v>
      </c>
      <c r="AP197" s="8">
        <v>31.674021738105591</v>
      </c>
      <c r="AQ197" s="8">
        <v>26.996466358398891</v>
      </c>
      <c r="AR197" s="8">
        <v>0.54371445744786251</v>
      </c>
      <c r="AS197" s="8">
        <v>81.408375548550396</v>
      </c>
      <c r="AT197" s="8">
        <v>55.307064970977557</v>
      </c>
      <c r="AU197" s="8">
        <v>30.127825859891772</v>
      </c>
      <c r="AV197" s="8">
        <v>22.796300409685799</v>
      </c>
      <c r="AW197" s="8">
        <v>0.52575770938526323</v>
      </c>
      <c r="AX197" s="8">
        <v>71.00330296618317</v>
      </c>
      <c r="AY197" s="8">
        <v>54.21317144832036</v>
      </c>
      <c r="AZ197" s="8">
        <v>34.499279731898149</v>
      </c>
      <c r="BA197" s="8">
        <v>27.788828146785349</v>
      </c>
      <c r="BB197" s="8">
        <v>0.61425745858898007</v>
      </c>
      <c r="BC197" s="8">
        <v>79.36525498229274</v>
      </c>
      <c r="BD197" s="8">
        <v>61.435096229864271</v>
      </c>
      <c r="BE197" s="8">
        <v>34.143165140592068</v>
      </c>
      <c r="BF197" s="8">
        <v>25.258474042471612</v>
      </c>
      <c r="BG197" s="8">
        <v>0.64350711341208522</v>
      </c>
      <c r="BH197" s="8">
        <v>74.685943550169796</v>
      </c>
      <c r="BI197" s="8">
        <v>64.568768425744608</v>
      </c>
    </row>
    <row r="198" spans="1:61" x14ac:dyDescent="0.15">
      <c r="A198" s="7">
        <v>2020</v>
      </c>
      <c r="B198" s="7">
        <v>52</v>
      </c>
      <c r="C198" s="7">
        <v>61.802899637990556</v>
      </c>
      <c r="D198" s="7">
        <v>35.351027010610572</v>
      </c>
      <c r="E198" s="8">
        <v>26.275506675749821</v>
      </c>
      <c r="F198" s="8">
        <v>13.7544563535679</v>
      </c>
      <c r="G198" s="8">
        <v>0.56615412558055145</v>
      </c>
      <c r="H198" s="8">
        <v>69.242895985176659</v>
      </c>
      <c r="I198" s="8">
        <v>42.233778397607772</v>
      </c>
      <c r="J198" s="8">
        <v>31.954121656356559</v>
      </c>
      <c r="K198" s="8">
        <v>18.921974922687738</v>
      </c>
      <c r="L198" s="8">
        <v>0.64782270940344489</v>
      </c>
      <c r="M198" s="8">
        <v>60.559532404922152</v>
      </c>
      <c r="N198" s="8">
        <v>45.984301850296887</v>
      </c>
      <c r="O198" s="8">
        <v>287.44499999999999</v>
      </c>
      <c r="P198" s="8">
        <v>283.62299999999999</v>
      </c>
      <c r="Q198" s="8">
        <v>92.812399999999997</v>
      </c>
      <c r="R198" s="8">
        <v>-0.30696200000000001</v>
      </c>
      <c r="S198" s="8">
        <v>-4.85195E-2</v>
      </c>
      <c r="T198" s="7">
        <f>C198-D198</f>
        <v>26.451872627379984</v>
      </c>
      <c r="U198" s="8">
        <f>D198/C198</f>
        <v>0.57199625288908151</v>
      </c>
      <c r="V198" s="8">
        <v>24.251817310185519</v>
      </c>
      <c r="W198" s="8">
        <v>11.642135485306461</v>
      </c>
      <c r="X198" s="8">
        <v>0.52754542285215777</v>
      </c>
      <c r="Y198" s="8">
        <v>70.978742731481788</v>
      </c>
      <c r="Z198" s="8">
        <v>40.017333339791548</v>
      </c>
      <c r="AA198" s="7">
        <v>28.102969483271039</v>
      </c>
      <c r="AB198" s="7">
        <v>15.2820552039971</v>
      </c>
      <c r="AC198" s="7">
        <v>0.58768406612780133</v>
      </c>
      <c r="AD198" s="7">
        <v>65.76913756820197</v>
      </c>
      <c r="AE198" s="7">
        <v>43.000817595044218</v>
      </c>
      <c r="AF198" s="8">
        <v>32.121189294909883</v>
      </c>
      <c r="AG198" s="8">
        <v>18.91409007223379</v>
      </c>
      <c r="AH198" s="8">
        <v>0.64485130934581958</v>
      </c>
      <c r="AI198" s="8">
        <v>63.183204320211033</v>
      </c>
      <c r="AJ198" s="8">
        <v>45.815046742843442</v>
      </c>
      <c r="AK198" s="8">
        <v>31.927424150825519</v>
      </c>
      <c r="AL198" s="8">
        <v>18.923234926363069</v>
      </c>
      <c r="AM198" s="8">
        <v>0.64829754085590507</v>
      </c>
      <c r="AN198" s="8">
        <v>60.14026811127075</v>
      </c>
      <c r="AO198" s="8">
        <v>46.011348914626787</v>
      </c>
      <c r="AP198" s="8">
        <v>31.270978536301289</v>
      </c>
      <c r="AQ198" s="8">
        <v>18.71838655622858</v>
      </c>
      <c r="AR198" s="8">
        <v>0.60786879548416139</v>
      </c>
      <c r="AS198" s="8">
        <v>56.711391754501392</v>
      </c>
      <c r="AT198" s="8">
        <v>43.074747818982061</v>
      </c>
      <c r="AU198" s="8">
        <v>27.939084081259811</v>
      </c>
      <c r="AV198" s="8">
        <v>16.65776139497196</v>
      </c>
      <c r="AW198" s="8">
        <v>0.60414059395486108</v>
      </c>
      <c r="AX198" s="8">
        <v>61.359632419734893</v>
      </c>
      <c r="AY198" s="8">
        <v>41.90209637346382</v>
      </c>
      <c r="AZ198" s="8">
        <v>36.528475632450061</v>
      </c>
      <c r="BA198" s="8">
        <v>22.691969710459819</v>
      </c>
      <c r="BB198" s="8">
        <v>0.7814871667965001</v>
      </c>
      <c r="BC198" s="8">
        <v>60.581774937081462</v>
      </c>
      <c r="BD198" s="8">
        <v>53.961482891343429</v>
      </c>
      <c r="BE198" s="8">
        <v>34.891991213570357</v>
      </c>
      <c r="BF198" s="8">
        <v>27.3275621076486</v>
      </c>
      <c r="BG198" s="8">
        <v>0.6291750851318787</v>
      </c>
      <c r="BH198" s="8">
        <v>58.95688697767747</v>
      </c>
      <c r="BI198" s="8">
        <v>64.606041297122388</v>
      </c>
    </row>
    <row r="199" spans="1:61" x14ac:dyDescent="0.15">
      <c r="A199" s="7">
        <v>2022</v>
      </c>
      <c r="B199" s="7">
        <v>3</v>
      </c>
      <c r="C199" s="7">
        <v>8.1450701837198561E-2</v>
      </c>
      <c r="D199" s="7">
        <v>4.6542996750952796E-2</v>
      </c>
      <c r="E199" s="8">
        <v>18.430828870989821</v>
      </c>
      <c r="F199" s="8">
        <v>17.60274870721825</v>
      </c>
      <c r="G199" s="8">
        <v>0.56617067464063731</v>
      </c>
      <c r="H199" s="8">
        <v>52.468147658329571</v>
      </c>
      <c r="I199" s="8">
        <v>27.723448534333151</v>
      </c>
      <c r="J199" s="8">
        <v>18.921837683945299</v>
      </c>
      <c r="K199" s="8">
        <v>23.961394758504159</v>
      </c>
      <c r="L199" s="8">
        <v>0.60056055206542824</v>
      </c>
      <c r="M199" s="8">
        <v>53.727408128010786</v>
      </c>
      <c r="N199" s="8">
        <v>33.473244234405428</v>
      </c>
      <c r="O199" s="8">
        <v>296.08600000000001</v>
      </c>
      <c r="P199" s="8">
        <v>291.84699999999998</v>
      </c>
      <c r="Q199" s="8">
        <v>100.54600000000001</v>
      </c>
      <c r="R199" s="8">
        <v>-1.22157</v>
      </c>
      <c r="S199" s="8">
        <v>-0.37380999999999998</v>
      </c>
      <c r="T199" s="7">
        <f>C199-D199</f>
        <v>3.4907705086245765E-2</v>
      </c>
      <c r="U199" s="8">
        <f>D199/C199</f>
        <v>0.57142536161298729</v>
      </c>
      <c r="V199" s="8">
        <v>18.683054101502044</v>
      </c>
      <c r="W199" s="8">
        <v>17.652306015947243</v>
      </c>
      <c r="X199" s="8">
        <v>0.60421007752426981</v>
      </c>
      <c r="Y199" s="8">
        <v>54.718887308677829</v>
      </c>
      <c r="Z199" s="8">
        <v>28.332401151915214</v>
      </c>
      <c r="AA199" s="7">
        <v>18.802445892723672</v>
      </c>
      <c r="AB199" s="7">
        <v>20.806850387225701</v>
      </c>
      <c r="AC199" s="7">
        <v>0.60238531479484902</v>
      </c>
      <c r="AD199" s="7">
        <v>54.223147718344308</v>
      </c>
      <c r="AE199" s="7">
        <v>30.902822693160321</v>
      </c>
      <c r="AF199" s="8">
        <v>18.755249936283239</v>
      </c>
      <c r="AG199" s="8">
        <v>22.199120509104102</v>
      </c>
      <c r="AH199" s="8">
        <v>0.58972162428528796</v>
      </c>
      <c r="AI199" s="8">
        <v>53.359253223727578</v>
      </c>
      <c r="AJ199" s="8">
        <v>32.372227885403653</v>
      </c>
      <c r="AK199" s="8">
        <v>18.940182712543809</v>
      </c>
      <c r="AL199" s="8">
        <v>24.155460480367889</v>
      </c>
      <c r="AM199" s="8">
        <v>0.6017541598961037</v>
      </c>
      <c r="AN199" s="8">
        <v>53.767950198736578</v>
      </c>
      <c r="AO199" s="8">
        <v>33.594490704769242</v>
      </c>
      <c r="AP199" s="8">
        <v>19.387044769150389</v>
      </c>
      <c r="AQ199" s="8">
        <v>19.56689052941131</v>
      </c>
      <c r="AR199" s="8">
        <v>0.59655833397290903</v>
      </c>
      <c r="AS199" s="8">
        <v>55.135333835260333</v>
      </c>
      <c r="AT199" s="8">
        <v>29.995603620890279</v>
      </c>
      <c r="AU199" s="8">
        <v>19.970410239113541</v>
      </c>
      <c r="AV199" s="8">
        <v>19.679001832687351</v>
      </c>
      <c r="AW199" s="8">
        <v>0.66304943078356193</v>
      </c>
      <c r="AX199" s="8">
        <v>61.359318868673952</v>
      </c>
      <c r="AY199" s="8">
        <v>32.119890091112701</v>
      </c>
      <c r="AZ199" s="8">
        <v>19.179212845741311</v>
      </c>
      <c r="BA199" s="8">
        <v>24.11200851938791</v>
      </c>
      <c r="BB199" s="8">
        <v>0.6120086262757779</v>
      </c>
      <c r="BC199" s="8">
        <v>55.252139131627906</v>
      </c>
      <c r="BD199" s="8">
        <v>34.329412740829873</v>
      </c>
      <c r="BE199" s="8">
        <v>20.78814112751412</v>
      </c>
      <c r="BF199" s="8">
        <v>19.790039796861951</v>
      </c>
      <c r="BG199" s="8">
        <v>0.70054096500274443</v>
      </c>
      <c r="BH199" s="8">
        <v>59.629445123794817</v>
      </c>
      <c r="BI199" s="8">
        <v>31.882279479130819</v>
      </c>
    </row>
    <row r="200" spans="1:61" x14ac:dyDescent="0.15">
      <c r="A200" s="7">
        <v>2020</v>
      </c>
      <c r="B200" s="7">
        <v>110</v>
      </c>
      <c r="C200" s="7">
        <v>9.359857510642593</v>
      </c>
      <c r="D200" s="7">
        <v>2.6630066219552506</v>
      </c>
      <c r="E200" s="8">
        <v>27.264974175810909</v>
      </c>
      <c r="F200" s="8">
        <v>13.267510679260999</v>
      </c>
      <c r="G200" s="8">
        <v>0.56656110391552472</v>
      </c>
      <c r="H200" s="8">
        <v>68.72832044364911</v>
      </c>
      <c r="I200" s="8">
        <v>42.022848207163051</v>
      </c>
      <c r="J200" s="8">
        <v>37.33350878459985</v>
      </c>
      <c r="K200" s="8">
        <v>19.29112287520406</v>
      </c>
      <c r="L200" s="8">
        <v>0.71537691235667955</v>
      </c>
      <c r="M200" s="8">
        <v>67.103243767853002</v>
      </c>
      <c r="N200" s="8">
        <v>50.83892669734837</v>
      </c>
      <c r="O200" s="8">
        <v>290.435</v>
      </c>
      <c r="P200" s="8">
        <v>286.44900000000001</v>
      </c>
      <c r="Q200" s="8">
        <v>100.684</v>
      </c>
      <c r="R200" s="8">
        <v>-0.32719599999999999</v>
      </c>
      <c r="S200" s="8">
        <v>-0.68252000000000002</v>
      </c>
      <c r="T200" s="7">
        <f>C200-D200</f>
        <v>6.6968508886873419</v>
      </c>
      <c r="U200" s="8">
        <f>D200/C200</f>
        <v>0.28451358569586005</v>
      </c>
      <c r="V200" s="8">
        <v>36.159930586021396</v>
      </c>
      <c r="W200" s="8">
        <v>18.390119814127878</v>
      </c>
      <c r="X200" s="8">
        <v>0.69577933024068384</v>
      </c>
      <c r="Y200" s="8">
        <v>66.36557846860785</v>
      </c>
      <c r="Z200" s="8">
        <v>52.212558557578774</v>
      </c>
      <c r="AA200" s="7">
        <v>36.746719685310623</v>
      </c>
      <c r="AB200" s="7">
        <v>18.840621344665969</v>
      </c>
      <c r="AC200" s="7">
        <v>0.70557812129868169</v>
      </c>
      <c r="AD200" s="7">
        <v>66.734411118230426</v>
      </c>
      <c r="AE200" s="7">
        <v>51.525742627463572</v>
      </c>
      <c r="AF200" s="8">
        <v>38.617647682278232</v>
      </c>
      <c r="AG200" s="8">
        <v>19.668205096034811</v>
      </c>
      <c r="AH200" s="8">
        <v>0.70769034986908519</v>
      </c>
      <c r="AI200" s="8">
        <v>67.279774729407961</v>
      </c>
      <c r="AJ200" s="8">
        <v>52.136026504549733</v>
      </c>
      <c r="AK200" s="8">
        <v>37.078623357766567</v>
      </c>
      <c r="AL200" s="8">
        <v>19.216276795094299</v>
      </c>
      <c r="AM200" s="8">
        <v>0.7169025983740358</v>
      </c>
      <c r="AN200" s="8">
        <v>67.068204591353805</v>
      </c>
      <c r="AO200" s="8">
        <v>50.581468692920957</v>
      </c>
      <c r="AP200" s="8">
        <v>36.576761354542683</v>
      </c>
      <c r="AQ200" s="8">
        <v>18.900333701625851</v>
      </c>
      <c r="AR200" s="8">
        <v>0.68315651962452439</v>
      </c>
      <c r="AS200" s="8">
        <v>66.808660128905075</v>
      </c>
      <c r="AT200" s="8">
        <v>50.893537628142553</v>
      </c>
      <c r="AU200" s="8">
        <v>32.218191111559229</v>
      </c>
      <c r="AV200" s="8">
        <v>23.817996398820789</v>
      </c>
      <c r="AW200" s="8">
        <v>0.7566748251078762</v>
      </c>
      <c r="AX200" s="8">
        <v>62.776113220221063</v>
      </c>
      <c r="AY200" s="8">
        <v>55.803433283499857</v>
      </c>
      <c r="AZ200" s="8">
        <v>36.844809232122991</v>
      </c>
      <c r="BA200" s="8">
        <v>19.89419247832253</v>
      </c>
      <c r="BB200" s="8">
        <v>0.7557443951745777</v>
      </c>
      <c r="BC200" s="8">
        <v>67.465825123897929</v>
      </c>
      <c r="BD200" s="8">
        <v>51.96037316989382</v>
      </c>
      <c r="BE200" s="8">
        <v>34.615628993839152</v>
      </c>
      <c r="BF200" s="8">
        <v>29.302243407751011</v>
      </c>
      <c r="BG200" s="8">
        <v>0.52158828760553699</v>
      </c>
      <c r="BH200" s="8">
        <v>59.523517348689097</v>
      </c>
      <c r="BI200" s="8">
        <v>66.960414852454619</v>
      </c>
    </row>
    <row r="201" spans="1:61" x14ac:dyDescent="0.15">
      <c r="A201" s="7">
        <v>2021</v>
      </c>
      <c r="B201" s="7">
        <v>26</v>
      </c>
      <c r="C201" s="7">
        <v>66.714180738947235</v>
      </c>
      <c r="D201" s="7">
        <v>54.085869940422057</v>
      </c>
      <c r="E201" s="8">
        <v>29.825438571372569</v>
      </c>
      <c r="F201" s="8">
        <v>23.56541511387535</v>
      </c>
      <c r="G201" s="8">
        <v>0.56736999857960468</v>
      </c>
      <c r="H201" s="8">
        <v>69.559195396360138</v>
      </c>
      <c r="I201" s="8">
        <v>47.167074111484091</v>
      </c>
      <c r="J201" s="8">
        <v>31.00330895696553</v>
      </c>
      <c r="K201" s="8">
        <v>22.377593113689901</v>
      </c>
      <c r="L201" s="8">
        <v>0.66523323605900786</v>
      </c>
      <c r="M201" s="8">
        <v>80.347084232481322</v>
      </c>
      <c r="N201" s="8">
        <v>52.038964110101581</v>
      </c>
      <c r="O201" s="8">
        <v>286.55599999999998</v>
      </c>
      <c r="P201" s="8">
        <v>281.084</v>
      </c>
      <c r="Q201" s="8">
        <v>101.221</v>
      </c>
      <c r="R201" s="8">
        <v>0.203931</v>
      </c>
      <c r="S201" s="8">
        <v>-2.41642E-2</v>
      </c>
      <c r="T201" s="7">
        <f>C201-D201</f>
        <v>12.628310798525177</v>
      </c>
      <c r="U201" s="8">
        <f>D201/C201</f>
        <v>0.81071024692726434</v>
      </c>
      <c r="V201" s="8">
        <v>31.767691187722033</v>
      </c>
      <c r="W201" s="8">
        <v>23.20811758246084</v>
      </c>
      <c r="X201" s="8">
        <v>0.61147894094289335</v>
      </c>
      <c r="Y201" s="8">
        <v>70.12527348814659</v>
      </c>
      <c r="Z201" s="8">
        <v>54.041033914013745</v>
      </c>
      <c r="AA201" s="7">
        <v>31.385500072343781</v>
      </c>
      <c r="AB201" s="7">
        <v>22.792855348075371</v>
      </c>
      <c r="AC201" s="7">
        <v>0.6383560885009506</v>
      </c>
      <c r="AD201" s="7">
        <v>75.236178860313956</v>
      </c>
      <c r="AE201" s="7">
        <v>53.039999012057663</v>
      </c>
      <c r="AF201" s="8">
        <v>29.379703518772001</v>
      </c>
      <c r="AG201" s="8">
        <v>21.42254838625125</v>
      </c>
      <c r="AH201" s="8">
        <v>0.65535238901140802</v>
      </c>
      <c r="AI201" s="8">
        <v>81.650591762677635</v>
      </c>
      <c r="AJ201" s="8">
        <v>46.707963304680597</v>
      </c>
      <c r="AK201" s="8">
        <v>31.172695380802669</v>
      </c>
      <c r="AL201" s="8">
        <v>22.477230382191131</v>
      </c>
      <c r="AM201" s="8">
        <v>0.66626407847090374</v>
      </c>
      <c r="AN201" s="8">
        <v>80.211092769413554</v>
      </c>
      <c r="AO201" s="8">
        <v>52.595133201840937</v>
      </c>
      <c r="AP201" s="8">
        <v>31.263599995518611</v>
      </c>
      <c r="AQ201" s="8">
        <v>22.080312050952099</v>
      </c>
      <c r="AR201" s="8">
        <v>0.62322802942204447</v>
      </c>
      <c r="AS201" s="8">
        <v>75.372688478829303</v>
      </c>
      <c r="AT201" s="8">
        <v>53.177412176306142</v>
      </c>
      <c r="AU201" s="8">
        <v>31.639106976763859</v>
      </c>
      <c r="AV201" s="8">
        <v>21.931377592744781</v>
      </c>
      <c r="AW201" s="8">
        <v>0.63486547515638558</v>
      </c>
      <c r="AX201" s="8">
        <v>74.296402315946963</v>
      </c>
      <c r="AY201" s="8">
        <v>54.904803792608298</v>
      </c>
      <c r="AZ201" s="8">
        <v>32.46189382158628</v>
      </c>
      <c r="BA201" s="8">
        <v>22.99833864384518</v>
      </c>
      <c r="BB201" s="8">
        <v>0.68527364158727855</v>
      </c>
      <c r="BC201" s="8">
        <v>80.333726237160107</v>
      </c>
      <c r="BD201" s="8">
        <v>56.345474700494883</v>
      </c>
      <c r="BE201" s="8">
        <v>37.106938967537253</v>
      </c>
      <c r="BF201" s="8">
        <v>29.623144194315529</v>
      </c>
      <c r="BG201" s="8">
        <v>0.74596914076600851</v>
      </c>
      <c r="BH201" s="8">
        <v>71.033622946246226</v>
      </c>
      <c r="BI201" s="8">
        <v>65.739117637962423</v>
      </c>
    </row>
    <row r="202" spans="1:61" x14ac:dyDescent="0.15">
      <c r="A202" s="7">
        <v>2021</v>
      </c>
      <c r="B202" s="7">
        <v>120</v>
      </c>
      <c r="C202" s="7">
        <v>34.340213341167406</v>
      </c>
      <c r="D202" s="7">
        <v>24.529598209151903</v>
      </c>
      <c r="E202" s="8">
        <v>30.03804464125853</v>
      </c>
      <c r="F202" s="8">
        <v>17.813045264032791</v>
      </c>
      <c r="G202" s="8">
        <v>0.56797138539913838</v>
      </c>
      <c r="H202" s="8">
        <v>71.737657823369332</v>
      </c>
      <c r="I202" s="8">
        <v>42.182621481917138</v>
      </c>
      <c r="J202" s="8">
        <v>33.485981646422239</v>
      </c>
      <c r="K202" s="8">
        <v>19.144315855898419</v>
      </c>
      <c r="L202" s="8">
        <v>0.55666676052722053</v>
      </c>
      <c r="M202" s="8">
        <v>70.263132268004668</v>
      </c>
      <c r="N202" s="8">
        <v>45.924760730675587</v>
      </c>
      <c r="O202" s="8">
        <v>290.52199999999999</v>
      </c>
      <c r="P202" s="8">
        <v>285.50200000000001</v>
      </c>
      <c r="Q202" s="8">
        <v>100.39</v>
      </c>
      <c r="R202" s="8">
        <v>-0.44376300000000002</v>
      </c>
      <c r="S202" s="8">
        <v>-0.73272000000000004</v>
      </c>
      <c r="T202" s="7">
        <f>C202-D202</f>
        <v>9.8106151320155028</v>
      </c>
      <c r="U202" s="8">
        <f>D202/C202</f>
        <v>0.7143111769706324</v>
      </c>
      <c r="V202" s="8">
        <v>29.922225313986324</v>
      </c>
      <c r="W202" s="8">
        <v>17.994261645110917</v>
      </c>
      <c r="X202" s="8">
        <v>0.58491797902334908</v>
      </c>
      <c r="Y202" s="8">
        <v>69.009484136567337</v>
      </c>
      <c r="Z202" s="8">
        <v>41.221994015174829</v>
      </c>
      <c r="AA202" s="7">
        <v>31.704103480204282</v>
      </c>
      <c r="AB202" s="7">
        <v>18.569288750504668</v>
      </c>
      <c r="AC202" s="7">
        <v>0.5707923697752848</v>
      </c>
      <c r="AD202" s="7">
        <v>69.636308202286003</v>
      </c>
      <c r="AE202" s="7">
        <v>43.573377372925208</v>
      </c>
      <c r="AF202" s="8">
        <v>36.092754857674237</v>
      </c>
      <c r="AG202" s="8">
        <v>20.354203265983859</v>
      </c>
      <c r="AH202" s="8">
        <v>0.57058669621511249</v>
      </c>
      <c r="AI202" s="8">
        <v>68.773751804403759</v>
      </c>
      <c r="AJ202" s="8">
        <v>47.423976025110683</v>
      </c>
      <c r="AK202" s="8">
        <v>33.081036488579073</v>
      </c>
      <c r="AL202" s="8">
        <v>18.956367765080731</v>
      </c>
      <c r="AM202" s="8">
        <v>0.55450438961978255</v>
      </c>
      <c r="AN202" s="8">
        <v>70.494497775490345</v>
      </c>
      <c r="AO202" s="8">
        <v>45.691867446585753</v>
      </c>
      <c r="AP202" s="8">
        <v>31.353178478738531</v>
      </c>
      <c r="AQ202" s="8">
        <v>18.432439894348072</v>
      </c>
      <c r="AR202" s="8">
        <v>0.56105517132962379</v>
      </c>
      <c r="AS202" s="8">
        <v>69.252613529059886</v>
      </c>
      <c r="AT202" s="8">
        <v>42.792059751445159</v>
      </c>
      <c r="AU202" s="8">
        <v>28.33568930973497</v>
      </c>
      <c r="AV202" s="8">
        <v>17.320778916128319</v>
      </c>
      <c r="AW202" s="8">
        <v>0.58347602732751302</v>
      </c>
      <c r="AX202" s="8">
        <v>71.658338321679253</v>
      </c>
      <c r="AY202" s="8">
        <v>36.990224738373037</v>
      </c>
      <c r="AZ202" s="8">
        <v>33.855507040029167</v>
      </c>
      <c r="BA202" s="8">
        <v>20.301548039291109</v>
      </c>
      <c r="BB202" s="8">
        <v>0.55396183332123361</v>
      </c>
      <c r="BC202" s="8">
        <v>70.95510037552792</v>
      </c>
      <c r="BD202" s="8">
        <v>47.823022181926248</v>
      </c>
      <c r="BE202" s="8">
        <v>35.133925000727871</v>
      </c>
      <c r="BF202" s="8">
        <v>25.53822622736044</v>
      </c>
      <c r="BG202" s="8">
        <v>0.63991883673047334</v>
      </c>
      <c r="BH202" s="8">
        <v>63.615299400430537</v>
      </c>
      <c r="BI202" s="8">
        <v>64.266826155851234</v>
      </c>
    </row>
    <row r="203" spans="1:61" x14ac:dyDescent="0.15">
      <c r="A203" s="7">
        <v>2023</v>
      </c>
      <c r="B203" s="7">
        <v>61</v>
      </c>
      <c r="C203" s="9">
        <v>32.447872576274101</v>
      </c>
      <c r="D203" s="7">
        <v>12.258850181019058</v>
      </c>
      <c r="E203" s="8">
        <v>31.234380144170249</v>
      </c>
      <c r="F203" s="8">
        <v>16.738920691543349</v>
      </c>
      <c r="G203" s="8">
        <v>0.56870093827112989</v>
      </c>
      <c r="H203" s="8">
        <v>77.371765265685085</v>
      </c>
      <c r="I203" s="8">
        <v>59.879589591006692</v>
      </c>
      <c r="J203" s="8">
        <v>34.874581491800647</v>
      </c>
      <c r="K203" s="8">
        <v>18.051548346707811</v>
      </c>
      <c r="L203" s="8">
        <v>0.6115383275282037</v>
      </c>
      <c r="M203" s="8">
        <v>79.617626375214385</v>
      </c>
      <c r="N203" s="8">
        <v>73.134141367734173</v>
      </c>
      <c r="O203" s="7">
        <v>288.89800000000002</v>
      </c>
      <c r="P203" s="7">
        <v>282.50299999999999</v>
      </c>
      <c r="Q203" s="7">
        <v>97.575199999999995</v>
      </c>
      <c r="R203" s="7">
        <v>-0.21266399999999999</v>
      </c>
      <c r="S203" s="7">
        <v>-0.24968199999999999</v>
      </c>
      <c r="T203" s="7">
        <f>C203-D203</f>
        <v>20.189022395255044</v>
      </c>
      <c r="U203" s="8">
        <f>D203/C203</f>
        <v>0.37780135360808631</v>
      </c>
      <c r="V203" s="8">
        <v>30.212087083530839</v>
      </c>
      <c r="W203" s="8">
        <v>15.981500741391066</v>
      </c>
      <c r="X203" s="8">
        <v>0.58120200856737314</v>
      </c>
      <c r="Y203" s="8">
        <v>79.000243751522802</v>
      </c>
      <c r="Z203" s="8">
        <v>58.978268522182503</v>
      </c>
      <c r="AA203" s="7">
        <v>32.543334287665743</v>
      </c>
      <c r="AB203" s="7">
        <v>17.016524544049439</v>
      </c>
      <c r="AC203" s="7">
        <v>0.59637016804778842</v>
      </c>
      <c r="AD203" s="7">
        <v>79.308935063368594</v>
      </c>
      <c r="AE203" s="7">
        <v>66.056204944958338</v>
      </c>
      <c r="AF203" s="8">
        <v>36.299861053756217</v>
      </c>
      <c r="AG203" s="8">
        <v>17.694120781075661</v>
      </c>
      <c r="AH203" s="8">
        <v>0.61342736402449971</v>
      </c>
      <c r="AI203" s="8">
        <v>79.999600795201516</v>
      </c>
      <c r="AJ203" s="8">
        <v>72.338412742864634</v>
      </c>
      <c r="AK203" s="8">
        <v>34.689357679501633</v>
      </c>
      <c r="AL203" s="8">
        <v>18.097998248954571</v>
      </c>
      <c r="AM203" s="8">
        <v>0.61129283566067438</v>
      </c>
      <c r="AN203" s="8">
        <v>79.567986458836415</v>
      </c>
      <c r="AO203" s="8">
        <v>73.237551178263971</v>
      </c>
      <c r="AP203" s="8">
        <v>33.039971952975797</v>
      </c>
      <c r="AQ203" s="8">
        <v>16.83352276302811</v>
      </c>
      <c r="AR203" s="8">
        <v>0.60448630396535152</v>
      </c>
      <c r="AS203" s="8">
        <v>80.896728858889617</v>
      </c>
      <c r="AT203" s="8">
        <v>68.763776471343007</v>
      </c>
      <c r="AU203" s="8">
        <v>33.168782308786326</v>
      </c>
      <c r="AV203" s="8">
        <v>16.969539312182938</v>
      </c>
      <c r="AW203" s="8">
        <v>0.54821482750217398</v>
      </c>
      <c r="AX203" s="8">
        <v>77.102901921143896</v>
      </c>
      <c r="AY203" s="8">
        <v>67.220299069807112</v>
      </c>
      <c r="AZ203" s="8">
        <v>34.049786745846838</v>
      </c>
      <c r="BA203" s="8">
        <v>17.856322254574309</v>
      </c>
      <c r="BB203" s="8">
        <v>0.60020369994474831</v>
      </c>
      <c r="BC203" s="8">
        <v>78.512926408471486</v>
      </c>
      <c r="BD203" s="8">
        <v>72.250556693763883</v>
      </c>
      <c r="BE203" s="8">
        <v>31.455399359353748</v>
      </c>
      <c r="BF203" s="8">
        <v>26.755371568892109</v>
      </c>
      <c r="BG203" s="8">
        <v>0.73449593051705186</v>
      </c>
      <c r="BH203" s="8">
        <v>66.040295499563413</v>
      </c>
      <c r="BI203" s="8">
        <v>61.785874101473063</v>
      </c>
    </row>
    <row r="204" spans="1:61" x14ac:dyDescent="0.15">
      <c r="A204" s="7">
        <v>2022</v>
      </c>
      <c r="B204" s="7">
        <v>6</v>
      </c>
      <c r="C204" s="7">
        <v>146.38351839820379</v>
      </c>
      <c r="D204" s="7">
        <v>117.16558336325818</v>
      </c>
      <c r="E204" s="8">
        <v>20.725547904986399</v>
      </c>
      <c r="F204" s="8">
        <v>24.71717389902723</v>
      </c>
      <c r="G204" s="8">
        <v>0.56880818457018678</v>
      </c>
      <c r="H204" s="8">
        <v>68.69200721535951</v>
      </c>
      <c r="I204" s="8">
        <v>29.33433400625724</v>
      </c>
      <c r="J204" s="8">
        <v>23.05263181516473</v>
      </c>
      <c r="K204" s="8">
        <v>30.443899636219619</v>
      </c>
      <c r="L204" s="8">
        <v>0.6472912887185025</v>
      </c>
      <c r="M204" s="8">
        <v>68.603822224274666</v>
      </c>
      <c r="N204" s="8">
        <v>35.362741285559103</v>
      </c>
      <c r="O204" s="8">
        <v>290.8</v>
      </c>
      <c r="P204" s="8">
        <v>285.80599999999998</v>
      </c>
      <c r="Q204" s="8">
        <v>101.586</v>
      </c>
      <c r="R204" s="8">
        <v>-0.938087</v>
      </c>
      <c r="S204" s="8">
        <v>-0.40542600000000001</v>
      </c>
      <c r="T204" s="7">
        <f>C204-D204</f>
        <v>29.217935034945612</v>
      </c>
      <c r="U204" s="8">
        <f>D204/C204</f>
        <v>0.80040147036591425</v>
      </c>
      <c r="V204" s="8">
        <v>26.94241801993649</v>
      </c>
      <c r="W204" s="8">
        <v>26.392320327931863</v>
      </c>
      <c r="X204" s="8">
        <v>0.84855940384845696</v>
      </c>
      <c r="Y204" s="8">
        <v>69.228705311093051</v>
      </c>
      <c r="Z204" s="8">
        <v>41.740121831474035</v>
      </c>
      <c r="AA204" s="7">
        <v>24.99752491755061</v>
      </c>
      <c r="AB204" s="7">
        <v>28.418109982075741</v>
      </c>
      <c r="AC204" s="7">
        <v>0.74792534628347973</v>
      </c>
      <c r="AD204" s="7">
        <v>68.916263767683859</v>
      </c>
      <c r="AE204" s="7">
        <v>38.551431558516569</v>
      </c>
      <c r="AF204" s="8">
        <v>22.040957590073269</v>
      </c>
      <c r="AG204" s="8">
        <v>31.70979287773978</v>
      </c>
      <c r="AH204" s="8">
        <v>0.60910564105589771</v>
      </c>
      <c r="AI204" s="8">
        <v>69.041609843473921</v>
      </c>
      <c r="AJ204" s="8">
        <v>32.805502620848259</v>
      </c>
      <c r="AK204" s="8">
        <v>23.112673467693011</v>
      </c>
      <c r="AL204" s="8">
        <v>30.368770389807931</v>
      </c>
      <c r="AM204" s="8">
        <v>0.64955756113274521</v>
      </c>
      <c r="AN204" s="8">
        <v>68.57784005386722</v>
      </c>
      <c r="AO204" s="8">
        <v>35.514510334854158</v>
      </c>
      <c r="AP204" s="8">
        <v>22.560012776041361</v>
      </c>
      <c r="AQ204" s="8">
        <v>29.624478623504441</v>
      </c>
      <c r="AR204" s="8">
        <v>0.6449798738917929</v>
      </c>
      <c r="AS204" s="8">
        <v>69.4496803866774</v>
      </c>
      <c r="AT204" s="8">
        <v>34.785045320248109</v>
      </c>
      <c r="AU204" s="8">
        <v>27.36579853514127</v>
      </c>
      <c r="AV204" s="8">
        <v>29.62884483236844</v>
      </c>
      <c r="AW204" s="8">
        <v>0.61562738667175021</v>
      </c>
      <c r="AX204" s="8">
        <v>61.303399679779083</v>
      </c>
      <c r="AY204" s="8">
        <v>49.448613177158393</v>
      </c>
      <c r="AZ204" s="8">
        <v>24.353272650904309</v>
      </c>
      <c r="BA204" s="8">
        <v>29.348520672902861</v>
      </c>
      <c r="BB204" s="8">
        <v>0.66632854643257633</v>
      </c>
      <c r="BC204" s="8">
        <v>67.950686298899086</v>
      </c>
      <c r="BD204" s="8">
        <v>38.470485254701821</v>
      </c>
      <c r="BE204" s="8">
        <v>30.812062001039521</v>
      </c>
      <c r="BF204" s="8">
        <v>29.53628435846813</v>
      </c>
      <c r="BG204" s="8">
        <v>0.52635578454669341</v>
      </c>
      <c r="BH204" s="8">
        <v>58.877323364964091</v>
      </c>
      <c r="BI204" s="8">
        <v>51.784108289016977</v>
      </c>
    </row>
    <row r="205" spans="1:61" x14ac:dyDescent="0.15">
      <c r="A205" s="7">
        <v>2023</v>
      </c>
      <c r="B205" s="7">
        <v>29</v>
      </c>
      <c r="C205" s="9">
        <v>33.263191355517606</v>
      </c>
      <c r="D205" s="7">
        <v>7.356610564014801</v>
      </c>
      <c r="E205" s="8">
        <v>32.83862860389744</v>
      </c>
      <c r="F205" s="8">
        <v>24.093795013022412</v>
      </c>
      <c r="G205" s="8">
        <v>0.56935421097508765</v>
      </c>
      <c r="H205" s="8">
        <v>69.753424794397887</v>
      </c>
      <c r="I205" s="8">
        <v>54.131787294072502</v>
      </c>
      <c r="J205" s="8">
        <v>29.342741973870449</v>
      </c>
      <c r="K205" s="8">
        <v>25.600585233496371</v>
      </c>
      <c r="L205" s="8">
        <v>0.65795099022237902</v>
      </c>
      <c r="M205" s="8">
        <v>77.632297311393089</v>
      </c>
      <c r="N205" s="8">
        <v>51.733496188974897</v>
      </c>
      <c r="O205" s="7">
        <v>284.83199999999999</v>
      </c>
      <c r="P205" s="7">
        <v>279.20299999999997</v>
      </c>
      <c r="Q205" s="7">
        <v>100.97499999999999</v>
      </c>
      <c r="R205" s="7">
        <v>0.50543499999999997</v>
      </c>
      <c r="S205" s="7">
        <v>-0.51946899999999996</v>
      </c>
      <c r="T205" s="7">
        <f>C205-D205</f>
        <v>25.906580791502805</v>
      </c>
      <c r="U205" s="8">
        <f>D205/C205</f>
        <v>0.22116370270631014</v>
      </c>
      <c r="V205" s="8">
        <v>29.233338833418667</v>
      </c>
      <c r="W205" s="8">
        <v>21.42975786782365</v>
      </c>
      <c r="X205" s="8">
        <v>0.49652953508239639</v>
      </c>
      <c r="Y205" s="8">
        <v>69.614120233513106</v>
      </c>
      <c r="Z205" s="8">
        <v>52.240891164100077</v>
      </c>
      <c r="AA205" s="7">
        <v>29.288040403644558</v>
      </c>
      <c r="AB205" s="7">
        <v>23.515171550660011</v>
      </c>
      <c r="AC205" s="7">
        <v>0.5772402626523877</v>
      </c>
      <c r="AD205" s="7">
        <v>73.623208772453097</v>
      </c>
      <c r="AE205" s="7">
        <v>51.987193676537487</v>
      </c>
      <c r="AF205" s="8">
        <v>33.062164075690553</v>
      </c>
      <c r="AG205" s="8">
        <v>28.151084613765299</v>
      </c>
      <c r="AH205" s="8">
        <v>0.7506086756553334</v>
      </c>
      <c r="AI205" s="8">
        <v>79.146231677780719</v>
      </c>
      <c r="AJ205" s="8">
        <v>54.399717092500893</v>
      </c>
      <c r="AK205" s="8">
        <v>29.059876467955441</v>
      </c>
      <c r="AL205" s="8">
        <v>25.406617386399191</v>
      </c>
      <c r="AM205" s="8">
        <v>0.65090428717297755</v>
      </c>
      <c r="AN205" s="8">
        <v>77.517161196494811</v>
      </c>
      <c r="AO205" s="8">
        <v>51.530727612537177</v>
      </c>
      <c r="AP205" s="8">
        <v>26.35950128658293</v>
      </c>
      <c r="AQ205" s="8">
        <v>22.571957926517129</v>
      </c>
      <c r="AR205" s="8">
        <v>0.53834722859448136</v>
      </c>
      <c r="AS205" s="8">
        <v>75.077690362339396</v>
      </c>
      <c r="AT205" s="8">
        <v>47.927291999622753</v>
      </c>
      <c r="AU205" s="8">
        <v>26.161582042728121</v>
      </c>
      <c r="AV205" s="8">
        <v>20.97779119686227</v>
      </c>
      <c r="AW205" s="8">
        <v>0.51408291206338741</v>
      </c>
      <c r="AX205" s="8">
        <v>71.236096578787283</v>
      </c>
      <c r="AY205" s="8">
        <v>48.904501121672737</v>
      </c>
      <c r="AZ205" s="8">
        <v>29.31141068226701</v>
      </c>
      <c r="BA205" s="8">
        <v>25.517252012692168</v>
      </c>
      <c r="BB205" s="8">
        <v>0.64797711163031579</v>
      </c>
      <c r="BC205" s="8">
        <v>76.287277387950482</v>
      </c>
      <c r="BD205" s="8">
        <v>52.679621123118018</v>
      </c>
      <c r="BE205" s="8">
        <v>25.191027029090499</v>
      </c>
      <c r="BF205" s="8">
        <v>24.9789247862137</v>
      </c>
      <c r="BG205" s="8">
        <v>0.5876477028576802</v>
      </c>
      <c r="BH205" s="8">
        <v>66.894576099716858</v>
      </c>
      <c r="BI205" s="8">
        <v>53.293428951649076</v>
      </c>
    </row>
    <row r="206" spans="1:61" x14ac:dyDescent="0.15">
      <c r="A206" s="7">
        <v>2023</v>
      </c>
      <c r="B206" s="7">
        <v>99</v>
      </c>
      <c r="C206" s="9">
        <v>54.301837585970198</v>
      </c>
      <c r="D206" s="7">
        <v>8.9943505629332101</v>
      </c>
      <c r="E206" s="8">
        <v>16.52718394873639</v>
      </c>
      <c r="F206" s="8">
        <v>12.56172455870022</v>
      </c>
      <c r="G206" s="8">
        <v>0.5696957880253436</v>
      </c>
      <c r="H206" s="8">
        <v>56.73968575658882</v>
      </c>
      <c r="I206" s="8">
        <v>27.891776065856831</v>
      </c>
      <c r="J206" s="8">
        <v>16.82889110925376</v>
      </c>
      <c r="K206" s="8">
        <v>14.17892042251577</v>
      </c>
      <c r="L206" s="8">
        <v>0.49872709997166131</v>
      </c>
      <c r="M206" s="8">
        <v>55.891809582299132</v>
      </c>
      <c r="N206" s="8">
        <v>28.5252356961815</v>
      </c>
      <c r="O206" s="7">
        <v>293.44099999999997</v>
      </c>
      <c r="P206" s="7">
        <v>289.12700000000001</v>
      </c>
      <c r="Q206" s="7">
        <v>95.739699999999999</v>
      </c>
      <c r="R206" s="7">
        <v>-0.133079</v>
      </c>
      <c r="S206" s="7">
        <v>-0.18812100000000001</v>
      </c>
      <c r="T206" s="7">
        <f>C206-D206</f>
        <v>45.307487023036984</v>
      </c>
      <c r="U206" s="8">
        <f>D206/C206</f>
        <v>0.16563620980033009</v>
      </c>
      <c r="V206" s="8">
        <v>16.355675641821357</v>
      </c>
      <c r="W206" s="8">
        <v>11.232232242905809</v>
      </c>
      <c r="X206" s="8">
        <v>0.62094577054331412</v>
      </c>
      <c r="Y206" s="8">
        <v>57.987760141202273</v>
      </c>
      <c r="Z206" s="8">
        <v>27.402814424624577</v>
      </c>
      <c r="AA206" s="7">
        <v>16.592283375537558</v>
      </c>
      <c r="AB206" s="7">
        <v>12.705576332710789</v>
      </c>
      <c r="AC206" s="7">
        <v>0.55983643525748772</v>
      </c>
      <c r="AD206" s="7">
        <v>56.939784861750702</v>
      </c>
      <c r="AE206" s="7">
        <v>27.964025060403038</v>
      </c>
      <c r="AF206" s="8">
        <v>16.435912670306941</v>
      </c>
      <c r="AG206" s="8">
        <v>13.8578223100439</v>
      </c>
      <c r="AH206" s="8">
        <v>0.52044252463983487</v>
      </c>
      <c r="AI206" s="8">
        <v>53.700282345345123</v>
      </c>
      <c r="AJ206" s="8">
        <v>28.33511626292437</v>
      </c>
      <c r="AK206" s="8">
        <v>16.912670779744811</v>
      </c>
      <c r="AL206" s="8">
        <v>14.24737581699056</v>
      </c>
      <c r="AM206" s="8">
        <v>0.49409755559220742</v>
      </c>
      <c r="AN206" s="8">
        <v>56.359024603754833</v>
      </c>
      <c r="AO206" s="8">
        <v>28.56576754702531</v>
      </c>
      <c r="AP206" s="8">
        <v>17.060716213294871</v>
      </c>
      <c r="AQ206" s="8">
        <v>13.36389718017697</v>
      </c>
      <c r="AR206" s="8">
        <v>0.47803271568547201</v>
      </c>
      <c r="AS206" s="8">
        <v>59.27767826877394</v>
      </c>
      <c r="AT206" s="8">
        <v>28.323372094636891</v>
      </c>
      <c r="AU206" s="8">
        <v>17.774395944533911</v>
      </c>
      <c r="AV206" s="8">
        <v>15.88188213105748</v>
      </c>
      <c r="AW206" s="8">
        <v>0.49482947399439958</v>
      </c>
      <c r="AX206" s="8">
        <v>61.548468746042872</v>
      </c>
      <c r="AY206" s="8">
        <v>30.295999934206868</v>
      </c>
      <c r="AZ206" s="8">
        <v>17.577218083716989</v>
      </c>
      <c r="BA206" s="8">
        <v>17.178700993361009</v>
      </c>
      <c r="BB206" s="8">
        <v>0.48726576466226063</v>
      </c>
      <c r="BC206" s="8">
        <v>54.347098518136143</v>
      </c>
      <c r="BD206" s="8">
        <v>29.738928298931729</v>
      </c>
      <c r="BE206" s="8">
        <v>19.988116339752629</v>
      </c>
      <c r="BF206" s="8">
        <v>22.076451008015059</v>
      </c>
      <c r="BG206" s="8">
        <v>0.49204038112340859</v>
      </c>
      <c r="BH206" s="8">
        <v>57.123717704936418</v>
      </c>
      <c r="BI206" s="8">
        <v>34.740575240732582</v>
      </c>
    </row>
    <row r="207" spans="1:61" x14ac:dyDescent="0.15">
      <c r="A207" s="7">
        <v>2022</v>
      </c>
      <c r="B207" s="7">
        <v>145</v>
      </c>
      <c r="C207" s="7">
        <v>19.616928468836704</v>
      </c>
      <c r="D207" s="7">
        <v>11.565023429679149</v>
      </c>
      <c r="E207" s="8">
        <v>16.483791113974529</v>
      </c>
      <c r="F207" s="8">
        <v>12.837789880546289</v>
      </c>
      <c r="G207" s="8">
        <v>0.56970944419624436</v>
      </c>
      <c r="H207" s="8">
        <v>56.265897069777537</v>
      </c>
      <c r="I207" s="8">
        <v>24.179741603057192</v>
      </c>
      <c r="J207" s="8">
        <v>17.166480586727989</v>
      </c>
      <c r="K207" s="8">
        <v>13.88228990580418</v>
      </c>
      <c r="L207" s="8">
        <v>0.58214558615977519</v>
      </c>
      <c r="M207" s="8">
        <v>61.792499799163707</v>
      </c>
      <c r="N207" s="8">
        <v>27.210519747527659</v>
      </c>
      <c r="O207" s="8">
        <v>294.91300000000001</v>
      </c>
      <c r="P207" s="8">
        <v>290.673</v>
      </c>
      <c r="Q207" s="8">
        <v>98.719899999999996</v>
      </c>
      <c r="R207" s="8">
        <v>-0.53192200000000001</v>
      </c>
      <c r="S207" s="8">
        <v>-0.38763799999999998</v>
      </c>
      <c r="T207" s="7">
        <f>C207-D207</f>
        <v>8.0519050391575551</v>
      </c>
      <c r="U207" s="8">
        <f>D207/C207</f>
        <v>0.58954302902471467</v>
      </c>
      <c r="V207" s="8">
        <v>16.659969758039335</v>
      </c>
      <c r="W207" s="8">
        <v>13.69466732314662</v>
      </c>
      <c r="X207" s="8">
        <v>0.58056504741374193</v>
      </c>
      <c r="Y207" s="8">
        <v>55.074992089300579</v>
      </c>
      <c r="Z207" s="8">
        <v>23.864761930275481</v>
      </c>
      <c r="AA207" s="7">
        <v>16.913225172383662</v>
      </c>
      <c r="AB207" s="7">
        <v>13.7884786144754</v>
      </c>
      <c r="AC207" s="7">
        <v>0.58135531678675856</v>
      </c>
      <c r="AD207" s="7">
        <v>58.433745944232143</v>
      </c>
      <c r="AE207" s="7">
        <v>25.53764083890157</v>
      </c>
      <c r="AF207" s="8">
        <v>18.459228144555141</v>
      </c>
      <c r="AG207" s="8">
        <v>14.54246334247037</v>
      </c>
      <c r="AH207" s="8">
        <v>0.55505500677566744</v>
      </c>
      <c r="AI207" s="8">
        <v>53.750458993596197</v>
      </c>
      <c r="AJ207" s="8">
        <v>27.58050707919417</v>
      </c>
      <c r="AK207" s="8">
        <v>16.96178792464838</v>
      </c>
      <c r="AL207" s="8">
        <v>13.777758547483479</v>
      </c>
      <c r="AM207" s="8">
        <v>0.58643508783226916</v>
      </c>
      <c r="AN207" s="8">
        <v>63.065870405108832</v>
      </c>
      <c r="AO207" s="8">
        <v>27.151936235691949</v>
      </c>
      <c r="AP207" s="8">
        <v>17.923887209249791</v>
      </c>
      <c r="AQ207" s="8">
        <v>14.764492956964659</v>
      </c>
      <c r="AR207" s="8">
        <v>0.58011201409858115</v>
      </c>
      <c r="AS207" s="8">
        <v>58.788393387409208</v>
      </c>
      <c r="AT207" s="8">
        <v>26.65642802881904</v>
      </c>
      <c r="AU207" s="8">
        <v>16.663293930180171</v>
      </c>
      <c r="AV207" s="8">
        <v>13.67671098883927</v>
      </c>
      <c r="AW207" s="8">
        <v>0.57129204357613528</v>
      </c>
      <c r="AX207" s="8">
        <v>69.661408863889235</v>
      </c>
      <c r="AY207" s="8">
        <v>27.718801570956931</v>
      </c>
      <c r="AZ207" s="8">
        <v>15.729635601617661</v>
      </c>
      <c r="BA207" s="8">
        <v>12.20988539188828</v>
      </c>
      <c r="BB207" s="8">
        <v>0.59280084962680313</v>
      </c>
      <c r="BC207" s="8">
        <v>69.48518064900054</v>
      </c>
      <c r="BD207" s="8">
        <v>27.283359264967299</v>
      </c>
      <c r="BE207" s="8">
        <v>17.37851405002862</v>
      </c>
      <c r="BF207" s="8">
        <v>15.453404046025749</v>
      </c>
      <c r="BG207" s="8">
        <v>0.57759630364592174</v>
      </c>
      <c r="BH207" s="8">
        <v>70.125966098443058</v>
      </c>
      <c r="BI207" s="8">
        <v>29.12521201329027</v>
      </c>
    </row>
    <row r="208" spans="1:61" x14ac:dyDescent="0.15">
      <c r="A208" s="7">
        <v>2023</v>
      </c>
      <c r="B208" s="7">
        <v>24</v>
      </c>
      <c r="C208" s="9">
        <v>260.3060490219396</v>
      </c>
      <c r="D208" s="7">
        <v>149.0399896190095</v>
      </c>
      <c r="E208" s="8">
        <v>21.853634592540701</v>
      </c>
      <c r="F208" s="8">
        <v>23.15758940701815</v>
      </c>
      <c r="G208" s="8">
        <v>0.56978017586596608</v>
      </c>
      <c r="H208" s="8">
        <v>63.039329544968048</v>
      </c>
      <c r="I208" s="8">
        <v>39.699738264615199</v>
      </c>
      <c r="J208" s="8">
        <v>20.461651429447588</v>
      </c>
      <c r="K208" s="8">
        <v>23.644630402874849</v>
      </c>
      <c r="L208" s="8">
        <v>0.53386090658523144</v>
      </c>
      <c r="M208" s="8">
        <v>62.422796861708527</v>
      </c>
      <c r="N208" s="8">
        <v>38.199655115481541</v>
      </c>
      <c r="O208" s="7">
        <v>296.70400000000001</v>
      </c>
      <c r="P208" s="7">
        <v>292.08100000000002</v>
      </c>
      <c r="Q208" s="7">
        <v>100.673</v>
      </c>
      <c r="R208" s="7">
        <v>-0.82969700000000002</v>
      </c>
      <c r="S208" s="7">
        <v>-0.298431</v>
      </c>
      <c r="T208" s="7">
        <f>C208-D208</f>
        <v>111.2660594029301</v>
      </c>
      <c r="U208" s="8">
        <f>D208/C208</f>
        <v>0.57255676607979189</v>
      </c>
      <c r="V208" s="8">
        <v>21.50944857419957</v>
      </c>
      <c r="W208" s="8">
        <v>21.889892848280407</v>
      </c>
      <c r="X208" s="8">
        <v>0.56309346703989915</v>
      </c>
      <c r="Y208" s="8">
        <v>61.044996073819128</v>
      </c>
      <c r="Z208" s="8">
        <v>38.421232847349835</v>
      </c>
      <c r="AA208" s="7">
        <v>20.985550001823579</v>
      </c>
      <c r="AB208" s="7">
        <v>22.767261625577628</v>
      </c>
      <c r="AC208" s="7">
        <v>0.5484771868125653</v>
      </c>
      <c r="AD208" s="7">
        <v>61.733896467763827</v>
      </c>
      <c r="AE208" s="7">
        <v>38.310443981415688</v>
      </c>
      <c r="AF208" s="8">
        <v>20.522853128850748</v>
      </c>
      <c r="AG208" s="8">
        <v>24.12324364288628</v>
      </c>
      <c r="AH208" s="8">
        <v>0.53377290703090596</v>
      </c>
      <c r="AI208" s="8">
        <v>63.098558261409067</v>
      </c>
      <c r="AJ208" s="8">
        <v>38.083960293909612</v>
      </c>
      <c r="AK208" s="8">
        <v>20.454085590663489</v>
      </c>
      <c r="AL208" s="8">
        <v>23.58546357173817</v>
      </c>
      <c r="AM208" s="8">
        <v>0.53387178521192968</v>
      </c>
      <c r="AN208" s="8">
        <v>62.339258302215669</v>
      </c>
      <c r="AO208" s="8">
        <v>38.213957469447287</v>
      </c>
      <c r="AP208" s="8">
        <v>21.082653582697581</v>
      </c>
      <c r="AQ208" s="8">
        <v>23.546651084784749</v>
      </c>
      <c r="AR208" s="8">
        <v>0.54045089571057292</v>
      </c>
      <c r="AS208" s="8">
        <v>62.369813984204796</v>
      </c>
      <c r="AT208" s="8">
        <v>38.708797923622498</v>
      </c>
      <c r="AU208" s="8">
        <v>20.1306750304602</v>
      </c>
      <c r="AV208" s="8">
        <v>18.199489142983872</v>
      </c>
      <c r="AW208" s="8">
        <v>0.54784406699709698</v>
      </c>
      <c r="AX208" s="8">
        <v>62.972764167094716</v>
      </c>
      <c r="AY208" s="8">
        <v>37.563571093708987</v>
      </c>
      <c r="AZ208" s="8">
        <v>20.662603093437468</v>
      </c>
      <c r="BA208" s="8">
        <v>22.501393119726259</v>
      </c>
      <c r="BB208" s="8">
        <v>0.53979794632238887</v>
      </c>
      <c r="BC208" s="8">
        <v>61.127803676605922</v>
      </c>
      <c r="BD208" s="8">
        <v>38.347344514409443</v>
      </c>
      <c r="BE208" s="8">
        <v>20.43759274312184</v>
      </c>
      <c r="BF208" s="8">
        <v>17.147630754286059</v>
      </c>
      <c r="BG208" s="8">
        <v>0.55618458914025559</v>
      </c>
      <c r="BH208" s="8">
        <v>58.265283205682977</v>
      </c>
      <c r="BI208" s="8">
        <v>38.218688016238573</v>
      </c>
    </row>
    <row r="209" spans="1:61" x14ac:dyDescent="0.15">
      <c r="A209" s="7">
        <v>2021</v>
      </c>
      <c r="B209" s="7">
        <v>81</v>
      </c>
      <c r="C209" s="7">
        <v>25.013017186485794</v>
      </c>
      <c r="D209" s="7">
        <v>4.8990509586530386</v>
      </c>
      <c r="E209" s="8">
        <v>25.61970057696206</v>
      </c>
      <c r="F209" s="8">
        <v>19.295079483872041</v>
      </c>
      <c r="G209" s="8">
        <v>0.57004189689374407</v>
      </c>
      <c r="H209" s="8">
        <v>75.656014928192434</v>
      </c>
      <c r="I209" s="8">
        <v>56.824389644415263</v>
      </c>
      <c r="J209" s="8">
        <v>38.080992874110542</v>
      </c>
      <c r="K209" s="8">
        <v>30.65349912962499</v>
      </c>
      <c r="L209" s="8">
        <v>0.76339372352274537</v>
      </c>
      <c r="M209" s="8">
        <v>60.534460275717052</v>
      </c>
      <c r="N209" s="8">
        <v>87.55004781247105</v>
      </c>
      <c r="O209" s="8">
        <v>279.887</v>
      </c>
      <c r="P209" s="8">
        <v>267.697</v>
      </c>
      <c r="Q209" s="8">
        <v>86.475399999999993</v>
      </c>
      <c r="R209" s="8">
        <v>1.9175599999999999</v>
      </c>
      <c r="S209" s="8">
        <v>0.32447399999999998</v>
      </c>
      <c r="T209" s="7">
        <f>C209-D209</f>
        <v>20.113966227832755</v>
      </c>
      <c r="U209" s="8">
        <f>D209/C209</f>
        <v>0.19586005647091353</v>
      </c>
      <c r="V209" s="8">
        <v>30.386636820493571</v>
      </c>
      <c r="W209" s="8">
        <v>24.409559402756408</v>
      </c>
      <c r="X209" s="8">
        <v>0.50740430141984028</v>
      </c>
      <c r="Y209" s="8">
        <v>66.925776380444432</v>
      </c>
      <c r="Z209" s="8">
        <v>66.195599627953143</v>
      </c>
      <c r="AA209" s="7">
        <v>34.233814847302057</v>
      </c>
      <c r="AB209" s="7">
        <v>27.531529266190699</v>
      </c>
      <c r="AC209" s="7">
        <v>0.63539901247129282</v>
      </c>
      <c r="AD209" s="7">
        <v>63.730118328080742</v>
      </c>
      <c r="AE209" s="7">
        <v>76.872823720212097</v>
      </c>
      <c r="AF209" s="8">
        <v>39.931431739561248</v>
      </c>
      <c r="AG209" s="8">
        <v>33.903633702150238</v>
      </c>
      <c r="AH209" s="8">
        <v>0.91994654856431624</v>
      </c>
      <c r="AI209" s="8">
        <v>57.035582707405183</v>
      </c>
      <c r="AJ209" s="8">
        <v>83.714209923388239</v>
      </c>
      <c r="AK209" s="8">
        <v>37.983512749573229</v>
      </c>
      <c r="AL209" s="8">
        <v>30.48228378779007</v>
      </c>
      <c r="AM209" s="8">
        <v>0.75514660487070517</v>
      </c>
      <c r="AN209" s="8">
        <v>60.718779264832492</v>
      </c>
      <c r="AO209" s="8">
        <v>87.75211769011689</v>
      </c>
      <c r="AP209" s="8">
        <v>33.232493542022098</v>
      </c>
      <c r="AQ209" s="8">
        <v>26.286347232049589</v>
      </c>
      <c r="AR209" s="8">
        <v>0.57530347697530027</v>
      </c>
      <c r="AS209" s="8">
        <v>66.927116316104275</v>
      </c>
      <c r="AT209" s="8">
        <v>83.180557925699603</v>
      </c>
      <c r="AU209" s="8">
        <v>34.318629482589692</v>
      </c>
      <c r="AV209" s="8">
        <v>27.648189641887029</v>
      </c>
      <c r="AW209" s="8">
        <v>0.63891883670993566</v>
      </c>
      <c r="AX209" s="8">
        <v>63.249892915541437</v>
      </c>
      <c r="AY209" s="8">
        <v>75.692759067365202</v>
      </c>
      <c r="AZ209" s="8">
        <v>38.835282460554318</v>
      </c>
      <c r="BA209" s="8">
        <v>31.67769997181302</v>
      </c>
      <c r="BB209" s="8">
        <v>0.77569283094343722</v>
      </c>
      <c r="BC209" s="8">
        <v>60.237629564700427</v>
      </c>
      <c r="BD209" s="8">
        <v>89.775761256388364</v>
      </c>
      <c r="BE209" s="8">
        <v>34.319058241653273</v>
      </c>
      <c r="BF209" s="8">
        <v>28.442246602555521</v>
      </c>
      <c r="BG209" s="8">
        <v>0.69696904789001668</v>
      </c>
      <c r="BH209" s="8">
        <v>64.79783478796179</v>
      </c>
      <c r="BI209" s="8">
        <v>81.7531430399915</v>
      </c>
    </row>
    <row r="210" spans="1:61" x14ac:dyDescent="0.15">
      <c r="A210" s="7">
        <v>2021</v>
      </c>
      <c r="B210" s="7">
        <v>12</v>
      </c>
      <c r="C210" s="7">
        <v>28.455354099689796</v>
      </c>
      <c r="D210" s="7">
        <v>2.6179000799766197</v>
      </c>
      <c r="E210" s="8">
        <v>17.94133198201931</v>
      </c>
      <c r="F210" s="8">
        <v>19.6749269575688</v>
      </c>
      <c r="G210" s="8">
        <v>0.57019690847780069</v>
      </c>
      <c r="H210" s="8">
        <v>68.027336642225436</v>
      </c>
      <c r="I210" s="8">
        <v>24.759369314480701</v>
      </c>
      <c r="J210" s="8">
        <v>21.04611489188466</v>
      </c>
      <c r="K210" s="8">
        <v>27.010496704160229</v>
      </c>
      <c r="L210" s="8">
        <v>0.64279969643564272</v>
      </c>
      <c r="M210" s="8">
        <v>67.94059879947568</v>
      </c>
      <c r="N210" s="8">
        <v>33.00393172396911</v>
      </c>
      <c r="O210" s="8">
        <v>291.66899999999998</v>
      </c>
      <c r="P210" s="8">
        <v>287.42200000000003</v>
      </c>
      <c r="Q210" s="8">
        <v>100.254</v>
      </c>
      <c r="R210" s="8">
        <v>-0.64418699999999995</v>
      </c>
      <c r="S210" s="8">
        <v>-0.30589899999999998</v>
      </c>
      <c r="T210" s="7">
        <f>C210-D210</f>
        <v>25.837454019713178</v>
      </c>
      <c r="U210" s="8">
        <f>D210/C210</f>
        <v>9.2000263669365423E-2</v>
      </c>
      <c r="V210" s="8">
        <v>20.765546168505178</v>
      </c>
      <c r="W210" s="8">
        <v>21.20623089909677</v>
      </c>
      <c r="X210" s="8">
        <v>0.65601611742105692</v>
      </c>
      <c r="Y210" s="8">
        <v>67.583344759954286</v>
      </c>
      <c r="Z210" s="8">
        <v>30.072432195234967</v>
      </c>
      <c r="AA210" s="7">
        <v>20.905830530194919</v>
      </c>
      <c r="AB210" s="7">
        <v>24.108363801628499</v>
      </c>
      <c r="AC210" s="7">
        <v>0.64940790692834982</v>
      </c>
      <c r="AD210" s="7">
        <v>67.761971779714983</v>
      </c>
      <c r="AE210" s="7">
        <v>31.538181959602039</v>
      </c>
      <c r="AF210" s="8">
        <v>22.166005068253231</v>
      </c>
      <c r="AG210" s="8">
        <v>28.495635392866081</v>
      </c>
      <c r="AH210" s="8">
        <v>0.6464245004792103</v>
      </c>
      <c r="AI210" s="8">
        <v>67.257442096245185</v>
      </c>
      <c r="AJ210" s="8">
        <v>33.717626730136139</v>
      </c>
      <c r="AK210" s="8">
        <v>20.953850821766</v>
      </c>
      <c r="AL210" s="8">
        <v>26.888141009823268</v>
      </c>
      <c r="AM210" s="8">
        <v>0.64250106074662694</v>
      </c>
      <c r="AN210" s="8">
        <v>67.996881834454456</v>
      </c>
      <c r="AO210" s="8">
        <v>32.945132738602638</v>
      </c>
      <c r="AP210" s="8">
        <v>21.998704697348359</v>
      </c>
      <c r="AQ210" s="8">
        <v>27.291285737885111</v>
      </c>
      <c r="AR210" s="8">
        <v>0.65983708631601068</v>
      </c>
      <c r="AS210" s="8">
        <v>67.736367848394195</v>
      </c>
      <c r="AT210" s="8">
        <v>33.275112386735543</v>
      </c>
      <c r="AU210" s="8">
        <v>21.69549845132212</v>
      </c>
      <c r="AV210" s="8">
        <v>24.770456163956801</v>
      </c>
      <c r="AW210" s="8">
        <v>0.68110479908421317</v>
      </c>
      <c r="AX210" s="8">
        <v>66.775584676038989</v>
      </c>
      <c r="AY210" s="8">
        <v>31.41853902177532</v>
      </c>
      <c r="AZ210" s="8">
        <v>21.61058106422934</v>
      </c>
      <c r="BA210" s="8">
        <v>26.807582150150349</v>
      </c>
      <c r="BB210" s="8">
        <v>0.63869674652760899</v>
      </c>
      <c r="BC210" s="8">
        <v>68.491533213713396</v>
      </c>
      <c r="BD210" s="8">
        <v>35.688231427931328</v>
      </c>
      <c r="BE210" s="8">
        <v>30.249967877218491</v>
      </c>
      <c r="BF210" s="8">
        <v>27.573792874552229</v>
      </c>
      <c r="BG210" s="8">
        <v>0.56518010161529952</v>
      </c>
      <c r="BH210" s="8">
        <v>61.987706283914797</v>
      </c>
      <c r="BI210" s="8">
        <v>46.86013028399514</v>
      </c>
    </row>
    <row r="211" spans="1:61" x14ac:dyDescent="0.15">
      <c r="A211" s="7">
        <v>2021</v>
      </c>
      <c r="B211" s="7">
        <v>117</v>
      </c>
      <c r="C211" s="7">
        <v>31.210628538449704</v>
      </c>
      <c r="D211" s="7">
        <v>21.927515008695892</v>
      </c>
      <c r="E211" s="8">
        <v>29.058284148887719</v>
      </c>
      <c r="F211" s="8">
        <v>18.679229792696709</v>
      </c>
      <c r="G211" s="8">
        <v>0.57087504819675705</v>
      </c>
      <c r="H211" s="8">
        <v>66.351836726373406</v>
      </c>
      <c r="I211" s="8">
        <v>48.782161154564328</v>
      </c>
      <c r="J211" s="8">
        <v>32.122638132119363</v>
      </c>
      <c r="K211" s="8">
        <v>21.645649674231549</v>
      </c>
      <c r="L211" s="8">
        <v>0.60677082635281898</v>
      </c>
      <c r="M211" s="8">
        <v>58.375706928502858</v>
      </c>
      <c r="N211" s="8">
        <v>46.904093327320702</v>
      </c>
      <c r="O211" s="8">
        <v>288.52999999999997</v>
      </c>
      <c r="P211" s="8">
        <v>284.44</v>
      </c>
      <c r="Q211" s="8">
        <v>91.247</v>
      </c>
      <c r="R211" s="8">
        <v>-0.34952800000000001</v>
      </c>
      <c r="S211" s="8">
        <v>-0.33229500000000001</v>
      </c>
      <c r="T211" s="7">
        <f>C211-D211</f>
        <v>9.2831135297538125</v>
      </c>
      <c r="U211" s="8">
        <f>D211/C211</f>
        <v>0.70256563342460243</v>
      </c>
      <c r="V211" s="8">
        <v>30.598997781473237</v>
      </c>
      <c r="W211" s="8">
        <v>21.217242599235632</v>
      </c>
      <c r="X211" s="8">
        <v>0.56931904005102207</v>
      </c>
      <c r="Y211" s="8">
        <v>60.431002530228206</v>
      </c>
      <c r="Z211" s="8">
        <v>48.867980793626479</v>
      </c>
      <c r="AA211" s="7">
        <v>31.3608179567963</v>
      </c>
      <c r="AB211" s="7">
        <v>21.431446136733591</v>
      </c>
      <c r="AC211" s="7">
        <v>0.58804493320192053</v>
      </c>
      <c r="AD211" s="7">
        <v>59.403354729365532</v>
      </c>
      <c r="AE211" s="7">
        <v>47.886037060473591</v>
      </c>
      <c r="AF211" s="8">
        <v>31.371366421198541</v>
      </c>
      <c r="AG211" s="8">
        <v>22.133518338121881</v>
      </c>
      <c r="AH211" s="8">
        <v>0.61056174271609187</v>
      </c>
      <c r="AI211" s="8">
        <v>57.965976774448571</v>
      </c>
      <c r="AJ211" s="8">
        <v>47.061264431998538</v>
      </c>
      <c r="AK211" s="8">
        <v>32.213535951023289</v>
      </c>
      <c r="AL211" s="8">
        <v>21.586621499984371</v>
      </c>
      <c r="AM211" s="8">
        <v>0.60631215604211841</v>
      </c>
      <c r="AN211" s="8">
        <v>58.425280973154507</v>
      </c>
      <c r="AO211" s="8">
        <v>46.885076891053671</v>
      </c>
      <c r="AP211" s="8">
        <v>32.128217871365003</v>
      </c>
      <c r="AQ211" s="8">
        <v>22.29865423231551</v>
      </c>
      <c r="AR211" s="8">
        <v>0.59090138780366697</v>
      </c>
      <c r="AS211" s="8">
        <v>57.263873038459153</v>
      </c>
      <c r="AT211" s="8">
        <v>47.850484373562708</v>
      </c>
      <c r="AU211" s="8">
        <v>24.7157847522877</v>
      </c>
      <c r="AV211" s="8">
        <v>16.482676763306738</v>
      </c>
      <c r="AW211" s="8">
        <v>0.52119725146718954</v>
      </c>
      <c r="AX211" s="8">
        <v>63.133068828984257</v>
      </c>
      <c r="AY211" s="8">
        <v>37.647092287776637</v>
      </c>
      <c r="AZ211" s="8">
        <v>32.31890800999814</v>
      </c>
      <c r="BA211" s="8">
        <v>22.305299952864289</v>
      </c>
      <c r="BB211" s="8">
        <v>0.61933661235846993</v>
      </c>
      <c r="BC211" s="8">
        <v>58.621676012342192</v>
      </c>
      <c r="BD211" s="8">
        <v>47.011643806707902</v>
      </c>
      <c r="BE211" s="8">
        <v>29.207946133398991</v>
      </c>
      <c r="BF211" s="8">
        <v>22.294014659016799</v>
      </c>
      <c r="BG211" s="8">
        <v>0.64345467739619056</v>
      </c>
      <c r="BH211" s="8">
        <v>61.500379464965093</v>
      </c>
      <c r="BI211" s="8">
        <v>43.011443460591202</v>
      </c>
    </row>
    <row r="212" spans="1:61" x14ac:dyDescent="0.15">
      <c r="A212" s="7">
        <v>2023</v>
      </c>
      <c r="B212" s="7">
        <v>138</v>
      </c>
      <c r="C212" s="9">
        <v>16.794040173012796</v>
      </c>
      <c r="D212" s="7">
        <v>6.1981773190383622</v>
      </c>
      <c r="E212" s="8">
        <v>33.965629546363147</v>
      </c>
      <c r="F212" s="8">
        <v>18.884602535748979</v>
      </c>
      <c r="G212" s="8">
        <v>0.57104672695430847</v>
      </c>
      <c r="H212" s="8">
        <v>74.772871925806967</v>
      </c>
      <c r="I212" s="8">
        <v>70.009923662186608</v>
      </c>
      <c r="J212" s="8">
        <v>32.321176099878173</v>
      </c>
      <c r="K212" s="8">
        <v>25.940809498975739</v>
      </c>
      <c r="L212" s="8">
        <v>0.61635691695434025</v>
      </c>
      <c r="M212" s="8">
        <v>66.785034646201694</v>
      </c>
      <c r="N212" s="8">
        <v>82.486095352417664</v>
      </c>
      <c r="O212" s="7">
        <v>282.73599999999999</v>
      </c>
      <c r="P212" s="7">
        <v>272.517</v>
      </c>
      <c r="Q212" s="7">
        <v>87.715800000000002</v>
      </c>
      <c r="R212" s="7">
        <v>0.523231</v>
      </c>
      <c r="S212" s="7">
        <v>3.2928699999999998E-2</v>
      </c>
      <c r="T212" s="7">
        <f>C212-D212</f>
        <v>10.595862853974435</v>
      </c>
      <c r="U212" s="8">
        <f>D212/C212</f>
        <v>0.36907005432787587</v>
      </c>
      <c r="V212" s="8">
        <v>33.730669556790872</v>
      </c>
      <c r="W212" s="8">
        <v>18.447705259968423</v>
      </c>
      <c r="X212" s="8">
        <v>0.53579209287376417</v>
      </c>
      <c r="Y212" s="8">
        <v>71.532412921678485</v>
      </c>
      <c r="Z212" s="8">
        <v>72.187525538473039</v>
      </c>
      <c r="AA212" s="7">
        <v>33.025922828334522</v>
      </c>
      <c r="AB212" s="7">
        <v>22.194257379472081</v>
      </c>
      <c r="AC212" s="7">
        <v>0.57607450491405221</v>
      </c>
      <c r="AD212" s="7">
        <v>69.15872378394009</v>
      </c>
      <c r="AE212" s="7">
        <v>77.336810445445352</v>
      </c>
      <c r="AF212" s="8">
        <v>31.382284461103222</v>
      </c>
      <c r="AG212" s="8">
        <v>25.099313036669521</v>
      </c>
      <c r="AH212" s="8">
        <v>0.57805472337750752</v>
      </c>
      <c r="AI212" s="8">
        <v>67.015141324368898</v>
      </c>
      <c r="AJ212" s="8">
        <v>82.18206384399123</v>
      </c>
      <c r="AK212" s="8">
        <v>32.467312208592382</v>
      </c>
      <c r="AL212" s="8">
        <v>26.0717862948269</v>
      </c>
      <c r="AM212" s="8">
        <v>0.62231855650183843</v>
      </c>
      <c r="AN212" s="8">
        <v>66.749219123783817</v>
      </c>
      <c r="AO212" s="8">
        <v>82.533417087677662</v>
      </c>
      <c r="AP212" s="8">
        <v>33.897146954830632</v>
      </c>
      <c r="AQ212" s="8">
        <v>25.459336077218691</v>
      </c>
      <c r="AR212" s="8">
        <v>0.63897434060709235</v>
      </c>
      <c r="AS212" s="8">
        <v>65.877721576064673</v>
      </c>
      <c r="AT212" s="8">
        <v>83.856955208811598</v>
      </c>
      <c r="AU212" s="8">
        <v>31.670533336130489</v>
      </c>
      <c r="AV212" s="8">
        <v>21.73440406485139</v>
      </c>
      <c r="AW212" s="8">
        <v>0.52820703525141366</v>
      </c>
      <c r="AX212" s="8">
        <v>67.911430304464488</v>
      </c>
      <c r="AY212" s="8">
        <v>77.322093372109805</v>
      </c>
      <c r="AZ212" s="8">
        <v>35.352054952234333</v>
      </c>
      <c r="BA212" s="8">
        <v>28.188448141087889</v>
      </c>
      <c r="BB212" s="8">
        <v>0.7071054181982992</v>
      </c>
      <c r="BC212" s="8">
        <v>66.20925197267357</v>
      </c>
      <c r="BD212" s="8">
        <v>84.019209033731101</v>
      </c>
      <c r="BE212" s="8">
        <v>27.857328191864891</v>
      </c>
      <c r="BF212" s="8">
        <v>25.9472424842096</v>
      </c>
      <c r="BG212" s="8">
        <v>0.62905106396897248</v>
      </c>
      <c r="BH212" s="8">
        <v>65.780829030689503</v>
      </c>
      <c r="BI212" s="8">
        <v>77.850341682315133</v>
      </c>
    </row>
    <row r="213" spans="1:61" x14ac:dyDescent="0.15">
      <c r="A213" s="7">
        <v>2023</v>
      </c>
      <c r="B213" s="7">
        <v>143</v>
      </c>
      <c r="C213" s="9">
        <v>42.788895788181961</v>
      </c>
      <c r="D213" s="7">
        <v>12.33558326880237</v>
      </c>
      <c r="E213" s="8">
        <v>29.812148122647159</v>
      </c>
      <c r="F213" s="8">
        <v>17.32247078780868</v>
      </c>
      <c r="G213" s="8">
        <v>0.57106585053202985</v>
      </c>
      <c r="H213" s="8">
        <v>71.854379873232858</v>
      </c>
      <c r="I213" s="8">
        <v>50.332540343479671</v>
      </c>
      <c r="J213" s="8">
        <v>33.531969900422688</v>
      </c>
      <c r="K213" s="8">
        <v>17.952864102047119</v>
      </c>
      <c r="L213" s="8">
        <v>0.56480564128731914</v>
      </c>
      <c r="M213" s="8">
        <v>74.82663120925514</v>
      </c>
      <c r="N213" s="8">
        <v>62.08159381311652</v>
      </c>
      <c r="O213" s="7">
        <v>287.27499999999998</v>
      </c>
      <c r="P213" s="7">
        <v>282.09199999999998</v>
      </c>
      <c r="Q213" s="7">
        <v>92.489800000000002</v>
      </c>
      <c r="R213" s="7">
        <v>-0.19209399999999999</v>
      </c>
      <c r="S213" s="7">
        <v>-0.17940400000000001</v>
      </c>
      <c r="T213" s="7">
        <f>C213-D213</f>
        <v>30.45331251937959</v>
      </c>
      <c r="U213" s="8">
        <f>D213/C213</f>
        <v>0.28828935735727457</v>
      </c>
      <c r="V213" s="8">
        <v>27.516116148708512</v>
      </c>
      <c r="W213" s="8">
        <v>16.817246887956362</v>
      </c>
      <c r="X213" s="8">
        <v>0.57537885383512533</v>
      </c>
      <c r="Y213" s="8">
        <v>70.476605846419943</v>
      </c>
      <c r="Z213" s="8">
        <v>43.332039219406546</v>
      </c>
      <c r="AA213" s="7">
        <v>30.5240430245656</v>
      </c>
      <c r="AB213" s="7">
        <v>17.38505549500174</v>
      </c>
      <c r="AC213" s="7">
        <v>0.57009224756122223</v>
      </c>
      <c r="AD213" s="7">
        <v>72.651618527837542</v>
      </c>
      <c r="AE213" s="7">
        <v>52.706816516261533</v>
      </c>
      <c r="AF213" s="8">
        <v>33.087659520094398</v>
      </c>
      <c r="AG213" s="8">
        <v>17.193805347172159</v>
      </c>
      <c r="AH213" s="8">
        <v>0.55275860248393183</v>
      </c>
      <c r="AI213" s="8">
        <v>75.83829540925079</v>
      </c>
      <c r="AJ213" s="8">
        <v>59.612078359212298</v>
      </c>
      <c r="AK213" s="8">
        <v>33.606050324193603</v>
      </c>
      <c r="AL213" s="8">
        <v>18.07942291480008</v>
      </c>
      <c r="AM213" s="8">
        <v>0.56681425908976668</v>
      </c>
      <c r="AN213" s="8">
        <v>74.657955175636076</v>
      </c>
      <c r="AO213" s="8">
        <v>62.493339204252507</v>
      </c>
      <c r="AP213" s="8">
        <v>34.086622894193219</v>
      </c>
      <c r="AQ213" s="8">
        <v>16.747900572471298</v>
      </c>
      <c r="AR213" s="8">
        <v>0.53531296963024366</v>
      </c>
      <c r="AS213" s="8">
        <v>78.119449387480373</v>
      </c>
      <c r="AT213" s="8">
        <v>64.008790196596138</v>
      </c>
      <c r="AU213" s="8">
        <v>32.758447268710839</v>
      </c>
      <c r="AV213" s="8">
        <v>16.16451753639269</v>
      </c>
      <c r="AW213" s="8">
        <v>0.50309245831861915</v>
      </c>
      <c r="AX213" s="8">
        <v>75.976784478356294</v>
      </c>
      <c r="AY213" s="8">
        <v>57.945545093215969</v>
      </c>
      <c r="AZ213" s="8">
        <v>34.405641797256891</v>
      </c>
      <c r="BA213" s="8">
        <v>20.29432111689184</v>
      </c>
      <c r="BB213" s="8">
        <v>0.58390396623134522</v>
      </c>
      <c r="BC213" s="8">
        <v>69.812132539356867</v>
      </c>
      <c r="BD213" s="8">
        <v>65.685138447070429</v>
      </c>
      <c r="BE213" s="8">
        <v>30.87585260060025</v>
      </c>
      <c r="BF213" s="8">
        <v>26.78777744073766</v>
      </c>
      <c r="BG213" s="8">
        <v>0.56049925831059</v>
      </c>
      <c r="BH213" s="8">
        <v>63.598649743491222</v>
      </c>
      <c r="BI213" s="8">
        <v>64.825806971766411</v>
      </c>
    </row>
    <row r="214" spans="1:61" x14ac:dyDescent="0.15">
      <c r="A214" s="7">
        <v>2020</v>
      </c>
      <c r="B214" s="7">
        <v>44</v>
      </c>
      <c r="C214" s="7">
        <v>200.20924405080868</v>
      </c>
      <c r="D214" s="7">
        <v>95.233600619897743</v>
      </c>
      <c r="E214" s="8">
        <v>19.247695116781731</v>
      </c>
      <c r="F214" s="8">
        <v>19.63408948825489</v>
      </c>
      <c r="G214" s="8">
        <v>0.57127562760467865</v>
      </c>
      <c r="H214" s="8">
        <v>64.862424501646274</v>
      </c>
      <c r="I214" s="8">
        <v>26.380524752125559</v>
      </c>
      <c r="J214" s="8">
        <v>21.98361889476465</v>
      </c>
      <c r="K214" s="8">
        <v>23.22989699773311</v>
      </c>
      <c r="L214" s="8">
        <v>0.59878132127935035</v>
      </c>
      <c r="M214" s="8">
        <v>64.46100191472506</v>
      </c>
      <c r="N214" s="8">
        <v>35.725843868972937</v>
      </c>
      <c r="O214" s="8">
        <v>291.70499999999998</v>
      </c>
      <c r="P214" s="8">
        <v>287.17700000000002</v>
      </c>
      <c r="Q214" s="8">
        <v>98.631100000000004</v>
      </c>
      <c r="R214" s="8">
        <v>-0.28720699999999999</v>
      </c>
      <c r="S214" s="8">
        <v>-0.54278800000000005</v>
      </c>
      <c r="T214" s="7">
        <f>C214-D214</f>
        <v>104.97564343091094</v>
      </c>
      <c r="U214" s="8">
        <f>D214/C214</f>
        <v>0.47567034714805456</v>
      </c>
      <c r="V214" s="8">
        <v>20.001803223632852</v>
      </c>
      <c r="W214" s="8">
        <v>19.063352349738192</v>
      </c>
      <c r="X214" s="8">
        <v>0.61051671260408458</v>
      </c>
      <c r="Y214" s="8">
        <v>65.543239158636723</v>
      </c>
      <c r="Z214" s="8">
        <v>26.955076167418902</v>
      </c>
      <c r="AA214" s="7">
        <v>20.992711059198751</v>
      </c>
      <c r="AB214" s="7">
        <v>21.146624673735651</v>
      </c>
      <c r="AC214" s="7">
        <v>0.60464901694171747</v>
      </c>
      <c r="AD214" s="7">
        <v>65.002120536680891</v>
      </c>
      <c r="AE214" s="7">
        <v>31.34046001819592</v>
      </c>
      <c r="AF214" s="8">
        <v>22.59730177014891</v>
      </c>
      <c r="AG214" s="8">
        <v>23.33227974211032</v>
      </c>
      <c r="AH214" s="8">
        <v>0.61196149727318816</v>
      </c>
      <c r="AI214" s="8">
        <v>63.217947767194651</v>
      </c>
      <c r="AJ214" s="8">
        <v>34.276357418652289</v>
      </c>
      <c r="AK214" s="8">
        <v>21.917494285966029</v>
      </c>
      <c r="AL214" s="8">
        <v>23.21886521048398</v>
      </c>
      <c r="AM214" s="8">
        <v>0.59736115132439771</v>
      </c>
      <c r="AN214" s="8">
        <v>64.594941564205243</v>
      </c>
      <c r="AO214" s="8">
        <v>35.882026692921471</v>
      </c>
      <c r="AP214" s="8">
        <v>22.742620570727428</v>
      </c>
      <c r="AQ214" s="8">
        <v>22.658559630957111</v>
      </c>
      <c r="AR214" s="8">
        <v>0.61157895237975202</v>
      </c>
      <c r="AS214" s="8">
        <v>64.21249291395857</v>
      </c>
      <c r="AT214" s="8">
        <v>34.157309664858317</v>
      </c>
      <c r="AU214" s="8">
        <v>21.81723588191274</v>
      </c>
      <c r="AV214" s="8">
        <v>18.50536672871964</v>
      </c>
      <c r="AW214" s="8">
        <v>0.63756854767061144</v>
      </c>
      <c r="AX214" s="8">
        <v>65.628026840492396</v>
      </c>
      <c r="AY214" s="8">
        <v>32.246315023789577</v>
      </c>
      <c r="AZ214" s="8">
        <v>22.38643114953091</v>
      </c>
      <c r="BA214" s="8">
        <v>23.42543613331366</v>
      </c>
      <c r="BB214" s="8">
        <v>0.57604549374874592</v>
      </c>
      <c r="BC214" s="8">
        <v>65.847844640209331</v>
      </c>
      <c r="BD214" s="8">
        <v>39.093552466796517</v>
      </c>
      <c r="BE214" s="8">
        <v>29.644771773535531</v>
      </c>
      <c r="BF214" s="8">
        <v>26.768407986344261</v>
      </c>
      <c r="BG214" s="8">
        <v>0.61471917856647473</v>
      </c>
      <c r="BH214" s="8">
        <v>62.066240828786583</v>
      </c>
      <c r="BI214" s="8">
        <v>41.850214908146008</v>
      </c>
    </row>
    <row r="215" spans="1:61" x14ac:dyDescent="0.15">
      <c r="A215" s="7">
        <v>2023</v>
      </c>
      <c r="B215" s="7">
        <v>2</v>
      </c>
      <c r="C215" s="9">
        <v>596.47010649177719</v>
      </c>
      <c r="D215" s="7">
        <v>56.705730332084514</v>
      </c>
      <c r="E215" s="8">
        <v>33.185469542578353</v>
      </c>
      <c r="F215" s="8">
        <v>21.011913109890369</v>
      </c>
      <c r="G215" s="8">
        <v>0.57178670740746029</v>
      </c>
      <c r="H215" s="8">
        <v>70.194284410719675</v>
      </c>
      <c r="I215" s="8">
        <v>62.937152588189477</v>
      </c>
      <c r="J215" s="8">
        <v>36.202314656313483</v>
      </c>
      <c r="K215" s="8">
        <v>30.010941851924411</v>
      </c>
      <c r="L215" s="8">
        <v>0.69734963935400773</v>
      </c>
      <c r="M215" s="8">
        <v>66.719424774454723</v>
      </c>
      <c r="N215" s="8">
        <v>70.610372914148414</v>
      </c>
      <c r="O215" s="7">
        <v>283.66500000000002</v>
      </c>
      <c r="P215" s="7">
        <v>273.60700000000003</v>
      </c>
      <c r="Q215" s="7">
        <v>95.070599999999999</v>
      </c>
      <c r="R215" s="7">
        <v>0.58124699999999996</v>
      </c>
      <c r="S215" s="7">
        <v>-0.24387300000000001</v>
      </c>
      <c r="T215" s="7">
        <f>C215-D215</f>
        <v>539.76437615969269</v>
      </c>
      <c r="U215" s="8">
        <f>D215/C215</f>
        <v>9.5068855446264089E-2</v>
      </c>
      <c r="V215" s="8">
        <v>31.032948851149392</v>
      </c>
      <c r="W215" s="8">
        <v>19.159006316278951</v>
      </c>
      <c r="X215" s="8">
        <v>0.57894424233883535</v>
      </c>
      <c r="Y215" s="8">
        <v>70.23206081384987</v>
      </c>
      <c r="Z215" s="8">
        <v>61.637861470858169</v>
      </c>
      <c r="AA215" s="7">
        <v>33.617631753731438</v>
      </c>
      <c r="AB215" s="7">
        <v>24.584974084101681</v>
      </c>
      <c r="AC215" s="7">
        <v>0.63814694084642154</v>
      </c>
      <c r="AD215" s="7">
        <v>68.475742794152296</v>
      </c>
      <c r="AE215" s="7">
        <v>66.124117192503292</v>
      </c>
      <c r="AF215" s="8">
        <v>37.056130270034068</v>
      </c>
      <c r="AG215" s="8">
        <v>30.901447105974739</v>
      </c>
      <c r="AH215" s="8">
        <v>0.68906274422228209</v>
      </c>
      <c r="AI215" s="8">
        <v>66.877253007637435</v>
      </c>
      <c r="AJ215" s="8">
        <v>71.047114708369392</v>
      </c>
      <c r="AK215" s="8">
        <v>36.129359157157268</v>
      </c>
      <c r="AL215" s="8">
        <v>29.934851353851439</v>
      </c>
      <c r="AM215" s="8">
        <v>0.6980577249887453</v>
      </c>
      <c r="AN215" s="8">
        <v>66.705938914805699</v>
      </c>
      <c r="AO215" s="8">
        <v>70.573054885422167</v>
      </c>
      <c r="AP215" s="8">
        <v>32.6175671184048</v>
      </c>
      <c r="AQ215" s="8">
        <v>27.450559342062281</v>
      </c>
      <c r="AR215" s="8">
        <v>0.70040082966673856</v>
      </c>
      <c r="AS215" s="8">
        <v>67.042622301955447</v>
      </c>
      <c r="AT215" s="8">
        <v>68.708721615105489</v>
      </c>
      <c r="AU215" s="8">
        <v>32.201687630786218</v>
      </c>
      <c r="AV215" s="8">
        <v>23.934090630369258</v>
      </c>
      <c r="AW215" s="8">
        <v>0.55628615772270229</v>
      </c>
      <c r="AX215" s="8">
        <v>65.299042036825995</v>
      </c>
      <c r="AY215" s="8">
        <v>67.877309250744091</v>
      </c>
      <c r="AZ215" s="8">
        <v>35.566772696409082</v>
      </c>
      <c r="BA215" s="8">
        <v>29.3379238475321</v>
      </c>
      <c r="BB215" s="8">
        <v>0.71828151375787841</v>
      </c>
      <c r="BC215" s="8">
        <v>66.278603202222399</v>
      </c>
      <c r="BD215" s="8">
        <v>69.912212722794536</v>
      </c>
      <c r="BE215" s="8">
        <v>25.867741598704999</v>
      </c>
      <c r="BF215" s="8">
        <v>22.734000278936961</v>
      </c>
      <c r="BG215" s="8">
        <v>0.69167112550233101</v>
      </c>
      <c r="BH215" s="8">
        <v>69.338870062510466</v>
      </c>
      <c r="BI215" s="8">
        <v>61.121071921221983</v>
      </c>
    </row>
    <row r="216" spans="1:61" x14ac:dyDescent="0.15">
      <c r="A216" s="7">
        <v>2022</v>
      </c>
      <c r="B216" s="7">
        <v>74</v>
      </c>
      <c r="C216" s="7">
        <v>27.353323514238781</v>
      </c>
      <c r="D216" s="7">
        <v>15.59116190079553</v>
      </c>
      <c r="E216" s="8">
        <v>21.06935516619259</v>
      </c>
      <c r="F216" s="8">
        <v>12.18944000018789</v>
      </c>
      <c r="G216" s="8">
        <v>0.57192728280401794</v>
      </c>
      <c r="H216" s="8">
        <v>63.732099942133118</v>
      </c>
      <c r="I216" s="8">
        <v>29.13992564900235</v>
      </c>
      <c r="J216" s="8">
        <v>30.36406709447731</v>
      </c>
      <c r="K216" s="8">
        <v>22.485843169499841</v>
      </c>
      <c r="L216" s="8">
        <v>0.60799091542835604</v>
      </c>
      <c r="M216" s="8">
        <v>58.759912689387527</v>
      </c>
      <c r="N216" s="8">
        <v>42.195871636541661</v>
      </c>
      <c r="O216" s="8">
        <v>291.41899999999998</v>
      </c>
      <c r="P216" s="8">
        <v>286.27800000000002</v>
      </c>
      <c r="Q216" s="8">
        <v>99.631299999999996</v>
      </c>
      <c r="R216" s="8">
        <v>-0.56527400000000005</v>
      </c>
      <c r="S216" s="8">
        <v>-0.52445299999999995</v>
      </c>
      <c r="T216" s="7">
        <f>C216-D216</f>
        <v>11.762161613443251</v>
      </c>
      <c r="U216" s="8">
        <f>D216/C216</f>
        <v>0.56999150003397381</v>
      </c>
      <c r="V216" s="8">
        <v>19.359944988362411</v>
      </c>
      <c r="W216" s="8">
        <v>10.2463335093849</v>
      </c>
      <c r="X216" s="8">
        <v>0.58392749812064881</v>
      </c>
      <c r="Y216" s="8">
        <v>65.065872603341774</v>
      </c>
      <c r="Z216" s="8">
        <v>26.115675394230401</v>
      </c>
      <c r="AA216" s="7">
        <v>24.86200604141986</v>
      </c>
      <c r="AB216" s="7">
        <v>16.366088339442371</v>
      </c>
      <c r="AC216" s="7">
        <v>0.59595920677450243</v>
      </c>
      <c r="AD216" s="7">
        <v>61.912892646364647</v>
      </c>
      <c r="AE216" s="7">
        <v>34.155773515386031</v>
      </c>
      <c r="AF216" s="8">
        <v>29.300708182051689</v>
      </c>
      <c r="AG216" s="8">
        <v>23.594775048615151</v>
      </c>
      <c r="AH216" s="8">
        <v>0.62190211726204858</v>
      </c>
      <c r="AI216" s="8">
        <v>58.251439396092593</v>
      </c>
      <c r="AJ216" s="8">
        <v>41.023547441405093</v>
      </c>
      <c r="AK216" s="8">
        <v>30.523851217391631</v>
      </c>
      <c r="AL216" s="8">
        <v>22.31921108920627</v>
      </c>
      <c r="AM216" s="8">
        <v>0.60590056836142792</v>
      </c>
      <c r="AN216" s="8">
        <v>58.836317709597672</v>
      </c>
      <c r="AO216" s="8">
        <v>42.372029273537301</v>
      </c>
      <c r="AP216" s="8">
        <v>30.052901302335609</v>
      </c>
      <c r="AQ216" s="8">
        <v>22.382719897461449</v>
      </c>
      <c r="AR216" s="8">
        <v>0.61181999900801365</v>
      </c>
      <c r="AS216" s="8">
        <v>58.840180410910563</v>
      </c>
      <c r="AT216" s="8">
        <v>40.065985210094382</v>
      </c>
      <c r="AU216" s="8">
        <v>27.331055154480289</v>
      </c>
      <c r="AV216" s="8">
        <v>24.347560604373101</v>
      </c>
      <c r="AW216" s="8">
        <v>0.57879404173612203</v>
      </c>
      <c r="AX216" s="8">
        <v>65.006283437866628</v>
      </c>
      <c r="AY216" s="8">
        <v>40.882533656082003</v>
      </c>
      <c r="AZ216" s="8">
        <v>31.08485740901066</v>
      </c>
      <c r="BA216" s="8">
        <v>23.795772821150869</v>
      </c>
      <c r="BB216" s="8">
        <v>0.56649365417922548</v>
      </c>
      <c r="BC216" s="8">
        <v>60.781865720676507</v>
      </c>
      <c r="BD216" s="8">
        <v>45.24742026941481</v>
      </c>
      <c r="BE216" s="8">
        <v>24.213843409239221</v>
      </c>
      <c r="BF216" s="8">
        <v>32.76718241695513</v>
      </c>
      <c r="BG216" s="8">
        <v>0.6079461280155849</v>
      </c>
      <c r="BH216" s="8">
        <v>67.546537375175802</v>
      </c>
      <c r="BI216" s="8">
        <v>43.27125665303403</v>
      </c>
    </row>
    <row r="217" spans="1:61" x14ac:dyDescent="0.15">
      <c r="A217" s="7">
        <v>2023</v>
      </c>
      <c r="B217" s="7">
        <v>33</v>
      </c>
      <c r="C217" s="9">
        <v>60.398368584642341</v>
      </c>
      <c r="D217" s="7">
        <v>52.401953127172852</v>
      </c>
      <c r="E217" s="8">
        <v>20.438230270659879</v>
      </c>
      <c r="F217" s="8">
        <v>9.6290402060940021</v>
      </c>
      <c r="G217" s="8">
        <v>0.57200366026545835</v>
      </c>
      <c r="H217" s="8">
        <v>64.444139131706294</v>
      </c>
      <c r="I217" s="8">
        <v>30.319207267456171</v>
      </c>
      <c r="J217" s="8">
        <v>25.182762484330478</v>
      </c>
      <c r="K217" s="8">
        <v>14.097677910565849</v>
      </c>
      <c r="L217" s="8">
        <v>0.58968314589206161</v>
      </c>
      <c r="M217" s="8">
        <v>59.26313645869093</v>
      </c>
      <c r="N217" s="8">
        <v>38.246335049418889</v>
      </c>
      <c r="O217" s="7">
        <v>289.71699999999998</v>
      </c>
      <c r="P217" s="7">
        <v>281.63</v>
      </c>
      <c r="Q217" s="7">
        <v>79.068300000000008</v>
      </c>
      <c r="R217" s="7">
        <v>0.69962899999999995</v>
      </c>
      <c r="S217" s="7">
        <v>1.20875</v>
      </c>
      <c r="T217" s="7">
        <f>C217-D217</f>
        <v>7.9964154574694888</v>
      </c>
      <c r="U217" s="8">
        <f>D217/C217</f>
        <v>0.86760543960283787</v>
      </c>
      <c r="V217" s="8">
        <v>20.03107381820762</v>
      </c>
      <c r="W217" s="8">
        <v>8.2184072307437503</v>
      </c>
      <c r="X217" s="8">
        <v>0.57671276681962691</v>
      </c>
      <c r="Y217" s="8">
        <v>64.15223989782379</v>
      </c>
      <c r="Z217" s="8">
        <v>29.483532217938716</v>
      </c>
      <c r="AA217" s="7">
        <v>22.606918151269049</v>
      </c>
      <c r="AB217" s="7">
        <v>11.1580425706548</v>
      </c>
      <c r="AC217" s="7">
        <v>0.58319795635584426</v>
      </c>
      <c r="AD217" s="7">
        <v>61.707688178257357</v>
      </c>
      <c r="AE217" s="7">
        <v>33.864933633678802</v>
      </c>
      <c r="AF217" s="8">
        <v>25.213774431876569</v>
      </c>
      <c r="AG217" s="8">
        <v>14.31894730361808</v>
      </c>
      <c r="AH217" s="8">
        <v>0.59407836166156081</v>
      </c>
      <c r="AI217" s="8">
        <v>59.00451769658163</v>
      </c>
      <c r="AJ217" s="8">
        <v>37.492548152755923</v>
      </c>
      <c r="AK217" s="8">
        <v>25.177361662138669</v>
      </c>
      <c r="AL217" s="8">
        <v>14.05914319272549</v>
      </c>
      <c r="AM217" s="8">
        <v>0.58891770609404481</v>
      </c>
      <c r="AN217" s="8">
        <v>59.308175679383112</v>
      </c>
      <c r="AO217" s="8">
        <v>38.377609262151132</v>
      </c>
      <c r="AP217" s="8">
        <v>25.37268444692625</v>
      </c>
      <c r="AQ217" s="8">
        <v>12.436838592343969</v>
      </c>
      <c r="AR217" s="8">
        <v>0.58560157380635069</v>
      </c>
      <c r="AS217" s="8">
        <v>59.30573645347468</v>
      </c>
      <c r="AT217" s="8">
        <v>38.256030584311851</v>
      </c>
      <c r="AU217" s="8">
        <v>24.147238625616922</v>
      </c>
      <c r="AV217" s="8">
        <v>12.84973485160271</v>
      </c>
      <c r="AW217" s="8">
        <v>0.63155192947171002</v>
      </c>
      <c r="AX217" s="8">
        <v>57.289788341648091</v>
      </c>
      <c r="AY217" s="8">
        <v>37.026591894205083</v>
      </c>
      <c r="AZ217" s="8">
        <v>27.16107783065992</v>
      </c>
      <c r="BA217" s="8">
        <v>17.943809077312501</v>
      </c>
      <c r="BB217" s="8">
        <v>0.62879385353182138</v>
      </c>
      <c r="BC217" s="8">
        <v>57.089645158698332</v>
      </c>
      <c r="BD217" s="8">
        <v>42.088786844171651</v>
      </c>
      <c r="BE217" s="8">
        <v>21.358747362527279</v>
      </c>
      <c r="BF217" s="8">
        <v>19.60124801145944</v>
      </c>
      <c r="BG217" s="8">
        <v>0.6237816245979767</v>
      </c>
      <c r="BH217" s="8">
        <v>58.022142228669487</v>
      </c>
      <c r="BI217" s="8">
        <v>40.368815561349123</v>
      </c>
    </row>
    <row r="218" spans="1:61" x14ac:dyDescent="0.15">
      <c r="A218" s="7">
        <v>2023</v>
      </c>
      <c r="B218" s="7">
        <v>44</v>
      </c>
      <c r="C218" s="9">
        <v>104.44457500416613</v>
      </c>
      <c r="D218" s="7">
        <v>33.262610644444571</v>
      </c>
      <c r="E218" s="8">
        <v>15.648139376204609</v>
      </c>
      <c r="F218" s="8">
        <v>12.06820666634429</v>
      </c>
      <c r="G218" s="8">
        <v>0.57234498768444086</v>
      </c>
      <c r="H218" s="8">
        <v>65.976385024306978</v>
      </c>
      <c r="I218" s="8">
        <v>26.30355755523896</v>
      </c>
      <c r="J218" s="8">
        <v>18.434054818778328</v>
      </c>
      <c r="K218" s="8">
        <v>24.525522225182481</v>
      </c>
      <c r="L218" s="8">
        <v>0.51886866270741172</v>
      </c>
      <c r="M218" s="8">
        <v>64.189375793827224</v>
      </c>
      <c r="N218" s="8">
        <v>33.540803809307128</v>
      </c>
      <c r="O218" s="7">
        <v>291.827</v>
      </c>
      <c r="P218" s="7">
        <v>286.88900000000001</v>
      </c>
      <c r="Q218" s="7">
        <v>98.604500000000002</v>
      </c>
      <c r="R218" s="7">
        <v>-0.35111100000000001</v>
      </c>
      <c r="S218" s="7">
        <v>-0.52596600000000004</v>
      </c>
      <c r="T218" s="7">
        <f>C218-D218</f>
        <v>71.181964359721547</v>
      </c>
      <c r="U218" s="8">
        <f>D218/C218</f>
        <v>0.31847140594059364</v>
      </c>
      <c r="V218" s="8">
        <v>14.38306113065083</v>
      </c>
      <c r="W218" s="8">
        <v>7.6179690648110956</v>
      </c>
      <c r="X218" s="8">
        <v>0.55756153075291182</v>
      </c>
      <c r="Y218" s="8">
        <v>68.000947246920703</v>
      </c>
      <c r="Z218" s="8">
        <v>23.439771670378988</v>
      </c>
      <c r="AA218" s="7">
        <v>16.408557974714579</v>
      </c>
      <c r="AB218" s="7">
        <v>16.071745644996788</v>
      </c>
      <c r="AC218" s="7">
        <v>0.53821509673016177</v>
      </c>
      <c r="AD218" s="7">
        <v>66.095161520373964</v>
      </c>
      <c r="AE218" s="7">
        <v>28.490287739843058</v>
      </c>
      <c r="AF218" s="8">
        <v>18.35231853094955</v>
      </c>
      <c r="AG218" s="8">
        <v>23.471039684470242</v>
      </c>
      <c r="AH218" s="8">
        <v>0.52881055385152864</v>
      </c>
      <c r="AI218" s="8">
        <v>63.673785218356457</v>
      </c>
      <c r="AJ218" s="8">
        <v>33.460642681754187</v>
      </c>
      <c r="AK218" s="8">
        <v>18.44222925892004</v>
      </c>
      <c r="AL218" s="8">
        <v>24.6309809466206</v>
      </c>
      <c r="AM218" s="8">
        <v>0.51787437490438437</v>
      </c>
      <c r="AN218" s="8">
        <v>64.240939969406611</v>
      </c>
      <c r="AO218" s="8">
        <v>33.548820717785347</v>
      </c>
      <c r="AP218" s="8">
        <v>18.495387532786761</v>
      </c>
      <c r="AQ218" s="8">
        <v>22.676852604912359</v>
      </c>
      <c r="AR218" s="8">
        <v>0.50927210483764251</v>
      </c>
      <c r="AS218" s="8">
        <v>71.668561152584118</v>
      </c>
      <c r="AT218" s="8">
        <v>34.127762842050387</v>
      </c>
      <c r="AU218" s="8">
        <v>15.318451609557229</v>
      </c>
      <c r="AV218" s="8">
        <v>13.166456157089369</v>
      </c>
      <c r="AW218" s="8">
        <v>0.47405839595483362</v>
      </c>
      <c r="AX218" s="8">
        <v>63.021424881631177</v>
      </c>
      <c r="AY218" s="8">
        <v>27.029900637689529</v>
      </c>
      <c r="AZ218" s="8">
        <v>17.957955793229392</v>
      </c>
      <c r="BA218" s="8">
        <v>25.11479824353918</v>
      </c>
      <c r="BB218" s="8">
        <v>0.51129686876241409</v>
      </c>
      <c r="BC218" s="8">
        <v>60.62337275581104</v>
      </c>
      <c r="BD218" s="8">
        <v>33.27694672560748</v>
      </c>
      <c r="BE218" s="8">
        <v>18.736104985321461</v>
      </c>
      <c r="BF218" s="8">
        <v>25.665158693527019</v>
      </c>
      <c r="BG218" s="8">
        <v>0.55536525190284902</v>
      </c>
      <c r="BH218" s="8">
        <v>59.155683427028087</v>
      </c>
      <c r="BI218" s="8">
        <v>38.225474410455988</v>
      </c>
    </row>
    <row r="219" spans="1:61" x14ac:dyDescent="0.15">
      <c r="A219" s="7">
        <v>2021</v>
      </c>
      <c r="B219" s="7">
        <v>39</v>
      </c>
      <c r="C219" s="7">
        <v>52.327601852500891</v>
      </c>
      <c r="D219" s="7">
        <v>40.572026358128447</v>
      </c>
      <c r="E219" s="8">
        <v>31.295305726387468</v>
      </c>
      <c r="F219" s="8">
        <v>28.217392557011859</v>
      </c>
      <c r="G219" s="8">
        <v>0.57289805861388321</v>
      </c>
      <c r="H219" s="8">
        <v>72.779286562618992</v>
      </c>
      <c r="I219" s="8">
        <v>42.584615826712209</v>
      </c>
      <c r="J219" s="8">
        <v>30.162081085642171</v>
      </c>
      <c r="K219" s="8">
        <v>23.472569677882721</v>
      </c>
      <c r="L219" s="8">
        <v>0.58763823808177951</v>
      </c>
      <c r="M219" s="8">
        <v>77.88438989432575</v>
      </c>
      <c r="N219" s="8">
        <v>48.086514027656001</v>
      </c>
      <c r="O219" s="8">
        <v>289.24799999999999</v>
      </c>
      <c r="P219" s="8">
        <v>284.392</v>
      </c>
      <c r="Q219" s="8">
        <v>101.639</v>
      </c>
      <c r="R219" s="8">
        <v>-0.84952700000000003</v>
      </c>
      <c r="S219" s="8">
        <v>3.7105100000000002E-2</v>
      </c>
      <c r="T219" s="7">
        <f>C219-D219</f>
        <v>11.755575494372444</v>
      </c>
      <c r="U219" s="8">
        <f>D219/C219</f>
        <v>0.77534656513576472</v>
      </c>
      <c r="V219" s="8">
        <v>29.808079273409192</v>
      </c>
      <c r="W219" s="8">
        <v>25.082157063113076</v>
      </c>
      <c r="X219" s="8">
        <v>0.60532948547610932</v>
      </c>
      <c r="Y219" s="8">
        <v>74.187380482315888</v>
      </c>
      <c r="Z219" s="8">
        <v>43.828821118612574</v>
      </c>
      <c r="AA219" s="7">
        <v>29.985080179525681</v>
      </c>
      <c r="AB219" s="7">
        <v>24.277363370497898</v>
      </c>
      <c r="AC219" s="7">
        <v>0.59648386177894441</v>
      </c>
      <c r="AD219" s="7">
        <v>76.035885188320819</v>
      </c>
      <c r="AE219" s="7">
        <v>45.957667573134287</v>
      </c>
      <c r="AF219" s="8">
        <v>28.298809654592841</v>
      </c>
      <c r="AG219" s="8">
        <v>24.482416844609109</v>
      </c>
      <c r="AH219" s="8">
        <v>0.57430778731332177</v>
      </c>
      <c r="AI219" s="8">
        <v>79.363285068191203</v>
      </c>
      <c r="AJ219" s="8">
        <v>42.485058346071092</v>
      </c>
      <c r="AK219" s="8">
        <v>30.271017721963329</v>
      </c>
      <c r="AL219" s="8">
        <v>23.41352870741088</v>
      </c>
      <c r="AM219" s="8">
        <v>0.58841760626354922</v>
      </c>
      <c r="AN219" s="8">
        <v>77.797925913271882</v>
      </c>
      <c r="AO219" s="8">
        <v>48.414004553344007</v>
      </c>
      <c r="AP219" s="8">
        <v>29.155965318101519</v>
      </c>
      <c r="AQ219" s="8">
        <v>23.273947496083011</v>
      </c>
      <c r="AR219" s="8">
        <v>0.57282868587055302</v>
      </c>
      <c r="AS219" s="8">
        <v>77.169864142088556</v>
      </c>
      <c r="AT219" s="8">
        <v>44.277345743032299</v>
      </c>
      <c r="AU219" s="8">
        <v>38.7230160739851</v>
      </c>
      <c r="AV219" s="8">
        <v>30.04910806201276</v>
      </c>
      <c r="AW219" s="8">
        <v>0.60503692169772494</v>
      </c>
      <c r="AX219" s="8">
        <v>66.259569163042656</v>
      </c>
      <c r="AY219" s="8">
        <v>62.594779437827007</v>
      </c>
      <c r="AZ219" s="8">
        <v>31.275023744268299</v>
      </c>
      <c r="BA219" s="8">
        <v>23.625559410103641</v>
      </c>
      <c r="BB219" s="8">
        <v>0.58857169431167322</v>
      </c>
      <c r="BC219" s="8">
        <v>76.546625701171052</v>
      </c>
      <c r="BD219" s="8">
        <v>50.670766919394708</v>
      </c>
      <c r="BE219" s="8">
        <v>36.15529093559968</v>
      </c>
      <c r="BF219" s="8">
        <v>30.256508331732839</v>
      </c>
      <c r="BG219" s="8">
        <v>0.65644358701399941</v>
      </c>
      <c r="BH219" s="8">
        <v>69.863738808074714</v>
      </c>
      <c r="BI219" s="8">
        <v>58.608193056756029</v>
      </c>
    </row>
    <row r="220" spans="1:61" x14ac:dyDescent="0.15">
      <c r="A220" s="7">
        <v>2021</v>
      </c>
      <c r="B220" s="7">
        <v>97</v>
      </c>
      <c r="C220" s="7">
        <v>22.373682772841743</v>
      </c>
      <c r="D220" s="7">
        <v>7.3447687759863678</v>
      </c>
      <c r="E220" s="8">
        <v>26.8131079478758</v>
      </c>
      <c r="F220" s="8">
        <v>15.9319159276722</v>
      </c>
      <c r="G220" s="8">
        <v>0.5729710645011995</v>
      </c>
      <c r="H220" s="8">
        <v>82.426468066218817</v>
      </c>
      <c r="I220" s="8">
        <v>52.558407565832297</v>
      </c>
      <c r="J220" s="8">
        <v>29.50575025405838</v>
      </c>
      <c r="K220" s="8">
        <v>27.18372504046857</v>
      </c>
      <c r="L220" s="8">
        <v>0.63349666341446842</v>
      </c>
      <c r="M220" s="8">
        <v>63.928697634618203</v>
      </c>
      <c r="N220" s="8">
        <v>66.171811512528336</v>
      </c>
      <c r="O220" s="8">
        <v>280.39600000000002</v>
      </c>
      <c r="P220" s="8">
        <v>269.01400000000001</v>
      </c>
      <c r="Q220" s="8">
        <v>77.563199999999995</v>
      </c>
      <c r="R220" s="8">
        <v>-0.363043</v>
      </c>
      <c r="S220" s="8">
        <v>-0.31310500000000002</v>
      </c>
      <c r="T220" s="7">
        <f>C220-D220</f>
        <v>15.028913996855376</v>
      </c>
      <c r="U220" s="8">
        <f>D220/C220</f>
        <v>0.3282771482262099</v>
      </c>
      <c r="V220" s="8">
        <v>35.245960147867521</v>
      </c>
      <c r="W220" s="8">
        <v>25.699712948007747</v>
      </c>
      <c r="X220" s="8">
        <v>0.50937466837915812</v>
      </c>
      <c r="Y220" s="8">
        <v>66.303796025823885</v>
      </c>
      <c r="Z220" s="8">
        <v>82.59508664755856</v>
      </c>
      <c r="AA220" s="7">
        <v>32.375855200962953</v>
      </c>
      <c r="AB220" s="7">
        <v>26.441718994238158</v>
      </c>
      <c r="AC220" s="7">
        <v>0.57143566589681327</v>
      </c>
      <c r="AD220" s="7">
        <v>65.116246830221044</v>
      </c>
      <c r="AE220" s="7">
        <v>74.383449080043448</v>
      </c>
      <c r="AF220" s="8">
        <v>27.517139927616309</v>
      </c>
      <c r="AG220" s="8">
        <v>27.385339470723839</v>
      </c>
      <c r="AH220" s="8">
        <v>0.63329548232643518</v>
      </c>
      <c r="AI220" s="8">
        <v>62.272730553340999</v>
      </c>
      <c r="AJ220" s="8">
        <v>61.990685630334383</v>
      </c>
      <c r="AK220" s="8">
        <v>29.821357769140981</v>
      </c>
      <c r="AL220" s="8">
        <v>27.151727303912761</v>
      </c>
      <c r="AM220" s="8">
        <v>0.63352859237633252</v>
      </c>
      <c r="AN220" s="8">
        <v>64.19151214816624</v>
      </c>
      <c r="AO220" s="8">
        <v>66.835387846403492</v>
      </c>
      <c r="AP220" s="8">
        <v>30.816054787613929</v>
      </c>
      <c r="AQ220" s="8">
        <v>23.929617410439629</v>
      </c>
      <c r="AR220" s="8">
        <v>0.48556753962643789</v>
      </c>
      <c r="AS220" s="8">
        <v>68.870986072175413</v>
      </c>
      <c r="AT220" s="8">
        <v>72.590507829249745</v>
      </c>
      <c r="AU220" s="8">
        <v>32.998057472770718</v>
      </c>
      <c r="AV220" s="8">
        <v>27.27984585624559</v>
      </c>
      <c r="AW220" s="8">
        <v>0.58295498371337662</v>
      </c>
      <c r="AX220" s="8">
        <v>63.753006724794623</v>
      </c>
      <c r="AY220" s="8">
        <v>76.177734350037397</v>
      </c>
      <c r="AZ220" s="8">
        <v>29.627912053067831</v>
      </c>
      <c r="BA220" s="8">
        <v>29.68973683436926</v>
      </c>
      <c r="BB220" s="8">
        <v>0.72662521184792572</v>
      </c>
      <c r="BC220" s="8">
        <v>59.902918647371251</v>
      </c>
      <c r="BD220" s="8">
        <v>59.256963665619388</v>
      </c>
      <c r="BE220" s="8">
        <v>30.10069598902016</v>
      </c>
      <c r="BF220" s="8">
        <v>29.400771217525261</v>
      </c>
      <c r="BG220" s="8">
        <v>0.6255744768315199</v>
      </c>
      <c r="BH220" s="8">
        <v>65.189316209256177</v>
      </c>
      <c r="BI220" s="8">
        <v>63.70477148030956</v>
      </c>
    </row>
    <row r="221" spans="1:61" x14ac:dyDescent="0.15">
      <c r="A221" s="7">
        <v>2022</v>
      </c>
      <c r="B221" s="7">
        <v>111</v>
      </c>
      <c r="C221" s="7">
        <v>21.683291193897073</v>
      </c>
      <c r="D221" s="7">
        <v>16.492439726466358</v>
      </c>
      <c r="E221" s="8">
        <v>31.58505107298696</v>
      </c>
      <c r="F221" s="8">
        <v>22.627984733880631</v>
      </c>
      <c r="G221" s="8">
        <v>0.57341597230992769</v>
      </c>
      <c r="H221" s="8">
        <v>52.487799606545828</v>
      </c>
      <c r="I221" s="8">
        <v>40.577276214295701</v>
      </c>
      <c r="J221" s="8">
        <v>36.703138994074642</v>
      </c>
      <c r="K221" s="8">
        <v>25.211856872335119</v>
      </c>
      <c r="L221" s="8">
        <v>0.59101108400822322</v>
      </c>
      <c r="M221" s="8">
        <v>52.900254914700959</v>
      </c>
      <c r="N221" s="8">
        <v>57.462407502537353</v>
      </c>
      <c r="O221" s="8">
        <v>277.95499999999998</v>
      </c>
      <c r="P221" s="8">
        <v>271.07100000000003</v>
      </c>
      <c r="Q221" s="8">
        <v>99.602100000000007</v>
      </c>
      <c r="R221" s="8">
        <v>1.1726300000000001</v>
      </c>
      <c r="S221" s="8">
        <v>-4.9463600000000003E-2</v>
      </c>
      <c r="T221" s="7">
        <f>C221-D221</f>
        <v>5.1908514674307149</v>
      </c>
      <c r="U221" s="8">
        <f>D221/C221</f>
        <v>0.76060592365739577</v>
      </c>
      <c r="V221" s="8">
        <v>30.019940078484574</v>
      </c>
      <c r="W221" s="8">
        <v>24.256017400522062</v>
      </c>
      <c r="X221" s="8">
        <v>0.54955795442808508</v>
      </c>
      <c r="Y221" s="8">
        <v>53.286453805717237</v>
      </c>
      <c r="Z221" s="8">
        <v>36.130899510466371</v>
      </c>
      <c r="AA221" s="7">
        <v>33.361539536279608</v>
      </c>
      <c r="AB221" s="7">
        <v>24.73393713642859</v>
      </c>
      <c r="AC221" s="7">
        <v>0.57028451921815415</v>
      </c>
      <c r="AD221" s="7">
        <v>53.093354360209098</v>
      </c>
      <c r="AE221" s="7">
        <v>46.796653506501862</v>
      </c>
      <c r="AF221" s="8">
        <v>37.956977369166168</v>
      </c>
      <c r="AG221" s="8">
        <v>28.717012777440221</v>
      </c>
      <c r="AH221" s="8">
        <v>0.60680213766841673</v>
      </c>
      <c r="AI221" s="8">
        <v>51.61758268839634</v>
      </c>
      <c r="AJ221" s="8">
        <v>56.100785225435558</v>
      </c>
      <c r="AK221" s="8">
        <v>36.573265388710951</v>
      </c>
      <c r="AL221" s="8">
        <v>24.848789954141139</v>
      </c>
      <c r="AM221" s="8">
        <v>0.58937543374254109</v>
      </c>
      <c r="AN221" s="8">
        <v>53.033115153978528</v>
      </c>
      <c r="AO221" s="8">
        <v>57.603445452709991</v>
      </c>
      <c r="AP221" s="8">
        <v>35.742352332057372</v>
      </c>
      <c r="AQ221" s="8">
        <v>25.486238728962729</v>
      </c>
      <c r="AR221" s="8">
        <v>0.56993060496639891</v>
      </c>
      <c r="AS221" s="8">
        <v>52.454405500765787</v>
      </c>
      <c r="AT221" s="8">
        <v>48.576307036449307</v>
      </c>
      <c r="AU221" s="8">
        <v>34.67199121674598</v>
      </c>
      <c r="AV221" s="8">
        <v>25.757454259732011</v>
      </c>
      <c r="AW221" s="8">
        <v>0.56269165476922667</v>
      </c>
      <c r="AX221" s="8">
        <v>53.780013145655317</v>
      </c>
      <c r="AY221" s="8">
        <v>47.017295273619581</v>
      </c>
      <c r="AZ221" s="8">
        <v>31.719551318760981</v>
      </c>
      <c r="BA221" s="8">
        <v>23.457659392377479</v>
      </c>
      <c r="BB221" s="8">
        <v>0.56310689195253161</v>
      </c>
      <c r="BC221" s="8">
        <v>55.036924042861223</v>
      </c>
      <c r="BD221" s="8">
        <v>51.514640260129383</v>
      </c>
      <c r="BE221" s="8">
        <v>23.35519783013768</v>
      </c>
      <c r="BF221" s="8">
        <v>23.0340750058743</v>
      </c>
      <c r="BG221" s="8">
        <v>0.49966589660485089</v>
      </c>
      <c r="BH221" s="8">
        <v>58.114221346375537</v>
      </c>
      <c r="BI221" s="8">
        <v>43.082282173099102</v>
      </c>
    </row>
    <row r="222" spans="1:61" x14ac:dyDescent="0.15">
      <c r="A222" s="7">
        <v>2023</v>
      </c>
      <c r="B222" s="7">
        <v>104</v>
      </c>
      <c r="C222" s="9">
        <v>45.987742730135686</v>
      </c>
      <c r="D222" s="7">
        <v>15.334363340430592</v>
      </c>
      <c r="E222" s="8">
        <v>40.043638248985751</v>
      </c>
      <c r="F222" s="8">
        <v>23.060564687561751</v>
      </c>
      <c r="G222" s="8">
        <v>0.57372119022112855</v>
      </c>
      <c r="H222" s="8">
        <v>75.415781199713336</v>
      </c>
      <c r="I222" s="8">
        <v>69.398804645452785</v>
      </c>
      <c r="J222" s="8">
        <v>38.397672451690823</v>
      </c>
      <c r="K222" s="8">
        <v>27.75521196148005</v>
      </c>
      <c r="L222" s="8">
        <v>0.63875710833705324</v>
      </c>
      <c r="M222" s="8">
        <v>81.096531534028998</v>
      </c>
      <c r="N222" s="8">
        <v>68.335170670627861</v>
      </c>
      <c r="O222" s="7">
        <v>288.05700000000002</v>
      </c>
      <c r="P222" s="7">
        <v>279.71899999999999</v>
      </c>
      <c r="Q222" s="7">
        <v>99.702399999999997</v>
      </c>
      <c r="R222" s="7">
        <v>-0.333181</v>
      </c>
      <c r="S222" s="7">
        <v>0.45445099999999999</v>
      </c>
      <c r="T222" s="7">
        <f>C222-D222</f>
        <v>30.653379389705094</v>
      </c>
      <c r="U222" s="8">
        <f>D222/C222</f>
        <v>0.33344457522986903</v>
      </c>
      <c r="V222" s="8">
        <v>35.720732505765383</v>
      </c>
      <c r="W222" s="8">
        <v>22.060388535664572</v>
      </c>
      <c r="X222" s="8">
        <v>0.51783367188811147</v>
      </c>
      <c r="Y222" s="8">
        <v>78.503807893297562</v>
      </c>
      <c r="Z222" s="8">
        <v>60.457014406411901</v>
      </c>
      <c r="AA222" s="7">
        <v>37.059202478728103</v>
      </c>
      <c r="AB222" s="7">
        <v>24.907800248572311</v>
      </c>
      <c r="AC222" s="7">
        <v>0.57829539011258235</v>
      </c>
      <c r="AD222" s="7">
        <v>79.80016971366328</v>
      </c>
      <c r="AE222" s="7">
        <v>64.396092538519881</v>
      </c>
      <c r="AF222" s="8">
        <v>38.226658480376301</v>
      </c>
      <c r="AG222" s="8">
        <v>27.80973331824179</v>
      </c>
      <c r="AH222" s="8">
        <v>0.6480228934919281</v>
      </c>
      <c r="AI222" s="8">
        <v>81.101494223125854</v>
      </c>
      <c r="AJ222" s="8">
        <v>68.292588277734282</v>
      </c>
      <c r="AK222" s="8">
        <v>38.420055596568311</v>
      </c>
      <c r="AL222" s="8">
        <v>27.748075939680572</v>
      </c>
      <c r="AM222" s="8">
        <v>0.63754435706339341</v>
      </c>
      <c r="AN222" s="8">
        <v>81.095881993010892</v>
      </c>
      <c r="AO222" s="8">
        <v>68.340744062450995</v>
      </c>
      <c r="AP222" s="8">
        <v>36.313985230124892</v>
      </c>
      <c r="AQ222" s="8">
        <v>24.610814033449909</v>
      </c>
      <c r="AR222" s="8">
        <v>0.56306270635554678</v>
      </c>
      <c r="AS222" s="8">
        <v>80.773984051372423</v>
      </c>
      <c r="AT222" s="8">
        <v>62.383638310958951</v>
      </c>
      <c r="AU222" s="8">
        <v>33.310681717891782</v>
      </c>
      <c r="AV222" s="8">
        <v>21.897083420764758</v>
      </c>
      <c r="AW222" s="8">
        <v>0.55197484604403613</v>
      </c>
      <c r="AX222" s="8">
        <v>74.215292278222236</v>
      </c>
      <c r="AY222" s="8">
        <v>59.626723781699077</v>
      </c>
      <c r="AZ222" s="8">
        <v>38.335119915523613</v>
      </c>
      <c r="BA222" s="8">
        <v>26.821360560771801</v>
      </c>
      <c r="BB222" s="8">
        <v>0.62349770107073121</v>
      </c>
      <c r="BC222" s="8">
        <v>80.593987221510758</v>
      </c>
      <c r="BD222" s="8">
        <v>68.008411892981783</v>
      </c>
      <c r="BE222" s="8">
        <v>34.585145590318547</v>
      </c>
      <c r="BF222" s="8">
        <v>25.964847744593861</v>
      </c>
      <c r="BG222" s="8">
        <v>0.63410028685944342</v>
      </c>
      <c r="BH222" s="8">
        <v>74.294595635090445</v>
      </c>
      <c r="BI222" s="8">
        <v>71.125694422087193</v>
      </c>
    </row>
    <row r="223" spans="1:61" x14ac:dyDescent="0.15">
      <c r="A223" s="7">
        <v>2021</v>
      </c>
      <c r="B223" s="7">
        <v>137</v>
      </c>
      <c r="C223" s="7">
        <v>51.817494063385112</v>
      </c>
      <c r="D223" s="7">
        <v>44.307442852390004</v>
      </c>
      <c r="E223" s="8">
        <v>20.256386317680299</v>
      </c>
      <c r="F223" s="8">
        <v>11.31586925816938</v>
      </c>
      <c r="G223" s="8">
        <v>0.57397434587661833</v>
      </c>
      <c r="H223" s="8">
        <v>56.065216975635423</v>
      </c>
      <c r="I223" s="8">
        <v>29.162326330623021</v>
      </c>
      <c r="J223" s="8">
        <v>23.091734023671041</v>
      </c>
      <c r="K223" s="8">
        <v>14.09329788535771</v>
      </c>
      <c r="L223" s="8">
        <v>0.61753330345542279</v>
      </c>
      <c r="M223" s="8">
        <v>55.275282175206932</v>
      </c>
      <c r="N223" s="8">
        <v>35.131306959861647</v>
      </c>
      <c r="O223" s="8">
        <v>292.04700000000003</v>
      </c>
      <c r="P223" s="8">
        <v>287.96600000000001</v>
      </c>
      <c r="Q223" s="8">
        <v>95.613399999999999</v>
      </c>
      <c r="R223" s="8">
        <v>-0.42012899999999997</v>
      </c>
      <c r="S223" s="8">
        <v>-0.30377100000000001</v>
      </c>
      <c r="T223" s="7">
        <f>C223-D223</f>
        <v>7.5100512109951083</v>
      </c>
      <c r="U223" s="8">
        <f>D223/C223</f>
        <v>0.85506726354214413</v>
      </c>
      <c r="V223" s="8">
        <v>19.139805450341623</v>
      </c>
      <c r="W223" s="8">
        <v>9.2693860071606302</v>
      </c>
      <c r="X223" s="8">
        <v>0.55040092393804219</v>
      </c>
      <c r="Y223" s="8">
        <v>56.300525440765433</v>
      </c>
      <c r="Z223" s="8">
        <v>26.115309131215376</v>
      </c>
      <c r="AA223" s="7">
        <v>21.115769737006332</v>
      </c>
      <c r="AB223" s="7">
        <v>11.68134194625917</v>
      </c>
      <c r="AC223" s="7">
        <v>0.58396711369673249</v>
      </c>
      <c r="AD223" s="7">
        <v>55.787903807986183</v>
      </c>
      <c r="AE223" s="7">
        <v>30.623308045538511</v>
      </c>
      <c r="AF223" s="8">
        <v>23.136857554398059</v>
      </c>
      <c r="AG223" s="8">
        <v>14.931971640096229</v>
      </c>
      <c r="AH223" s="8">
        <v>0.61702176151534094</v>
      </c>
      <c r="AI223" s="8">
        <v>54.427612609155389</v>
      </c>
      <c r="AJ223" s="8">
        <v>37.202713998403262</v>
      </c>
      <c r="AK223" s="8">
        <v>23.084438982181791</v>
      </c>
      <c r="AL223" s="8">
        <v>13.95771098118173</v>
      </c>
      <c r="AM223" s="8">
        <v>0.61761600353709323</v>
      </c>
      <c r="AN223" s="8">
        <v>55.412323416304261</v>
      </c>
      <c r="AO223" s="8">
        <v>34.796426243662573</v>
      </c>
      <c r="AP223" s="8">
        <v>24.129961126967221</v>
      </c>
      <c r="AQ223" s="8">
        <v>12.78586863612972</v>
      </c>
      <c r="AR223" s="8">
        <v>0.6107277436394819</v>
      </c>
      <c r="AS223" s="8">
        <v>54.607416429771114</v>
      </c>
      <c r="AT223" s="8">
        <v>35.624487332730091</v>
      </c>
      <c r="AU223" s="8">
        <v>19.987416238474299</v>
      </c>
      <c r="AV223" s="8">
        <v>10.340540937407811</v>
      </c>
      <c r="AW223" s="8">
        <v>0.57626853441968651</v>
      </c>
      <c r="AX223" s="8">
        <v>59.984739084779967</v>
      </c>
      <c r="AY223" s="8">
        <v>29.74270143688733</v>
      </c>
      <c r="AZ223" s="8">
        <v>22.6187137613129</v>
      </c>
      <c r="BA223" s="8">
        <v>15.76630006327831</v>
      </c>
      <c r="BB223" s="8">
        <v>0.65127826069376638</v>
      </c>
      <c r="BC223" s="8">
        <v>56.689579002062622</v>
      </c>
      <c r="BD223" s="8">
        <v>35.213390093398651</v>
      </c>
      <c r="BE223" s="8">
        <v>25.08419221915133</v>
      </c>
      <c r="BF223" s="8">
        <v>19.22189384010219</v>
      </c>
      <c r="BG223" s="8">
        <v>0.55678104586712462</v>
      </c>
      <c r="BH223" s="8">
        <v>56.364186471913968</v>
      </c>
      <c r="BI223" s="8">
        <v>42.377056539375573</v>
      </c>
    </row>
    <row r="224" spans="1:61" x14ac:dyDescent="0.15">
      <c r="A224" s="7">
        <v>2022</v>
      </c>
      <c r="B224" s="7">
        <v>126</v>
      </c>
      <c r="C224" s="7">
        <v>6.7645152812485954</v>
      </c>
      <c r="D224" s="7">
        <v>3.6831662060102595</v>
      </c>
      <c r="E224" s="8">
        <v>22.308998770755451</v>
      </c>
      <c r="F224" s="8">
        <v>12.869861843296301</v>
      </c>
      <c r="G224" s="8">
        <v>0.57404869693176797</v>
      </c>
      <c r="H224" s="8">
        <v>55.426611729524538</v>
      </c>
      <c r="I224" s="8">
        <v>32.171340192106591</v>
      </c>
      <c r="J224" s="8">
        <v>30.505824726861029</v>
      </c>
      <c r="K224" s="8">
        <v>19.92734693198755</v>
      </c>
      <c r="L224" s="8">
        <v>0.58599226630676982</v>
      </c>
      <c r="M224" s="8">
        <v>53.031128704692698</v>
      </c>
      <c r="N224" s="8">
        <v>39.257863945170939</v>
      </c>
      <c r="O224" s="8">
        <v>292.08199999999999</v>
      </c>
      <c r="P224" s="8">
        <v>286.226</v>
      </c>
      <c r="Q224" s="8">
        <v>99.711699999999993</v>
      </c>
      <c r="R224" s="8">
        <v>-3.7102999999999997E-2</v>
      </c>
      <c r="S224" s="8">
        <v>-0.98529599999999995</v>
      </c>
      <c r="T224" s="7">
        <f>C224-D224</f>
        <v>3.0813490752383359</v>
      </c>
      <c r="U224" s="8">
        <f>D224/C224</f>
        <v>0.54448338910846839</v>
      </c>
      <c r="V224" s="8">
        <v>21.562424743780149</v>
      </c>
      <c r="W224" s="8">
        <v>10.594187669245329</v>
      </c>
      <c r="X224" s="8">
        <v>0.56809874050071008</v>
      </c>
      <c r="Y224" s="8">
        <v>55.936351195262468</v>
      </c>
      <c r="Z224" s="8">
        <v>29.373922891127876</v>
      </c>
      <c r="AA224" s="7">
        <v>26.034124735320589</v>
      </c>
      <c r="AB224" s="7">
        <v>15.26076730061644</v>
      </c>
      <c r="AC224" s="7">
        <v>0.57704550340373995</v>
      </c>
      <c r="AD224" s="7">
        <v>54.483739949977583</v>
      </c>
      <c r="AE224" s="7">
        <v>34.315893418149408</v>
      </c>
      <c r="AF224" s="8">
        <v>31.08404037741516</v>
      </c>
      <c r="AG224" s="8">
        <v>20.66867428020117</v>
      </c>
      <c r="AH224" s="8">
        <v>0.61260019856319237</v>
      </c>
      <c r="AI224" s="8">
        <v>55.407993821203263</v>
      </c>
      <c r="AJ224" s="8">
        <v>39.403717965307273</v>
      </c>
      <c r="AK224" s="8">
        <v>30.415334080597049</v>
      </c>
      <c r="AL224" s="8">
        <v>19.811329334109111</v>
      </c>
      <c r="AM224" s="8">
        <v>0.58182812965062058</v>
      </c>
      <c r="AN224" s="8">
        <v>52.659149737556113</v>
      </c>
      <c r="AO224" s="8">
        <v>39.235037817013243</v>
      </c>
      <c r="AP224" s="8">
        <v>28.744006831686711</v>
      </c>
      <c r="AQ224" s="8">
        <v>16.96145380134644</v>
      </c>
      <c r="AR224" s="8">
        <v>0.56753671347088397</v>
      </c>
      <c r="AS224" s="8">
        <v>53.322273830013778</v>
      </c>
      <c r="AT224" s="8">
        <v>35.563800363064928</v>
      </c>
      <c r="AU224" s="8">
        <v>25.84006057243716</v>
      </c>
      <c r="AV224" s="8">
        <v>20.90198696914991</v>
      </c>
      <c r="AW224" s="8">
        <v>0.50407011362732912</v>
      </c>
      <c r="AX224" s="8">
        <v>67.394761963096798</v>
      </c>
      <c r="AY224" s="8">
        <v>45.514166862327613</v>
      </c>
      <c r="AZ224" s="8">
        <v>30.199476967659219</v>
      </c>
      <c r="BA224" s="8">
        <v>20.195408108935489</v>
      </c>
      <c r="BB224" s="8">
        <v>0.61937323452124327</v>
      </c>
      <c r="BC224" s="8">
        <v>55.291180749772217</v>
      </c>
      <c r="BD224" s="8">
        <v>40.463825096504458</v>
      </c>
      <c r="BE224" s="8">
        <v>29.80397441558468</v>
      </c>
      <c r="BF224" s="8">
        <v>22.684429014039619</v>
      </c>
      <c r="BG224" s="8">
        <v>0.48600792586093522</v>
      </c>
      <c r="BH224" s="8">
        <v>65.025740534738475</v>
      </c>
      <c r="BI224" s="8">
        <v>54.676088571503293</v>
      </c>
    </row>
    <row r="225" spans="1:61" x14ac:dyDescent="0.15">
      <c r="A225" s="7">
        <v>2018</v>
      </c>
      <c r="B225" s="7">
        <v>99</v>
      </c>
      <c r="C225" s="7">
        <v>27.8993415394594</v>
      </c>
      <c r="D225" s="7">
        <v>5.2292581411671559</v>
      </c>
      <c r="E225" s="8">
        <v>21.572601278946749</v>
      </c>
      <c r="F225" s="8">
        <v>12.192089347940399</v>
      </c>
      <c r="G225" s="8">
        <v>0.57422824963098029</v>
      </c>
      <c r="H225" s="8">
        <v>79.138053653274497</v>
      </c>
      <c r="I225" s="8">
        <v>32.680698463604983</v>
      </c>
      <c r="J225" s="8">
        <v>24.869184493285751</v>
      </c>
      <c r="K225" s="8">
        <v>16.20376764519731</v>
      </c>
      <c r="L225" s="8">
        <v>0.66889145598111532</v>
      </c>
      <c r="M225" s="8">
        <v>71.592327923568462</v>
      </c>
      <c r="N225" s="8">
        <v>40.603071417866502</v>
      </c>
      <c r="O225" s="8">
        <v>293.18</v>
      </c>
      <c r="P225" s="8">
        <v>288.61700000000002</v>
      </c>
      <c r="Q225" s="8">
        <v>95.677499999999995</v>
      </c>
      <c r="R225" s="8">
        <v>-0.137096</v>
      </c>
      <c r="S225" s="8">
        <v>-0.22761200000000001</v>
      </c>
      <c r="T225" s="7">
        <f>C225-D225</f>
        <v>22.670083398292242</v>
      </c>
      <c r="U225" s="8">
        <f>D225/C225</f>
        <v>0.18743303076781082</v>
      </c>
      <c r="V225" s="8">
        <v>19.309338959907528</v>
      </c>
      <c r="W225" s="8">
        <v>9.1644188264274504</v>
      </c>
      <c r="X225" s="8">
        <v>0.50024375095005202</v>
      </c>
      <c r="Y225" s="8">
        <v>84.874363254999281</v>
      </c>
      <c r="Z225" s="8">
        <v>26.904898753453054</v>
      </c>
      <c r="AA225" s="7">
        <v>22.089261726596639</v>
      </c>
      <c r="AB225" s="7">
        <v>12.68409323581238</v>
      </c>
      <c r="AC225" s="7">
        <v>0.58456760346558367</v>
      </c>
      <c r="AD225" s="7">
        <v>78.233345589283871</v>
      </c>
      <c r="AE225" s="7">
        <v>33.753985085659778</v>
      </c>
      <c r="AF225" s="8">
        <v>24.720854800507091</v>
      </c>
      <c r="AG225" s="8">
        <v>14.53956798848461</v>
      </c>
      <c r="AH225" s="8">
        <v>0.68401885745321056</v>
      </c>
      <c r="AI225" s="8">
        <v>72.087884805229848</v>
      </c>
      <c r="AJ225" s="8">
        <v>39.693610416951792</v>
      </c>
      <c r="AK225" s="8">
        <v>24.9079532170113</v>
      </c>
      <c r="AL225" s="8">
        <v>16.638737174943099</v>
      </c>
      <c r="AM225" s="8">
        <v>0.66493762827898095</v>
      </c>
      <c r="AN225" s="8">
        <v>71.462804916572836</v>
      </c>
      <c r="AO225" s="8">
        <v>40.840775963889179</v>
      </c>
      <c r="AP225" s="8">
        <v>25.97553366896668</v>
      </c>
      <c r="AQ225" s="8">
        <v>15.9202232438066</v>
      </c>
      <c r="AR225" s="8">
        <v>0.64972802041402078</v>
      </c>
      <c r="AS225" s="8">
        <v>71.352833439839202</v>
      </c>
      <c r="AT225" s="8">
        <v>42.065633607211218</v>
      </c>
      <c r="AU225" s="8">
        <v>26.262411688556409</v>
      </c>
      <c r="AV225" s="8">
        <v>18.347619320459511</v>
      </c>
      <c r="AW225" s="8">
        <v>0.63326207437031057</v>
      </c>
      <c r="AX225" s="8">
        <v>67.308191587837442</v>
      </c>
      <c r="AY225" s="8">
        <v>42.605098494027509</v>
      </c>
      <c r="AZ225" s="8">
        <v>29.98973977620491</v>
      </c>
      <c r="BA225" s="8">
        <v>22.939649822210921</v>
      </c>
      <c r="BB225" s="8">
        <v>0.81348896767161682</v>
      </c>
      <c r="BC225" s="8">
        <v>65.222220853029697</v>
      </c>
      <c r="BD225" s="8">
        <v>49.135290800834689</v>
      </c>
      <c r="BE225" s="8">
        <v>30.153293643743439</v>
      </c>
      <c r="BF225" s="8">
        <v>24.613911188996219</v>
      </c>
      <c r="BG225" s="8">
        <v>0.83359284402023592</v>
      </c>
      <c r="BH225" s="8">
        <v>60.141105115995849</v>
      </c>
      <c r="BI225" s="8">
        <v>48.416927514761277</v>
      </c>
    </row>
    <row r="226" spans="1:61" x14ac:dyDescent="0.15">
      <c r="A226" s="7">
        <v>2023</v>
      </c>
      <c r="B226" s="7">
        <v>83</v>
      </c>
      <c r="C226" s="9">
        <v>20.058512083673957</v>
      </c>
      <c r="D226" s="7">
        <v>4.4697210737251893</v>
      </c>
      <c r="E226" s="8">
        <v>17.095485688950021</v>
      </c>
      <c r="F226" s="8">
        <v>10.55577231863818</v>
      </c>
      <c r="G226" s="8">
        <v>0.57448754769432353</v>
      </c>
      <c r="H226" s="8">
        <v>61.705093503716817</v>
      </c>
      <c r="I226" s="8">
        <v>29.799805401076028</v>
      </c>
      <c r="J226" s="8">
        <v>17.90524093295063</v>
      </c>
      <c r="K226" s="8">
        <v>12.023085839611619</v>
      </c>
      <c r="L226" s="8">
        <v>0.59111410724505531</v>
      </c>
      <c r="M226" s="8">
        <v>61.345761703762633</v>
      </c>
      <c r="N226" s="8">
        <v>30.864759137763851</v>
      </c>
      <c r="O226" s="7">
        <v>297.54199999999997</v>
      </c>
      <c r="P226" s="7">
        <v>293.81799999999998</v>
      </c>
      <c r="Q226" s="7">
        <v>100.81399999999999</v>
      </c>
      <c r="R226" s="7">
        <v>-1.9095599999999999</v>
      </c>
      <c r="S226" s="7">
        <v>0.14138200000000001</v>
      </c>
      <c r="T226" s="7">
        <f>C226-D226</f>
        <v>15.588791009948768</v>
      </c>
      <c r="U226" s="8">
        <f>D226/C226</f>
        <v>0.22283412922552659</v>
      </c>
      <c r="V226" s="8">
        <v>15.952062174423713</v>
      </c>
      <c r="W226" s="8">
        <v>11.00332397736714</v>
      </c>
      <c r="X226" s="8">
        <v>0.55174484975143023</v>
      </c>
      <c r="Y226" s="8">
        <v>61.952876457888209</v>
      </c>
      <c r="Z226" s="8">
        <v>27.781082781376806</v>
      </c>
      <c r="AA226" s="7">
        <v>16.928651553687171</v>
      </c>
      <c r="AB226" s="7">
        <v>11.51320490848938</v>
      </c>
      <c r="AC226" s="7">
        <v>0.57142947849824277</v>
      </c>
      <c r="AD226" s="7">
        <v>61.649319080825421</v>
      </c>
      <c r="AE226" s="7">
        <v>29.322920959570329</v>
      </c>
      <c r="AF226" s="8">
        <v>18.291483221351829</v>
      </c>
      <c r="AG226" s="8">
        <v>12.730691194024059</v>
      </c>
      <c r="AH226" s="8">
        <v>0.58309427871466635</v>
      </c>
      <c r="AI226" s="8">
        <v>59.422661266999967</v>
      </c>
      <c r="AJ226" s="8">
        <v>31.08783730937672</v>
      </c>
      <c r="AK226" s="8">
        <v>17.863950961378531</v>
      </c>
      <c r="AL226" s="8">
        <v>11.94744159804269</v>
      </c>
      <c r="AM226" s="8">
        <v>0.59197144084620901</v>
      </c>
      <c r="AN226" s="8">
        <v>61.551344481072952</v>
      </c>
      <c r="AO226" s="8">
        <v>30.840911693709032</v>
      </c>
      <c r="AP226" s="8">
        <v>17.200351302732798</v>
      </c>
      <c r="AQ226" s="8">
        <v>11.1924547061656</v>
      </c>
      <c r="AR226" s="8">
        <v>0.57894056630579005</v>
      </c>
      <c r="AS226" s="8">
        <v>61.492128523339822</v>
      </c>
      <c r="AT226" s="8">
        <v>29.72669571016732</v>
      </c>
      <c r="AU226" s="8">
        <v>17.42887633723106</v>
      </c>
      <c r="AV226" s="8">
        <v>11.24065860612545</v>
      </c>
      <c r="AW226" s="8">
        <v>0.60450918977128387</v>
      </c>
      <c r="AX226" s="8">
        <v>64.057309589604273</v>
      </c>
      <c r="AY226" s="8">
        <v>31.896676155053211</v>
      </c>
      <c r="AZ226" s="8">
        <v>17.721578815002118</v>
      </c>
      <c r="BA226" s="8">
        <v>11.660323272714679</v>
      </c>
      <c r="BB226" s="8">
        <v>0.58719766453387445</v>
      </c>
      <c r="BC226" s="8">
        <v>62.173494420689757</v>
      </c>
      <c r="BD226" s="8">
        <v>30.3927573031613</v>
      </c>
      <c r="BE226" s="8">
        <v>16.407503173929861</v>
      </c>
      <c r="BF226" s="8">
        <v>10.40912179521089</v>
      </c>
      <c r="BG226" s="8">
        <v>0.58986639887103476</v>
      </c>
      <c r="BH226" s="8">
        <v>64.866591355786042</v>
      </c>
      <c r="BI226" s="8">
        <v>31.498779546868739</v>
      </c>
    </row>
    <row r="227" spans="1:61" x14ac:dyDescent="0.15">
      <c r="A227" s="7">
        <v>2020</v>
      </c>
      <c r="B227" s="7">
        <v>95</v>
      </c>
      <c r="C227" s="7">
        <v>44.223062407049753</v>
      </c>
      <c r="D227" s="7">
        <v>27.343922507336952</v>
      </c>
      <c r="E227" s="8">
        <v>26.114541608635498</v>
      </c>
      <c r="F227" s="8">
        <v>17.720947980607288</v>
      </c>
      <c r="G227" s="8">
        <v>0.57488032951754808</v>
      </c>
      <c r="H227" s="8">
        <v>59.595465609495747</v>
      </c>
      <c r="I227" s="8">
        <v>39.57185759953709</v>
      </c>
      <c r="J227" s="8">
        <v>32.674164854819509</v>
      </c>
      <c r="K227" s="8">
        <v>21.445805465556699</v>
      </c>
      <c r="L227" s="8">
        <v>0.60624103080444636</v>
      </c>
      <c r="M227" s="8">
        <v>59.413834739447523</v>
      </c>
      <c r="N227" s="8">
        <v>44.741158747448416</v>
      </c>
      <c r="O227" s="8">
        <v>289.13200000000001</v>
      </c>
      <c r="P227" s="8">
        <v>285.62799999999999</v>
      </c>
      <c r="Q227" s="8">
        <v>91.841200000000001</v>
      </c>
      <c r="R227" s="8">
        <v>3.7247599999999999E-2</v>
      </c>
      <c r="S227" s="8">
        <v>-0.52381100000000003</v>
      </c>
      <c r="T227" s="7">
        <f>C227-D227</f>
        <v>16.879139899712801</v>
      </c>
      <c r="U227" s="8">
        <f>D227/C227</f>
        <v>0.61831815842265059</v>
      </c>
      <c r="V227" s="8">
        <v>27.304037188377968</v>
      </c>
      <c r="W227" s="8">
        <v>18.073411545714524</v>
      </c>
      <c r="X227" s="8">
        <v>0.56222356357930492</v>
      </c>
      <c r="Y227" s="8">
        <v>60.63713223598748</v>
      </c>
      <c r="Z227" s="8">
        <v>40.673785962742208</v>
      </c>
      <c r="AA227" s="7">
        <v>29.989101021598739</v>
      </c>
      <c r="AB227" s="7">
        <v>19.759608505635612</v>
      </c>
      <c r="AC227" s="7">
        <v>0.58423229719187564</v>
      </c>
      <c r="AD227" s="7">
        <v>60.025483487717501</v>
      </c>
      <c r="AE227" s="7">
        <v>42.707472355095312</v>
      </c>
      <c r="AF227" s="8">
        <v>32.905328452172931</v>
      </c>
      <c r="AG227" s="8">
        <v>22.078598583245171</v>
      </c>
      <c r="AH227" s="8">
        <v>0.61283048773554827</v>
      </c>
      <c r="AI227" s="8">
        <v>59.194550806184921</v>
      </c>
      <c r="AJ227" s="8">
        <v>45.167444597590489</v>
      </c>
      <c r="AK227" s="8">
        <v>32.652418525161167</v>
      </c>
      <c r="AL227" s="8">
        <v>21.386276509006802</v>
      </c>
      <c r="AM227" s="8">
        <v>0.60562113864004996</v>
      </c>
      <c r="AN227" s="8">
        <v>59.434463509531128</v>
      </c>
      <c r="AO227" s="8">
        <v>44.701056617476389</v>
      </c>
      <c r="AP227" s="8">
        <v>32.367825861448651</v>
      </c>
      <c r="AQ227" s="8">
        <v>20.976277249922251</v>
      </c>
      <c r="AR227" s="8">
        <v>0.58074577275693762</v>
      </c>
      <c r="AS227" s="8">
        <v>60.557394550924229</v>
      </c>
      <c r="AT227" s="8">
        <v>44.460796418054713</v>
      </c>
      <c r="AU227" s="8">
        <v>27.766041349586711</v>
      </c>
      <c r="AV227" s="8">
        <v>22.036054729553779</v>
      </c>
      <c r="AW227" s="8">
        <v>0.59143156734895519</v>
      </c>
      <c r="AX227" s="8">
        <v>62.951227258301039</v>
      </c>
      <c r="AY227" s="8">
        <v>41.083025733308361</v>
      </c>
      <c r="AZ227" s="8">
        <v>33.560818711653603</v>
      </c>
      <c r="BA227" s="8">
        <v>23.947294425400671</v>
      </c>
      <c r="BB227" s="8">
        <v>0.68857429284859339</v>
      </c>
      <c r="BC227" s="8">
        <v>57.027281629669481</v>
      </c>
      <c r="BD227" s="8">
        <v>46.967615731957387</v>
      </c>
      <c r="BE227" s="8">
        <v>25.602234981868889</v>
      </c>
      <c r="BF227" s="8">
        <v>30.0130684276685</v>
      </c>
      <c r="BG227" s="8">
        <v>0.64293352118396352</v>
      </c>
      <c r="BH227" s="8">
        <v>71.952754116131786</v>
      </c>
      <c r="BI227" s="8">
        <v>49.036361888071639</v>
      </c>
    </row>
    <row r="228" spans="1:61" x14ac:dyDescent="0.15">
      <c r="A228" s="7">
        <v>2023</v>
      </c>
      <c r="B228" s="7">
        <v>55</v>
      </c>
      <c r="C228" s="9">
        <v>95.284097089498246</v>
      </c>
      <c r="D228" s="7">
        <v>82.961000630848687</v>
      </c>
      <c r="E228" s="8">
        <v>39.5628307333617</v>
      </c>
      <c r="F228" s="8">
        <v>24.692924697227031</v>
      </c>
      <c r="G228" s="8">
        <v>0.57527840304276456</v>
      </c>
      <c r="H228" s="8">
        <v>77.332957597317161</v>
      </c>
      <c r="I228" s="8">
        <v>72.376691017430275</v>
      </c>
      <c r="J228" s="8">
        <v>37.648087192141858</v>
      </c>
      <c r="K228" s="8">
        <v>27.074871747026449</v>
      </c>
      <c r="L228" s="8">
        <v>0.63075624278637643</v>
      </c>
      <c r="M228" s="8">
        <v>81.952544084396891</v>
      </c>
      <c r="N228" s="8">
        <v>71.499016619368533</v>
      </c>
      <c r="O228" s="7">
        <v>289.04000000000002</v>
      </c>
      <c r="P228" s="7">
        <v>281.13900000000001</v>
      </c>
      <c r="Q228" s="7">
        <v>100.886</v>
      </c>
      <c r="R228" s="7">
        <v>-0.42148400000000003</v>
      </c>
      <c r="S228" s="7">
        <v>0.38019700000000001</v>
      </c>
      <c r="T228" s="7">
        <f>C228-D228</f>
        <v>12.323096458649559</v>
      </c>
      <c r="U228" s="8">
        <f>D228/C228</f>
        <v>0.87066995610952003</v>
      </c>
      <c r="V228" s="8">
        <v>35.163978837281746</v>
      </c>
      <c r="W228" s="8">
        <v>22.784286732240332</v>
      </c>
      <c r="X228" s="8">
        <v>0.55606023170408569</v>
      </c>
      <c r="Y228" s="8">
        <v>79.042209377804369</v>
      </c>
      <c r="Z228" s="8">
        <v>62.911807463976785</v>
      </c>
      <c r="AA228" s="7">
        <v>36.406033014711802</v>
      </c>
      <c r="AB228" s="7">
        <v>24.929579239633391</v>
      </c>
      <c r="AC228" s="7">
        <v>0.59340823724523106</v>
      </c>
      <c r="AD228" s="7">
        <v>80.49737673110063</v>
      </c>
      <c r="AE228" s="7">
        <v>67.205412041672659</v>
      </c>
      <c r="AF228" s="8">
        <v>37.879805048057108</v>
      </c>
      <c r="AG228" s="8">
        <v>27.67225794491539</v>
      </c>
      <c r="AH228" s="8">
        <v>0.65054455426432289</v>
      </c>
      <c r="AI228" s="8">
        <v>81.920893683763836</v>
      </c>
      <c r="AJ228" s="8">
        <v>72.754718158062104</v>
      </c>
      <c r="AK228" s="8">
        <v>37.629004874700911</v>
      </c>
      <c r="AL228" s="8">
        <v>27.025676086131341</v>
      </c>
      <c r="AM228" s="8">
        <v>0.62912664527542617</v>
      </c>
      <c r="AN228" s="8">
        <v>81.955150542969662</v>
      </c>
      <c r="AO228" s="8">
        <v>71.395607690100746</v>
      </c>
      <c r="AP228" s="8">
        <v>35.929644257947579</v>
      </c>
      <c r="AQ228" s="8">
        <v>24.760237593224119</v>
      </c>
      <c r="AR228" s="8">
        <v>0.58497867874454956</v>
      </c>
      <c r="AS228" s="8">
        <v>81.698191547690911</v>
      </c>
      <c r="AT228" s="8">
        <v>65.758718146166089</v>
      </c>
      <c r="AU228" s="8">
        <v>33.400761251831263</v>
      </c>
      <c r="AV228" s="8">
        <v>22.812367869786119</v>
      </c>
      <c r="AW228" s="8">
        <v>0.54809242999928653</v>
      </c>
      <c r="AX228" s="8">
        <v>76.60969163247357</v>
      </c>
      <c r="AY228" s="8">
        <v>62.534035556267177</v>
      </c>
      <c r="AZ228" s="8">
        <v>37.499778318261129</v>
      </c>
      <c r="BA228" s="8">
        <v>25.802421676533829</v>
      </c>
      <c r="BB228" s="8">
        <v>0.61502194206456184</v>
      </c>
      <c r="BC228" s="8">
        <v>81.312361403576972</v>
      </c>
      <c r="BD228" s="8">
        <v>70.398135299380826</v>
      </c>
      <c r="BE228" s="8">
        <v>33.891169328508312</v>
      </c>
      <c r="BF228" s="8">
        <v>26.626227052179161</v>
      </c>
      <c r="BG228" s="8">
        <v>0.64982647531369842</v>
      </c>
      <c r="BH228" s="8">
        <v>71.984700142592132</v>
      </c>
      <c r="BI228" s="8">
        <v>68.734096221494411</v>
      </c>
    </row>
    <row r="229" spans="1:61" x14ac:dyDescent="0.15">
      <c r="A229" s="7">
        <v>2022</v>
      </c>
      <c r="B229" s="7">
        <v>102</v>
      </c>
      <c r="C229" s="7">
        <v>88.208005603155058</v>
      </c>
      <c r="D229" s="7">
        <v>31.625623362281075</v>
      </c>
      <c r="E229" s="8">
        <v>27.600812581748649</v>
      </c>
      <c r="F229" s="8">
        <v>19.650689602980229</v>
      </c>
      <c r="G229" s="8">
        <v>0.5755520054317097</v>
      </c>
      <c r="H229" s="8">
        <v>63.965230534832102</v>
      </c>
      <c r="I229" s="8">
        <v>37.907320361105192</v>
      </c>
      <c r="J229" s="8">
        <v>33.475556985929359</v>
      </c>
      <c r="K229" s="8">
        <v>19.297311570688851</v>
      </c>
      <c r="L229" s="8">
        <v>0.56895279408242805</v>
      </c>
      <c r="M229" s="8">
        <v>70.427462585403418</v>
      </c>
      <c r="N229" s="8">
        <v>46.777808330942086</v>
      </c>
      <c r="O229" s="8">
        <v>289.827</v>
      </c>
      <c r="P229" s="8">
        <v>283.04500000000002</v>
      </c>
      <c r="Q229" s="8">
        <v>100.387</v>
      </c>
      <c r="R229" s="8">
        <v>-0.45080100000000001</v>
      </c>
      <c r="S229" s="8">
        <v>-7.0810899999999996E-2</v>
      </c>
      <c r="T229" s="7">
        <f>C229-D229</f>
        <v>56.582382240873983</v>
      </c>
      <c r="U229" s="8">
        <f>D229/C229</f>
        <v>0.35853461537905895</v>
      </c>
      <c r="V229" s="8">
        <v>24.970844465539081</v>
      </c>
      <c r="W229" s="8">
        <v>23.400064169558608</v>
      </c>
      <c r="X229" s="8">
        <v>0.59720686334273065</v>
      </c>
      <c r="Y229" s="8">
        <v>53.196489190332287</v>
      </c>
      <c r="Z229" s="8">
        <v>44.94622913721188</v>
      </c>
      <c r="AA229" s="7">
        <v>29.22320072573422</v>
      </c>
      <c r="AB229" s="7">
        <v>21.348687870123729</v>
      </c>
      <c r="AC229" s="7">
        <v>0.58307982871257935</v>
      </c>
      <c r="AD229" s="7">
        <v>61.811975887867852</v>
      </c>
      <c r="AE229" s="7">
        <v>45.862018734076983</v>
      </c>
      <c r="AF229" s="8">
        <v>33.701778463571159</v>
      </c>
      <c r="AG229" s="8">
        <v>18.46272001344521</v>
      </c>
      <c r="AH229" s="8">
        <v>0.54832222224384342</v>
      </c>
      <c r="AI229" s="8">
        <v>72.268213269599215</v>
      </c>
      <c r="AJ229" s="8">
        <v>46.104230477715568</v>
      </c>
      <c r="AK229" s="8">
        <v>33.438367379854633</v>
      </c>
      <c r="AL229" s="8">
        <v>19.434513977687239</v>
      </c>
      <c r="AM229" s="8">
        <v>0.57234435021481356</v>
      </c>
      <c r="AN229" s="8">
        <v>70.124852976710898</v>
      </c>
      <c r="AO229" s="8">
        <v>46.888540942554783</v>
      </c>
      <c r="AP229" s="8">
        <v>28.63868890098237</v>
      </c>
      <c r="AQ229" s="8">
        <v>21.829419653234439</v>
      </c>
      <c r="AR229" s="8">
        <v>0.5849127976848062</v>
      </c>
      <c r="AS229" s="8">
        <v>60.2474672775651</v>
      </c>
      <c r="AT229" s="8">
        <v>46.368536725198013</v>
      </c>
      <c r="AU229" s="8">
        <v>25.342532394256999</v>
      </c>
      <c r="AV229" s="8">
        <v>15.825440382447789</v>
      </c>
      <c r="AW229" s="8">
        <v>0.43600020284502161</v>
      </c>
      <c r="AX229" s="8">
        <v>68.641858636265979</v>
      </c>
      <c r="AY229" s="8">
        <v>37.512415691558473</v>
      </c>
      <c r="AZ229" s="8">
        <v>32.582626101752567</v>
      </c>
      <c r="BA229" s="8">
        <v>19.218293621209021</v>
      </c>
      <c r="BB229" s="8">
        <v>0.55697955153554979</v>
      </c>
      <c r="BC229" s="8">
        <v>69.960353937728684</v>
      </c>
      <c r="BD229" s="8">
        <v>46.252551064534508</v>
      </c>
      <c r="BE229" s="8">
        <v>36.533373436969953</v>
      </c>
      <c r="BF229" s="8">
        <v>25.617096083938371</v>
      </c>
      <c r="BG229" s="8">
        <v>0.68100155388893779</v>
      </c>
      <c r="BH229" s="8">
        <v>67.290671640828592</v>
      </c>
      <c r="BI229" s="8">
        <v>73.304891401849744</v>
      </c>
    </row>
    <row r="230" spans="1:61" x14ac:dyDescent="0.15">
      <c r="A230" s="7">
        <v>2023</v>
      </c>
      <c r="B230" s="7">
        <v>3</v>
      </c>
      <c r="C230" s="9">
        <v>24.705801837159076</v>
      </c>
      <c r="D230" s="7">
        <v>19.837988142521013</v>
      </c>
      <c r="E230" s="8">
        <v>18.642698941507149</v>
      </c>
      <c r="F230" s="8">
        <v>19.569434759419771</v>
      </c>
      <c r="G230" s="8">
        <v>0.57568542397428102</v>
      </c>
      <c r="H230" s="8">
        <v>63.980216058642661</v>
      </c>
      <c r="I230" s="8">
        <v>34.189510084733612</v>
      </c>
      <c r="J230" s="8">
        <v>18.66511562983791</v>
      </c>
      <c r="K230" s="8">
        <v>22.676585723111209</v>
      </c>
      <c r="L230" s="8">
        <v>0.53961097974500205</v>
      </c>
      <c r="M230" s="8">
        <v>63.783302407371693</v>
      </c>
      <c r="N230" s="8">
        <v>34.903673215852123</v>
      </c>
      <c r="O230" s="7">
        <v>296.64100000000002</v>
      </c>
      <c r="P230" s="7">
        <v>292.41899999999998</v>
      </c>
      <c r="Q230" s="7">
        <v>100.57599999999999</v>
      </c>
      <c r="R230" s="7">
        <v>-1.2550699999999999</v>
      </c>
      <c r="S230" s="7">
        <v>-0.19565299999999999</v>
      </c>
      <c r="T230" s="7">
        <f>C230-D230</f>
        <v>4.8678136946380626</v>
      </c>
      <c r="U230" s="8">
        <f>D230/C230</f>
        <v>0.80296880357404288</v>
      </c>
      <c r="V230" s="8">
        <v>18.317674996904511</v>
      </c>
      <c r="W230" s="8">
        <v>17.847953117112368</v>
      </c>
      <c r="X230" s="8">
        <v>0.56812096361595643</v>
      </c>
      <c r="Y230" s="8">
        <v>62.8597454265077</v>
      </c>
      <c r="Z230" s="8">
        <v>33.544211936281911</v>
      </c>
      <c r="AA230" s="7">
        <v>18.491395313371211</v>
      </c>
      <c r="AB230" s="7">
        <v>20.262269420111789</v>
      </c>
      <c r="AC230" s="7">
        <v>0.55386597168047924</v>
      </c>
      <c r="AD230" s="7">
        <v>63.321523916939697</v>
      </c>
      <c r="AE230" s="7">
        <v>34.223942576067017</v>
      </c>
      <c r="AF230" s="8">
        <v>18.967518499313549</v>
      </c>
      <c r="AG230" s="8">
        <v>23.041114555787502</v>
      </c>
      <c r="AH230" s="8">
        <v>0.54189211148521443</v>
      </c>
      <c r="AI230" s="8">
        <v>63.557317500968807</v>
      </c>
      <c r="AJ230" s="8">
        <v>35.231325574764753</v>
      </c>
      <c r="AK230" s="8">
        <v>18.62823478328961</v>
      </c>
      <c r="AL230" s="8">
        <v>22.632128036702081</v>
      </c>
      <c r="AM230" s="8">
        <v>0.53933277448255501</v>
      </c>
      <c r="AN230" s="8">
        <v>63.810863371557403</v>
      </c>
      <c r="AO230" s="8">
        <v>34.863712958890261</v>
      </c>
      <c r="AP230" s="8">
        <v>19.270318373389831</v>
      </c>
      <c r="AQ230" s="8">
        <v>21.774473214963979</v>
      </c>
      <c r="AR230" s="8">
        <v>0.55202756657057694</v>
      </c>
      <c r="AS230" s="8">
        <v>64.159049875468767</v>
      </c>
      <c r="AT230" s="8">
        <v>35.721763997225253</v>
      </c>
      <c r="AU230" s="8">
        <v>18.391815479602929</v>
      </c>
      <c r="AV230" s="8">
        <v>17.446937848463669</v>
      </c>
      <c r="AW230" s="8">
        <v>0.54717147112437736</v>
      </c>
      <c r="AX230" s="8">
        <v>65.908168389493852</v>
      </c>
      <c r="AY230" s="8">
        <v>33.817570152849108</v>
      </c>
      <c r="AZ230" s="8">
        <v>18.72313240225219</v>
      </c>
      <c r="BA230" s="8">
        <v>21.383779046870309</v>
      </c>
      <c r="BB230" s="8">
        <v>0.53431909297003188</v>
      </c>
      <c r="BC230" s="8">
        <v>63.797100470138929</v>
      </c>
      <c r="BD230" s="8">
        <v>34.877539675228377</v>
      </c>
      <c r="BE230" s="8">
        <v>18.005713384413038</v>
      </c>
      <c r="BF230" s="8">
        <v>15.48382750153552</v>
      </c>
      <c r="BG230" s="8">
        <v>0.55020916210640458</v>
      </c>
      <c r="BH230" s="8">
        <v>66.636131388846792</v>
      </c>
      <c r="BI230" s="8">
        <v>32.934404116063092</v>
      </c>
    </row>
    <row r="231" spans="1:61" x14ac:dyDescent="0.15">
      <c r="A231" s="7">
        <v>2020</v>
      </c>
      <c r="B231" s="7">
        <v>30</v>
      </c>
      <c r="C231" s="7">
        <v>259.92234031330287</v>
      </c>
      <c r="D231" s="7">
        <v>94.035925782087645</v>
      </c>
      <c r="E231" s="8">
        <v>21.2371496266347</v>
      </c>
      <c r="F231" s="8">
        <v>22.9815988988932</v>
      </c>
      <c r="G231" s="8">
        <v>0.57571509396640108</v>
      </c>
      <c r="H231" s="8">
        <v>63.60052040012426</v>
      </c>
      <c r="I231" s="8">
        <v>31.973005971959289</v>
      </c>
      <c r="J231" s="8">
        <v>22.095664305691521</v>
      </c>
      <c r="K231" s="8">
        <v>23.923426456624739</v>
      </c>
      <c r="L231" s="8">
        <v>0.6183400207220181</v>
      </c>
      <c r="M231" s="8">
        <v>61.980973719517891</v>
      </c>
      <c r="N231" s="8">
        <v>37.195975225143783</v>
      </c>
      <c r="O231" s="8">
        <v>291.82600000000002</v>
      </c>
      <c r="P231" s="8">
        <v>287.62400000000002</v>
      </c>
      <c r="Q231" s="8">
        <v>97.736500000000007</v>
      </c>
      <c r="R231" s="8">
        <v>-0.44820500000000002</v>
      </c>
      <c r="S231" s="8">
        <v>-0.59655000000000002</v>
      </c>
      <c r="T231" s="7">
        <f>C231-D231</f>
        <v>165.88641453121522</v>
      </c>
      <c r="U231" s="8">
        <f>D231/C231</f>
        <v>0.36178469949423919</v>
      </c>
      <c r="V231" s="8">
        <v>21.161969375263922</v>
      </c>
      <c r="W231" s="8">
        <v>22.798953419822659</v>
      </c>
      <c r="X231" s="8">
        <v>0.58964874921720589</v>
      </c>
      <c r="Y231" s="8">
        <v>64.459027312545146</v>
      </c>
      <c r="Z231" s="8">
        <v>30.347655319752661</v>
      </c>
      <c r="AA231" s="7">
        <v>21.628816840477722</v>
      </c>
      <c r="AB231" s="7">
        <v>23.361189938223699</v>
      </c>
      <c r="AC231" s="7">
        <v>0.603994384969612</v>
      </c>
      <c r="AD231" s="7">
        <v>63.220000516031519</v>
      </c>
      <c r="AE231" s="7">
        <v>33.771815272448222</v>
      </c>
      <c r="AF231" s="8">
        <v>22.93469989974334</v>
      </c>
      <c r="AG231" s="8">
        <v>25.86138512236257</v>
      </c>
      <c r="AH231" s="8">
        <v>0.64335949819021532</v>
      </c>
      <c r="AI231" s="8">
        <v>60.810241781395298</v>
      </c>
      <c r="AJ231" s="8">
        <v>37.39803320819739</v>
      </c>
      <c r="AK231" s="8">
        <v>21.993334174535491</v>
      </c>
      <c r="AL231" s="8">
        <v>23.687069899351371</v>
      </c>
      <c r="AM231" s="8">
        <v>0.6152886049907591</v>
      </c>
      <c r="AN231" s="8">
        <v>62.123758070534628</v>
      </c>
      <c r="AO231" s="8">
        <v>37.171331908395871</v>
      </c>
      <c r="AP231" s="8">
        <v>22.289068637696079</v>
      </c>
      <c r="AQ231" s="8">
        <v>25.091855184689379</v>
      </c>
      <c r="AR231" s="8">
        <v>0.62007268467696952</v>
      </c>
      <c r="AS231" s="8">
        <v>60.12927312164075</v>
      </c>
      <c r="AT231" s="8">
        <v>36.497355287756562</v>
      </c>
      <c r="AU231" s="8">
        <v>22.820827798420691</v>
      </c>
      <c r="AV231" s="8">
        <v>22.131711543650301</v>
      </c>
      <c r="AW231" s="8">
        <v>0.62592419364108387</v>
      </c>
      <c r="AX231" s="8">
        <v>63.151780169969562</v>
      </c>
      <c r="AY231" s="8">
        <v>36.286135462948707</v>
      </c>
      <c r="AZ231" s="8">
        <v>22.21554177727802</v>
      </c>
      <c r="BA231" s="8">
        <v>22.946315809196278</v>
      </c>
      <c r="BB231" s="8">
        <v>0.61886821546447102</v>
      </c>
      <c r="BC231" s="8">
        <v>63.312043116082982</v>
      </c>
      <c r="BD231" s="8">
        <v>40.127281638818033</v>
      </c>
      <c r="BE231" s="8">
        <v>23.08212165575468</v>
      </c>
      <c r="BF231" s="8">
        <v>23.076054869118391</v>
      </c>
      <c r="BG231" s="8">
        <v>0.66373784101333466</v>
      </c>
      <c r="BH231" s="8">
        <v>60.89415988553489</v>
      </c>
      <c r="BI231" s="8">
        <v>35.781365712849833</v>
      </c>
    </row>
    <row r="232" spans="1:61" x14ac:dyDescent="0.15">
      <c r="A232" s="7">
        <v>2022</v>
      </c>
      <c r="B232" s="7">
        <v>26</v>
      </c>
      <c r="C232" s="7">
        <v>75.765549094573728</v>
      </c>
      <c r="D232" s="7">
        <v>25.035903952336724</v>
      </c>
      <c r="E232" s="8">
        <v>27.45252323505677</v>
      </c>
      <c r="F232" s="8">
        <v>23.193349368628329</v>
      </c>
      <c r="G232" s="8">
        <v>0.57609707617670691</v>
      </c>
      <c r="H232" s="8">
        <v>68.966120403982245</v>
      </c>
      <c r="I232" s="8">
        <v>43.132366607713926</v>
      </c>
      <c r="J232" s="8">
        <v>32.357532623519461</v>
      </c>
      <c r="K232" s="8">
        <v>22.128584747001991</v>
      </c>
      <c r="L232" s="8">
        <v>0.65492108963998563</v>
      </c>
      <c r="M232" s="8">
        <v>78.39848085018474</v>
      </c>
      <c r="N232" s="8">
        <v>53.430334752961912</v>
      </c>
      <c r="O232" s="8">
        <v>286.28699999999998</v>
      </c>
      <c r="P232" s="8">
        <v>280.51499999999999</v>
      </c>
      <c r="Q232" s="8">
        <v>101.279</v>
      </c>
      <c r="R232" s="8">
        <v>0.47179599999999999</v>
      </c>
      <c r="S232" s="8">
        <v>-0.10715</v>
      </c>
      <c r="T232" s="7">
        <f>C232-D232</f>
        <v>50.729645142237004</v>
      </c>
      <c r="U232" s="8">
        <f>D232/C232</f>
        <v>0.3304391540947702</v>
      </c>
      <c r="V232" s="8">
        <v>31.610496560339278</v>
      </c>
      <c r="W232" s="8">
        <v>24.022091908731046</v>
      </c>
      <c r="X232" s="8">
        <v>0.63533465502014075</v>
      </c>
      <c r="Y232" s="8">
        <v>67.201729836922794</v>
      </c>
      <c r="Z232" s="8">
        <v>50.799019739922386</v>
      </c>
      <c r="AA232" s="7">
        <v>31.98401459192937</v>
      </c>
      <c r="AB232" s="7">
        <v>23.075338327866518</v>
      </c>
      <c r="AC232" s="7">
        <v>0.64512787233006319</v>
      </c>
      <c r="AD232" s="7">
        <v>72.800105343553767</v>
      </c>
      <c r="AE232" s="7">
        <v>52.114677246442149</v>
      </c>
      <c r="AF232" s="8">
        <v>28.600420998946252</v>
      </c>
      <c r="AG232" s="8">
        <v>21.237162034135469</v>
      </c>
      <c r="AH232" s="8">
        <v>0.64232284635216141</v>
      </c>
      <c r="AI232" s="8">
        <v>80.09060243247896</v>
      </c>
      <c r="AJ232" s="8">
        <v>44.569106845427783</v>
      </c>
      <c r="AK232" s="8">
        <v>32.637696727876047</v>
      </c>
      <c r="AL232" s="8">
        <v>22.19505725857708</v>
      </c>
      <c r="AM232" s="8">
        <v>0.65586052820340612</v>
      </c>
      <c r="AN232" s="8">
        <v>78.272301014465938</v>
      </c>
      <c r="AO232" s="8">
        <v>54.091107769120541</v>
      </c>
      <c r="AP232" s="8">
        <v>32.416026804938753</v>
      </c>
      <c r="AQ232" s="8">
        <v>22.78791093623337</v>
      </c>
      <c r="AR232" s="8">
        <v>0.64263112637010877</v>
      </c>
      <c r="AS232" s="8">
        <v>72.108681557555911</v>
      </c>
      <c r="AT232" s="8">
        <v>51.851976697328453</v>
      </c>
      <c r="AU232" s="8">
        <v>34.41941882453947</v>
      </c>
      <c r="AV232" s="8">
        <v>23.16631215489274</v>
      </c>
      <c r="AW232" s="8">
        <v>0.6394302542028989</v>
      </c>
      <c r="AX232" s="8">
        <v>71.147361621850848</v>
      </c>
      <c r="AY232" s="8">
        <v>57.94525165129393</v>
      </c>
      <c r="AZ232" s="8">
        <v>34.411183151802398</v>
      </c>
      <c r="BA232" s="8">
        <v>22.248267204047391</v>
      </c>
      <c r="BB232" s="8">
        <v>0.65593031838436722</v>
      </c>
      <c r="BC232" s="8">
        <v>79.453731843053305</v>
      </c>
      <c r="BD232" s="8">
        <v>59.945585326070663</v>
      </c>
      <c r="BE232" s="8">
        <v>37.870974841212913</v>
      </c>
      <c r="BF232" s="8">
        <v>27.57312614146139</v>
      </c>
      <c r="BG232" s="8">
        <v>0.68912510552075301</v>
      </c>
      <c r="BH232" s="8">
        <v>70.814093615178137</v>
      </c>
      <c r="BI232" s="8">
        <v>71.424551999675742</v>
      </c>
    </row>
    <row r="233" spans="1:61" x14ac:dyDescent="0.15">
      <c r="A233" s="7">
        <v>2023</v>
      </c>
      <c r="B233" s="7">
        <v>9</v>
      </c>
      <c r="C233" s="9">
        <v>348.45009676839123</v>
      </c>
      <c r="D233" s="7">
        <v>269.20228527034368</v>
      </c>
      <c r="E233" s="8">
        <v>20.223067118045471</v>
      </c>
      <c r="F233" s="8">
        <v>17.70548142912665</v>
      </c>
      <c r="G233" s="8">
        <v>0.57711298362777042</v>
      </c>
      <c r="H233" s="8">
        <v>63.893654617135802</v>
      </c>
      <c r="I233" s="8">
        <v>35.686287710745368</v>
      </c>
      <c r="J233" s="8">
        <v>22.041862301983979</v>
      </c>
      <c r="K233" s="8">
        <v>29.522011748931838</v>
      </c>
      <c r="L233" s="8">
        <v>0.5594486104339218</v>
      </c>
      <c r="M233" s="8">
        <v>66.803302660039918</v>
      </c>
      <c r="N233" s="8">
        <v>42.454775727378653</v>
      </c>
      <c r="O233" s="7">
        <v>290.77199999999999</v>
      </c>
      <c r="P233" s="7">
        <v>285.51799999999997</v>
      </c>
      <c r="Q233" s="7">
        <v>98.427899999999994</v>
      </c>
      <c r="R233" s="7">
        <v>-0.3982</v>
      </c>
      <c r="S233" s="7">
        <v>-0.29647499999999999</v>
      </c>
      <c r="T233" s="7">
        <f>C233-D233</f>
        <v>79.247811498047554</v>
      </c>
      <c r="U233" s="8">
        <f>D233/C233</f>
        <v>0.77257055677983577</v>
      </c>
      <c r="V233" s="8">
        <v>19.028262226066939</v>
      </c>
      <c r="W233" s="8">
        <v>12.0356788391816</v>
      </c>
      <c r="X233" s="8">
        <v>0.58693243988264809</v>
      </c>
      <c r="Y233" s="8">
        <v>63.131926448465066</v>
      </c>
      <c r="Z233" s="8">
        <v>32.19830582432548</v>
      </c>
      <c r="AA233" s="7">
        <v>20.535062264025459</v>
      </c>
      <c r="AB233" s="7">
        <v>20.778845294056719</v>
      </c>
      <c r="AC233" s="7">
        <v>0.57319052515828495</v>
      </c>
      <c r="AD233" s="7">
        <v>64.967614554252492</v>
      </c>
      <c r="AE233" s="7">
        <v>37.326540775852067</v>
      </c>
      <c r="AF233" s="8">
        <v>22.372677452311748</v>
      </c>
      <c r="AG233" s="8">
        <v>29.44798025346293</v>
      </c>
      <c r="AH233" s="8">
        <v>0.56734660312633711</v>
      </c>
      <c r="AI233" s="8">
        <v>66.54949317173417</v>
      </c>
      <c r="AJ233" s="8">
        <v>42.979158734373449</v>
      </c>
      <c r="AK233" s="8">
        <v>22.014186912881328</v>
      </c>
      <c r="AL233" s="8">
        <v>29.528205088145381</v>
      </c>
      <c r="AM233" s="8">
        <v>0.55878787884204684</v>
      </c>
      <c r="AN233" s="8">
        <v>66.824535896606761</v>
      </c>
      <c r="AO233" s="8">
        <v>42.410906806191022</v>
      </c>
      <c r="AP233" s="8">
        <v>21.370071546900949</v>
      </c>
      <c r="AQ233" s="8">
        <v>26.45820754409807</v>
      </c>
      <c r="AR233" s="8">
        <v>0.52634540945984154</v>
      </c>
      <c r="AS233" s="8">
        <v>72.209803788054046</v>
      </c>
      <c r="AT233" s="8">
        <v>41.819551445373371</v>
      </c>
      <c r="AU233" s="8">
        <v>18.926299285295912</v>
      </c>
      <c r="AV233" s="8">
        <v>17.798635285706709</v>
      </c>
      <c r="AW233" s="8">
        <v>0.50601458114735476</v>
      </c>
      <c r="AX233" s="8">
        <v>61.317236407503891</v>
      </c>
      <c r="AY233" s="8">
        <v>36.712602120040543</v>
      </c>
      <c r="AZ233" s="8">
        <v>22.155210400217531</v>
      </c>
      <c r="BA233" s="8">
        <v>31.236004362652292</v>
      </c>
      <c r="BB233" s="8">
        <v>0.57289018913629819</v>
      </c>
      <c r="BC233" s="8">
        <v>65.087077713581337</v>
      </c>
      <c r="BD233" s="8">
        <v>42.770659864558567</v>
      </c>
      <c r="BE233" s="8">
        <v>30.972329103631399</v>
      </c>
      <c r="BF233" s="8">
        <v>30.398953784510841</v>
      </c>
      <c r="BG233" s="8">
        <v>0.65149787042565899</v>
      </c>
      <c r="BH233" s="8">
        <v>62.565561974282978</v>
      </c>
      <c r="BI233" s="8">
        <v>67.644736809198292</v>
      </c>
    </row>
    <row r="234" spans="1:61" x14ac:dyDescent="0.15">
      <c r="A234" s="7">
        <v>2020</v>
      </c>
      <c r="B234" s="7">
        <v>100</v>
      </c>
      <c r="C234" s="7">
        <v>44.208734706782771</v>
      </c>
      <c r="D234" s="7">
        <v>29.445863459952513</v>
      </c>
      <c r="E234" s="8">
        <v>20.175333000291221</v>
      </c>
      <c r="F234" s="8">
        <v>14.23609610566487</v>
      </c>
      <c r="G234" s="8">
        <v>0.57725619032391418</v>
      </c>
      <c r="H234" s="8">
        <v>69.333710961117021</v>
      </c>
      <c r="I234" s="8">
        <v>30.78848618061922</v>
      </c>
      <c r="J234" s="8">
        <v>27.03878895146828</v>
      </c>
      <c r="K234" s="8">
        <v>18.906552425502639</v>
      </c>
      <c r="L234" s="8">
        <v>0.6463227083711125</v>
      </c>
      <c r="M234" s="8">
        <v>61.659420123113712</v>
      </c>
      <c r="N234" s="8">
        <v>42.728335958925143</v>
      </c>
      <c r="O234" s="8">
        <v>292.14</v>
      </c>
      <c r="P234" s="8">
        <v>287.50200000000001</v>
      </c>
      <c r="Q234" s="8">
        <v>99.332700000000003</v>
      </c>
      <c r="R234" s="8">
        <v>-0.38248799999999999</v>
      </c>
      <c r="S234" s="8">
        <v>-0.55966499999999997</v>
      </c>
      <c r="T234" s="7">
        <f>C234-D234</f>
        <v>14.762871246830258</v>
      </c>
      <c r="U234" s="8">
        <f>D234/C234</f>
        <v>0.66606437970356003</v>
      </c>
      <c r="V234" s="8">
        <v>19.511633591053457</v>
      </c>
      <c r="W234" s="8">
        <v>13.617929304289483</v>
      </c>
      <c r="X234" s="8">
        <v>0.60009223249304378</v>
      </c>
      <c r="Y234" s="8">
        <v>69.83523052046354</v>
      </c>
      <c r="Z234" s="8">
        <v>28.177550369031778</v>
      </c>
      <c r="AA234" s="7">
        <v>23.275211271260869</v>
      </c>
      <c r="AB234" s="7">
        <v>16.262240864896061</v>
      </c>
      <c r="AC234" s="7">
        <v>0.62320747043207814</v>
      </c>
      <c r="AD234" s="7">
        <v>65.747325321788622</v>
      </c>
      <c r="AE234" s="7">
        <v>35.45294316397846</v>
      </c>
      <c r="AF234" s="8">
        <v>26.713272314908469</v>
      </c>
      <c r="AG234" s="8">
        <v>18.942657044612929</v>
      </c>
      <c r="AH234" s="8">
        <v>0.66280273610621332</v>
      </c>
      <c r="AI234" s="8">
        <v>60.794279348534182</v>
      </c>
      <c r="AJ234" s="8">
        <v>41.555276720386217</v>
      </c>
      <c r="AK234" s="8">
        <v>27.07903651930673</v>
      </c>
      <c r="AL234" s="8">
        <v>18.902088373765451</v>
      </c>
      <c r="AM234" s="8">
        <v>0.64428508276383767</v>
      </c>
      <c r="AN234" s="8">
        <v>61.766387964704542</v>
      </c>
      <c r="AO234" s="8">
        <v>42.873375492942813</v>
      </c>
      <c r="AP234" s="8">
        <v>27.499646809521039</v>
      </c>
      <c r="AQ234" s="8">
        <v>18.804025694037961</v>
      </c>
      <c r="AR234" s="8">
        <v>0.67511698234772433</v>
      </c>
      <c r="AS234" s="8">
        <v>60.551421539571649</v>
      </c>
      <c r="AT234" s="8">
        <v>41.873405308717082</v>
      </c>
      <c r="AU234" s="8">
        <v>25.50629772853787</v>
      </c>
      <c r="AV234" s="8">
        <v>17.715337636495871</v>
      </c>
      <c r="AW234" s="8">
        <v>0.54845532628670479</v>
      </c>
      <c r="AX234" s="8">
        <v>61.580054309956317</v>
      </c>
      <c r="AY234" s="8">
        <v>40.671209871831167</v>
      </c>
      <c r="AZ234" s="8">
        <v>28.41452073615628</v>
      </c>
      <c r="BA234" s="8">
        <v>20.260281518372551</v>
      </c>
      <c r="BB234" s="8">
        <v>0.64431420981474397</v>
      </c>
      <c r="BC234" s="8">
        <v>59.97493056276695</v>
      </c>
      <c r="BD234" s="8">
        <v>45.494130491692601</v>
      </c>
      <c r="BE234" s="8">
        <v>35.37031619996408</v>
      </c>
      <c r="BF234" s="8">
        <v>27.69816470088346</v>
      </c>
      <c r="BG234" s="8">
        <v>0.6198100152682301</v>
      </c>
      <c r="BH234" s="8">
        <v>63.242029921238647</v>
      </c>
      <c r="BI234" s="8">
        <v>56.691900919879082</v>
      </c>
    </row>
    <row r="235" spans="1:61" x14ac:dyDescent="0.15">
      <c r="A235" s="7">
        <v>2023</v>
      </c>
      <c r="B235" s="7">
        <v>26</v>
      </c>
      <c r="C235" s="9">
        <v>205.9522847953051</v>
      </c>
      <c r="D235" s="7">
        <v>158.90439424653442</v>
      </c>
      <c r="E235" s="8">
        <v>32.357971623722847</v>
      </c>
      <c r="F235" s="8">
        <v>27.593146086997429</v>
      </c>
      <c r="G235" s="8">
        <v>0.57760802709949166</v>
      </c>
      <c r="H235" s="8">
        <v>78.373103493950893</v>
      </c>
      <c r="I235" s="8">
        <v>57.253657227339943</v>
      </c>
      <c r="J235" s="8">
        <v>30.620977745836068</v>
      </c>
      <c r="K235" s="8">
        <v>27.501773863955119</v>
      </c>
      <c r="L235" s="8">
        <v>0.58054424668107318</v>
      </c>
      <c r="M235" s="8">
        <v>80.945774459840621</v>
      </c>
      <c r="N235" s="8">
        <v>54.780794884052312</v>
      </c>
      <c r="O235" s="7">
        <v>286.94200000000001</v>
      </c>
      <c r="P235" s="7">
        <v>280.79599999999999</v>
      </c>
      <c r="Q235" s="7">
        <v>101.24</v>
      </c>
      <c r="R235" s="7">
        <v>0.417597</v>
      </c>
      <c r="S235" s="7">
        <v>-0.20217299999999999</v>
      </c>
      <c r="T235" s="7">
        <f>C235-D235</f>
        <v>47.047890548770681</v>
      </c>
      <c r="U235" s="8">
        <f>D235/C235</f>
        <v>0.77155926871347247</v>
      </c>
      <c r="V235" s="8">
        <v>29.431877678098633</v>
      </c>
      <c r="W235" s="8">
        <v>26.093300040611762</v>
      </c>
      <c r="X235" s="8">
        <v>0.52196993647541723</v>
      </c>
      <c r="Y235" s="8">
        <v>78.459937301424489</v>
      </c>
      <c r="Z235" s="8">
        <v>56.053855700691813</v>
      </c>
      <c r="AA235" s="7">
        <v>30.026427711967351</v>
      </c>
      <c r="AB235" s="7">
        <v>26.797536952283441</v>
      </c>
      <c r="AC235" s="7">
        <v>0.55125709157824521</v>
      </c>
      <c r="AD235" s="7">
        <v>79.702855880632555</v>
      </c>
      <c r="AE235" s="7">
        <v>55.417325292372063</v>
      </c>
      <c r="AF235" s="8">
        <v>31.392051331304199</v>
      </c>
      <c r="AG235" s="8">
        <v>28.151007190128951</v>
      </c>
      <c r="AH235" s="8">
        <v>0.62171598139541673</v>
      </c>
      <c r="AI235" s="8">
        <v>81.211536164819364</v>
      </c>
      <c r="AJ235" s="8">
        <v>54.262656208958617</v>
      </c>
      <c r="AK235" s="8">
        <v>30.567688499838919</v>
      </c>
      <c r="AL235" s="8">
        <v>27.456905053662499</v>
      </c>
      <c r="AM235" s="8">
        <v>0.57769884937960847</v>
      </c>
      <c r="AN235" s="8">
        <v>80.927407547602726</v>
      </c>
      <c r="AO235" s="8">
        <v>54.816603683417362</v>
      </c>
      <c r="AP235" s="8">
        <v>28.855537046699421</v>
      </c>
      <c r="AQ235" s="8">
        <v>26.697420747112261</v>
      </c>
      <c r="AR235" s="8">
        <v>0.5339035152977416</v>
      </c>
      <c r="AS235" s="8">
        <v>80.677182680459168</v>
      </c>
      <c r="AT235" s="8">
        <v>53.872302699941457</v>
      </c>
      <c r="AU235" s="8">
        <v>27.988033658590322</v>
      </c>
      <c r="AV235" s="8">
        <v>24.863082401806022</v>
      </c>
      <c r="AW235" s="8">
        <v>0.51208205429324238</v>
      </c>
      <c r="AX235" s="8">
        <v>77.766108773279797</v>
      </c>
      <c r="AY235" s="8">
        <v>55.652810583321383</v>
      </c>
      <c r="AZ235" s="8">
        <v>31.254745911441269</v>
      </c>
      <c r="BA235" s="8">
        <v>27.371564964554729</v>
      </c>
      <c r="BB235" s="8">
        <v>0.59035060614154222</v>
      </c>
      <c r="BC235" s="8">
        <v>79.30324511202987</v>
      </c>
      <c r="BD235" s="8">
        <v>56.458233606159958</v>
      </c>
      <c r="BE235" s="8">
        <v>28.922066169087419</v>
      </c>
      <c r="BF235" s="8">
        <v>27.084032836238631</v>
      </c>
      <c r="BG235" s="8">
        <v>0.61086239138359633</v>
      </c>
      <c r="BH235" s="8">
        <v>72.065548699429598</v>
      </c>
      <c r="BI235" s="8">
        <v>58.729657752689398</v>
      </c>
    </row>
    <row r="236" spans="1:61" x14ac:dyDescent="0.15">
      <c r="A236" s="7">
        <v>2022</v>
      </c>
      <c r="B236" s="7">
        <v>72</v>
      </c>
      <c r="C236" s="7">
        <v>46.334369076407377</v>
      </c>
      <c r="D236" s="7">
        <v>34.438428478829252</v>
      </c>
      <c r="E236" s="8">
        <v>21.09808010640786</v>
      </c>
      <c r="F236" s="8">
        <v>11.729217980883501</v>
      </c>
      <c r="G236" s="8">
        <v>0.57761391915303439</v>
      </c>
      <c r="H236" s="8">
        <v>54.059527009960853</v>
      </c>
      <c r="I236" s="8">
        <v>30.16101330908787</v>
      </c>
      <c r="J236" s="8">
        <v>26.579029347862829</v>
      </c>
      <c r="K236" s="8">
        <v>17.900926554112178</v>
      </c>
      <c r="L236" s="8">
        <v>0.58259311877200681</v>
      </c>
      <c r="M236" s="8">
        <v>52.271305465373203</v>
      </c>
      <c r="N236" s="8">
        <v>38.23820467891462</v>
      </c>
      <c r="O236" s="8">
        <v>292.38799999999998</v>
      </c>
      <c r="P236" s="8">
        <v>286.48500000000001</v>
      </c>
      <c r="Q236" s="8">
        <v>99.134799999999998</v>
      </c>
      <c r="R236" s="8">
        <v>-0.156612</v>
      </c>
      <c r="S236" s="8">
        <v>-0.75845300000000004</v>
      </c>
      <c r="T236" s="7">
        <f>C236-D236</f>
        <v>11.895940597578125</v>
      </c>
      <c r="U236" s="8">
        <f>D236/C236</f>
        <v>0.74325881986304365</v>
      </c>
      <c r="V236" s="8">
        <v>21.083353493871108</v>
      </c>
      <c r="W236" s="8">
        <v>10.760601341376322</v>
      </c>
      <c r="X236" s="8">
        <v>0.57377481398905839</v>
      </c>
      <c r="Y236" s="8">
        <v>53.117335010841757</v>
      </c>
      <c r="Z236" s="8">
        <v>27.718031401285593</v>
      </c>
      <c r="AA236" s="7">
        <v>23.831191420866968</v>
      </c>
      <c r="AB236" s="7">
        <v>14.33076394774425</v>
      </c>
      <c r="AC236" s="7">
        <v>0.5781839663805326</v>
      </c>
      <c r="AD236" s="7">
        <v>52.69432023810748</v>
      </c>
      <c r="AE236" s="7">
        <v>32.978118040100107</v>
      </c>
      <c r="AF236" s="8">
        <v>29.062318434882119</v>
      </c>
      <c r="AG236" s="8">
        <v>19.54236962005962</v>
      </c>
      <c r="AH236" s="8">
        <v>0.5940953301430284</v>
      </c>
      <c r="AI236" s="8">
        <v>53.74976909839728</v>
      </c>
      <c r="AJ236" s="8">
        <v>41.456086663544973</v>
      </c>
      <c r="AK236" s="8">
        <v>26.222008438338289</v>
      </c>
      <c r="AL236" s="8">
        <v>17.66493731733722</v>
      </c>
      <c r="AM236" s="8">
        <v>0.58093945308052886</v>
      </c>
      <c r="AN236" s="8">
        <v>52.058747679120962</v>
      </c>
      <c r="AO236" s="8">
        <v>37.775571810715483</v>
      </c>
      <c r="AP236" s="8">
        <v>26.059145298427261</v>
      </c>
      <c r="AQ236" s="8">
        <v>16.416685262582149</v>
      </c>
      <c r="AR236" s="8">
        <v>0.57126274837951752</v>
      </c>
      <c r="AS236" s="8">
        <v>51.128094512202267</v>
      </c>
      <c r="AT236" s="8">
        <v>35.032060659398873</v>
      </c>
      <c r="AU236" s="8">
        <v>22.976195111522578</v>
      </c>
      <c r="AV236" s="8">
        <v>15.74536297567357</v>
      </c>
      <c r="AW236" s="8">
        <v>0.54637176421265365</v>
      </c>
      <c r="AX236" s="8">
        <v>57.67474632252523</v>
      </c>
      <c r="AY236" s="8">
        <v>33.866690435278358</v>
      </c>
      <c r="AZ236" s="8">
        <v>26.165500597405629</v>
      </c>
      <c r="BA236" s="8">
        <v>17.7817908324499</v>
      </c>
      <c r="BB236" s="8">
        <v>0.59337835044003018</v>
      </c>
      <c r="BC236" s="8">
        <v>53.923561860054249</v>
      </c>
      <c r="BD236" s="8">
        <v>38.401923450730678</v>
      </c>
      <c r="BE236" s="8">
        <v>30.758678763541379</v>
      </c>
      <c r="BF236" s="8">
        <v>23.862468616347272</v>
      </c>
      <c r="BG236" s="8">
        <v>0.61011307499960821</v>
      </c>
      <c r="BH236" s="8">
        <v>60.263682432465643</v>
      </c>
      <c r="BI236" s="8">
        <v>52.443405908065863</v>
      </c>
    </row>
    <row r="237" spans="1:61" x14ac:dyDescent="0.15">
      <c r="A237" s="7">
        <v>2022</v>
      </c>
      <c r="B237" s="7">
        <v>116</v>
      </c>
      <c r="C237" s="7">
        <v>20.249610035805478</v>
      </c>
      <c r="D237" s="7">
        <v>17.971741391836204</v>
      </c>
      <c r="E237" s="8">
        <v>27.526671204699319</v>
      </c>
      <c r="F237" s="8">
        <v>19.76519658717223</v>
      </c>
      <c r="G237" s="8">
        <v>0.57762634764311238</v>
      </c>
      <c r="H237" s="8">
        <v>64.009864567547069</v>
      </c>
      <c r="I237" s="8">
        <v>42.146937126925948</v>
      </c>
      <c r="J237" s="8">
        <v>35.544808053876316</v>
      </c>
      <c r="K237" s="8">
        <v>20.828588859646281</v>
      </c>
      <c r="L237" s="8">
        <v>0.63140254444970845</v>
      </c>
      <c r="M237" s="8">
        <v>70.638515436127506</v>
      </c>
      <c r="N237" s="8">
        <v>58.103946202345099</v>
      </c>
      <c r="O237" s="8">
        <v>288.755</v>
      </c>
      <c r="P237" s="8">
        <v>281.15899999999999</v>
      </c>
      <c r="Q237" s="8">
        <v>97.773600000000002</v>
      </c>
      <c r="R237" s="8">
        <v>-6.5267699999999998E-2</v>
      </c>
      <c r="S237" s="8">
        <v>-0.12153899999999999</v>
      </c>
      <c r="T237" s="7">
        <f>C237-D237</f>
        <v>2.2778686439692741</v>
      </c>
      <c r="U237" s="8">
        <f>D237/C237</f>
        <v>0.88751049329139997</v>
      </c>
      <c r="V237" s="8">
        <v>30.914956942255849</v>
      </c>
      <c r="W237" s="8">
        <v>22.283431243289236</v>
      </c>
      <c r="X237" s="8">
        <v>0.5956507931452768</v>
      </c>
      <c r="Y237" s="8">
        <v>59.405412595200573</v>
      </c>
      <c r="Z237" s="8">
        <v>52.434992897679948</v>
      </c>
      <c r="AA237" s="7">
        <v>33.229882498066083</v>
      </c>
      <c r="AB237" s="7">
        <v>21.556010051467759</v>
      </c>
      <c r="AC237" s="7">
        <v>0.61352666879749262</v>
      </c>
      <c r="AD237" s="7">
        <v>65.021964015664039</v>
      </c>
      <c r="AE237" s="7">
        <v>55.269469550012523</v>
      </c>
      <c r="AF237" s="8">
        <v>33.128473250537397</v>
      </c>
      <c r="AG237" s="8">
        <v>19.397414087180611</v>
      </c>
      <c r="AH237" s="8">
        <v>0.60572106661984759</v>
      </c>
      <c r="AI237" s="8">
        <v>70.715207416093421</v>
      </c>
      <c r="AJ237" s="8">
        <v>49.193151384324381</v>
      </c>
      <c r="AK237" s="8">
        <v>35.912632436396493</v>
      </c>
      <c r="AL237" s="8">
        <v>21.04644814646084</v>
      </c>
      <c r="AM237" s="8">
        <v>0.6353118842116986</v>
      </c>
      <c r="AN237" s="8">
        <v>70.626841068760754</v>
      </c>
      <c r="AO237" s="8">
        <v>59.460383893501671</v>
      </c>
      <c r="AP237" s="8">
        <v>33.882504496311093</v>
      </c>
      <c r="AQ237" s="8">
        <v>22.230356435796821</v>
      </c>
      <c r="AR237" s="8">
        <v>0.61655611867543114</v>
      </c>
      <c r="AS237" s="8">
        <v>63.237836616477423</v>
      </c>
      <c r="AT237" s="8">
        <v>57.258660131244127</v>
      </c>
      <c r="AU237" s="8">
        <v>28.867312464261389</v>
      </c>
      <c r="AV237" s="8">
        <v>18.956865343238011</v>
      </c>
      <c r="AW237" s="8">
        <v>0.53487371263589367</v>
      </c>
      <c r="AX237" s="8">
        <v>67.434091460393006</v>
      </c>
      <c r="AY237" s="8">
        <v>50.575421071718146</v>
      </c>
      <c r="AZ237" s="8">
        <v>36.878560457532743</v>
      </c>
      <c r="BA237" s="8">
        <v>21.174118954487142</v>
      </c>
      <c r="BB237" s="8">
        <v>0.6358530805970698</v>
      </c>
      <c r="BC237" s="8">
        <v>72.253233129979364</v>
      </c>
      <c r="BD237" s="8">
        <v>63.13447352017495</v>
      </c>
      <c r="BE237" s="8">
        <v>37.171944585530873</v>
      </c>
      <c r="BF237" s="8">
        <v>30.432464658982941</v>
      </c>
      <c r="BG237" s="8">
        <v>0.60229771881338889</v>
      </c>
      <c r="BH237" s="8">
        <v>62.438976531001039</v>
      </c>
      <c r="BI237" s="8">
        <v>77.119973697202582</v>
      </c>
    </row>
    <row r="238" spans="1:61" x14ac:dyDescent="0.15">
      <c r="A238" s="7">
        <v>2022</v>
      </c>
      <c r="B238" s="7">
        <v>41</v>
      </c>
      <c r="C238" s="7">
        <v>106.48771991711544</v>
      </c>
      <c r="D238" s="7">
        <v>6.2566512442172479</v>
      </c>
      <c r="E238" s="8">
        <v>19.6662571507933</v>
      </c>
      <c r="F238" s="8">
        <v>21.994305981320341</v>
      </c>
      <c r="G238" s="8">
        <v>0.57786235883617643</v>
      </c>
      <c r="H238" s="8">
        <v>68.450676282283411</v>
      </c>
      <c r="I238" s="8">
        <v>27.20317009849893</v>
      </c>
      <c r="J238" s="8">
        <v>22.35732263039159</v>
      </c>
      <c r="K238" s="8">
        <v>28.462727739852081</v>
      </c>
      <c r="L238" s="8">
        <v>0.66819908280790297</v>
      </c>
      <c r="M238" s="8">
        <v>68.075717222616618</v>
      </c>
      <c r="N238" s="8">
        <v>32.879813144137792</v>
      </c>
      <c r="O238" s="8">
        <v>291.24099999999999</v>
      </c>
      <c r="P238" s="8">
        <v>286.40899999999999</v>
      </c>
      <c r="Q238" s="8">
        <v>101.55800000000001</v>
      </c>
      <c r="R238" s="8">
        <v>-0.86254299999999995</v>
      </c>
      <c r="S238" s="8">
        <v>-0.55586000000000002</v>
      </c>
      <c r="T238" s="7">
        <f>C238-D238</f>
        <v>100.23106867289819</v>
      </c>
      <c r="U238" s="8">
        <f>D238/C238</f>
        <v>5.8754673769774612E-2</v>
      </c>
      <c r="V238" s="8">
        <v>23.395015036996927</v>
      </c>
      <c r="W238" s="8">
        <v>25.867076712754557</v>
      </c>
      <c r="X238" s="8">
        <v>0.77403895155707048</v>
      </c>
      <c r="Y238" s="8">
        <v>68.119010128153775</v>
      </c>
      <c r="Z238" s="8">
        <v>35.906841908365188</v>
      </c>
      <c r="AA238" s="7">
        <v>22.876168833694258</v>
      </c>
      <c r="AB238" s="7">
        <v>27.164902226303319</v>
      </c>
      <c r="AC238" s="7">
        <v>0.72111901718248672</v>
      </c>
      <c r="AD238" s="7">
        <v>68.097363675385196</v>
      </c>
      <c r="AE238" s="7">
        <v>34.39332752625149</v>
      </c>
      <c r="AF238" s="8">
        <v>21.48740430909648</v>
      </c>
      <c r="AG238" s="8">
        <v>30.059623552878691</v>
      </c>
      <c r="AH238" s="8">
        <v>0.65252804225499561</v>
      </c>
      <c r="AI238" s="8">
        <v>67.7274525563124</v>
      </c>
      <c r="AJ238" s="8">
        <v>31.30648626986747</v>
      </c>
      <c r="AK238" s="8">
        <v>22.43560735787986</v>
      </c>
      <c r="AL238" s="8">
        <v>28.319021657924939</v>
      </c>
      <c r="AM238" s="8">
        <v>0.66960933375803311</v>
      </c>
      <c r="AN238" s="8">
        <v>68.10705787130513</v>
      </c>
      <c r="AO238" s="8">
        <v>33.021398236194322</v>
      </c>
      <c r="AP238" s="8">
        <v>22.502026161616371</v>
      </c>
      <c r="AQ238" s="8">
        <v>27.201463911208581</v>
      </c>
      <c r="AR238" s="8">
        <v>0.67919408028474049</v>
      </c>
      <c r="AS238" s="8">
        <v>69.002436239889846</v>
      </c>
      <c r="AT238" s="8">
        <v>32.328249949362878</v>
      </c>
      <c r="AU238" s="8">
        <v>26.610766810575029</v>
      </c>
      <c r="AV238" s="8">
        <v>30.679482888656761</v>
      </c>
      <c r="AW238" s="8">
        <v>0.51277335599329765</v>
      </c>
      <c r="AX238" s="8">
        <v>63.154709337128693</v>
      </c>
      <c r="AY238" s="8">
        <v>44.861733137004911</v>
      </c>
      <c r="AZ238" s="8">
        <v>22.993760027678071</v>
      </c>
      <c r="BA238" s="8">
        <v>27.971889934690111</v>
      </c>
      <c r="BB238" s="8">
        <v>0.66644388322625747</v>
      </c>
      <c r="BC238" s="8">
        <v>67.594281692244067</v>
      </c>
      <c r="BD238" s="8">
        <v>35.264240200282323</v>
      </c>
      <c r="BE238" s="8">
        <v>30.46559423315653</v>
      </c>
      <c r="BF238" s="8">
        <v>29.559516088026491</v>
      </c>
      <c r="BG238" s="8">
        <v>0.59350595190154665</v>
      </c>
      <c r="BH238" s="8">
        <v>64.187451973855701</v>
      </c>
      <c r="BI238" s="8">
        <v>47.146962275883723</v>
      </c>
    </row>
    <row r="239" spans="1:61" x14ac:dyDescent="0.15">
      <c r="A239" s="7">
        <v>2022</v>
      </c>
      <c r="B239" s="7">
        <v>56</v>
      </c>
      <c r="C239" s="7">
        <v>249.135189027103</v>
      </c>
      <c r="D239" s="7">
        <v>189.5647489542624</v>
      </c>
      <c r="E239" s="8">
        <v>20.174913258931419</v>
      </c>
      <c r="F239" s="8">
        <v>9.5671683650982384</v>
      </c>
      <c r="G239" s="8">
        <v>0.57811328604914691</v>
      </c>
      <c r="H239" s="8">
        <v>54.262981595420548</v>
      </c>
      <c r="I239" s="8">
        <v>28.522446261248739</v>
      </c>
      <c r="J239" s="8">
        <v>21.57313409381171</v>
      </c>
      <c r="K239" s="8">
        <v>13.566351773764479</v>
      </c>
      <c r="L239" s="8">
        <v>0.60469064396231742</v>
      </c>
      <c r="M239" s="8">
        <v>56.556997232136318</v>
      </c>
      <c r="N239" s="8">
        <v>36.001634466459812</v>
      </c>
      <c r="O239" s="8">
        <v>294.60300000000001</v>
      </c>
      <c r="P239" s="8">
        <v>290.13900000000001</v>
      </c>
      <c r="Q239" s="8">
        <v>98.382800000000003</v>
      </c>
      <c r="R239" s="8">
        <v>-0.75357300000000005</v>
      </c>
      <c r="S239" s="8">
        <v>-0.34285100000000002</v>
      </c>
      <c r="T239" s="7">
        <f>C239-D239</f>
        <v>59.570440072840597</v>
      </c>
      <c r="U239" s="8">
        <f>D239/C239</f>
        <v>0.76089110371975588</v>
      </c>
      <c r="V239" s="8">
        <v>20.754211120570211</v>
      </c>
      <c r="W239" s="8">
        <v>8.3133603385077794</v>
      </c>
      <c r="X239" s="8">
        <v>0.62511655438755409</v>
      </c>
      <c r="Y239" s="8">
        <v>53.702647564192368</v>
      </c>
      <c r="Z239" s="8">
        <v>28.133895324261992</v>
      </c>
      <c r="AA239" s="7">
        <v>21.163672607190961</v>
      </c>
      <c r="AB239" s="7">
        <v>10.939856056136129</v>
      </c>
      <c r="AC239" s="7">
        <v>0.61490359917493576</v>
      </c>
      <c r="AD239" s="7">
        <v>55.129822398164343</v>
      </c>
      <c r="AE239" s="7">
        <v>32.067764895360902</v>
      </c>
      <c r="AF239" s="8">
        <v>21.618007485791789</v>
      </c>
      <c r="AG239" s="8">
        <v>13.234804695167551</v>
      </c>
      <c r="AH239" s="8">
        <v>0.59311761719572009</v>
      </c>
      <c r="AI239" s="8">
        <v>56.574091321332929</v>
      </c>
      <c r="AJ239" s="8">
        <v>35.452496226897154</v>
      </c>
      <c r="AK239" s="8">
        <v>21.562851620179199</v>
      </c>
      <c r="AL239" s="8">
        <v>13.642323835228501</v>
      </c>
      <c r="AM239" s="8">
        <v>0.60734253492319534</v>
      </c>
      <c r="AN239" s="8">
        <v>56.553080222218412</v>
      </c>
      <c r="AO239" s="8">
        <v>36.127466261645118</v>
      </c>
      <c r="AP239" s="8">
        <v>22.636943930338258</v>
      </c>
      <c r="AQ239" s="8">
        <v>12.62593752457806</v>
      </c>
      <c r="AR239" s="8">
        <v>0.66610310037421505</v>
      </c>
      <c r="AS239" s="8">
        <v>56.491549362184507</v>
      </c>
      <c r="AT239" s="8">
        <v>36.723277349117957</v>
      </c>
      <c r="AU239" s="8">
        <v>21.920128075871322</v>
      </c>
      <c r="AV239" s="8">
        <v>15.658496232321919</v>
      </c>
      <c r="AW239" s="8">
        <v>0.62174191907516496</v>
      </c>
      <c r="AX239" s="8">
        <v>56.173290509033407</v>
      </c>
      <c r="AY239" s="8">
        <v>35.677770618481738</v>
      </c>
      <c r="AZ239" s="8">
        <v>20.895742520575009</v>
      </c>
      <c r="BA239" s="8">
        <v>14.778031348567</v>
      </c>
      <c r="BB239" s="8">
        <v>0.57776519119949055</v>
      </c>
      <c r="BC239" s="8">
        <v>56.935024098689219</v>
      </c>
      <c r="BD239" s="8">
        <v>36.69187218718799</v>
      </c>
      <c r="BE239" s="8">
        <v>21.95668831828927</v>
      </c>
      <c r="BF239" s="8">
        <v>14.53387714734715</v>
      </c>
      <c r="BG239" s="8">
        <v>0.605444848079009</v>
      </c>
      <c r="BH239" s="8">
        <v>55.652367667076319</v>
      </c>
      <c r="BI239" s="8">
        <v>34.405782318282128</v>
      </c>
    </row>
    <row r="240" spans="1:61" x14ac:dyDescent="0.15">
      <c r="A240" s="7">
        <v>2021</v>
      </c>
      <c r="B240" s="7">
        <v>48</v>
      </c>
      <c r="C240" s="7">
        <v>0.96198128063751098</v>
      </c>
      <c r="D240" s="7">
        <v>1.5860743562563191E-2</v>
      </c>
      <c r="E240" s="8">
        <v>30.714818412532871</v>
      </c>
      <c r="F240" s="8">
        <v>17.777096273322801</v>
      </c>
      <c r="G240" s="8">
        <v>0.5782064541705636</v>
      </c>
      <c r="H240" s="8">
        <v>75.908705518434331</v>
      </c>
      <c r="I240" s="8">
        <v>50.887223836249902</v>
      </c>
      <c r="J240" s="8">
        <v>37.81128459921927</v>
      </c>
      <c r="K240" s="8">
        <v>24.218863003975429</v>
      </c>
      <c r="L240" s="8">
        <v>0.77484004372536941</v>
      </c>
      <c r="M240" s="8">
        <v>69.330447186159972</v>
      </c>
      <c r="N240" s="8">
        <v>71.030634164195462</v>
      </c>
      <c r="O240" s="8">
        <v>287.35399999999998</v>
      </c>
      <c r="P240" s="8">
        <v>279.57600000000002</v>
      </c>
      <c r="Q240" s="8">
        <v>94.634199999999993</v>
      </c>
      <c r="R240" s="8">
        <v>0.218663</v>
      </c>
      <c r="S240" s="8">
        <v>-0.12127400000000001</v>
      </c>
      <c r="T240" s="7">
        <f>C240-D240</f>
        <v>0.94612053707494781</v>
      </c>
      <c r="U240" s="8">
        <f>D240/C240</f>
        <v>1.6487580249017086E-2</v>
      </c>
      <c r="V240" s="8">
        <v>30.521356445318453</v>
      </c>
      <c r="W240" s="8">
        <v>18.234572971000972</v>
      </c>
      <c r="X240" s="8">
        <v>0.55106545582430189</v>
      </c>
      <c r="Y240" s="8">
        <v>71.175195742760764</v>
      </c>
      <c r="Z240" s="8">
        <v>47.537116178510274</v>
      </c>
      <c r="AA240" s="7">
        <v>34.166320522268862</v>
      </c>
      <c r="AB240" s="7">
        <v>21.2267179874882</v>
      </c>
      <c r="AC240" s="7">
        <v>0.66295274977483565</v>
      </c>
      <c r="AD240" s="7">
        <v>70.252821464460368</v>
      </c>
      <c r="AE240" s="7">
        <v>59.283875171352868</v>
      </c>
      <c r="AF240" s="8">
        <v>36.438111156901698</v>
      </c>
      <c r="AG240" s="8">
        <v>23.354063215803631</v>
      </c>
      <c r="AH240" s="8">
        <v>0.73993077616260183</v>
      </c>
      <c r="AI240" s="8">
        <v>69.359369255942937</v>
      </c>
      <c r="AJ240" s="8">
        <v>64.860920785057544</v>
      </c>
      <c r="AK240" s="8">
        <v>37.987367699463697</v>
      </c>
      <c r="AL240" s="8">
        <v>24.329756954513108</v>
      </c>
      <c r="AM240" s="8">
        <v>0.77931648630012529</v>
      </c>
      <c r="AN240" s="8">
        <v>69.326738486620712</v>
      </c>
      <c r="AO240" s="8">
        <v>71.821781317161523</v>
      </c>
      <c r="AP240" s="8">
        <v>36.275649489731393</v>
      </c>
      <c r="AQ240" s="8">
        <v>23.617068902459671</v>
      </c>
      <c r="AR240" s="8">
        <v>0.7162435340758837</v>
      </c>
      <c r="AS240" s="8">
        <v>64.930906393014766</v>
      </c>
      <c r="AT240" s="8">
        <v>64.161189523329227</v>
      </c>
      <c r="AU240" s="8">
        <v>32.031885255017727</v>
      </c>
      <c r="AV240" s="8">
        <v>20.83365909038401</v>
      </c>
      <c r="AW240" s="8">
        <v>0.64814127408811739</v>
      </c>
      <c r="AX240" s="8">
        <v>68.453278489201921</v>
      </c>
      <c r="AY240" s="8">
        <v>51.921502294791317</v>
      </c>
      <c r="AZ240" s="8">
        <v>39.35735299054037</v>
      </c>
      <c r="BA240" s="8">
        <v>25.121165039697019</v>
      </c>
      <c r="BB240" s="8">
        <v>0.81257824109541921</v>
      </c>
      <c r="BC240" s="8">
        <v>69.985807620976999</v>
      </c>
      <c r="BD240" s="8">
        <v>77.614705122208974</v>
      </c>
      <c r="BE240" s="8">
        <v>49.671029378414033</v>
      </c>
      <c r="BF240" s="8">
        <v>28.447223146079349</v>
      </c>
      <c r="BG240" s="8">
        <v>0.87852924106892805</v>
      </c>
      <c r="BH240" s="8">
        <v>67.196353664240121</v>
      </c>
      <c r="BI240" s="8">
        <v>98.884386566529642</v>
      </c>
    </row>
    <row r="241" spans="1:61" x14ac:dyDescent="0.15">
      <c r="A241" s="7">
        <v>2023</v>
      </c>
      <c r="B241" s="7">
        <v>69</v>
      </c>
      <c r="C241" s="9">
        <v>46.20787920228554</v>
      </c>
      <c r="D241" s="7">
        <v>43.508168395337329</v>
      </c>
      <c r="E241" s="8">
        <v>35.021793523092271</v>
      </c>
      <c r="F241" s="8">
        <v>19.469413549228211</v>
      </c>
      <c r="G241" s="8">
        <v>0.5784846367680252</v>
      </c>
      <c r="H241" s="8">
        <v>72.334348285804921</v>
      </c>
      <c r="I241" s="8">
        <v>67.653625130479526</v>
      </c>
      <c r="J241" s="8">
        <v>36.774052803938268</v>
      </c>
      <c r="K241" s="8">
        <v>28.312290623019798</v>
      </c>
      <c r="L241" s="8">
        <v>0.68559146227999768</v>
      </c>
      <c r="M241" s="8">
        <v>68.089051841153079</v>
      </c>
      <c r="N241" s="8">
        <v>72.720572035271857</v>
      </c>
      <c r="O241" s="7">
        <v>284.01100000000002</v>
      </c>
      <c r="P241" s="7">
        <v>274.76100000000002</v>
      </c>
      <c r="Q241" s="7">
        <v>94.010899999999992</v>
      </c>
      <c r="R241" s="7">
        <v>0.60617900000000002</v>
      </c>
      <c r="S241" s="7">
        <v>-8.1005400000000005E-2</v>
      </c>
      <c r="T241" s="7">
        <f>C241-D241</f>
        <v>2.699710806948211</v>
      </c>
      <c r="U241" s="8">
        <f>D241/C241</f>
        <v>0.94157466532645628</v>
      </c>
      <c r="V241" s="8">
        <v>31.530274328401738</v>
      </c>
      <c r="W241" s="8">
        <v>19.514590732220199</v>
      </c>
      <c r="X241" s="8">
        <v>0.59115956813579973</v>
      </c>
      <c r="Y241" s="8">
        <v>69.874963804282928</v>
      </c>
      <c r="Z241" s="8">
        <v>67.258899059703623</v>
      </c>
      <c r="AA241" s="7">
        <v>34.152163566170003</v>
      </c>
      <c r="AB241" s="7">
        <v>23.913440677619999</v>
      </c>
      <c r="AC241" s="7">
        <v>0.6383755152078987</v>
      </c>
      <c r="AD241" s="7">
        <v>68.982007822718003</v>
      </c>
      <c r="AE241" s="7">
        <v>69.98973554748774</v>
      </c>
      <c r="AF241" s="8">
        <v>37.955490946423112</v>
      </c>
      <c r="AG241" s="8">
        <v>29.42177173132638</v>
      </c>
      <c r="AH241" s="8">
        <v>0.67059802327035922</v>
      </c>
      <c r="AI241" s="8">
        <v>68.225703065272924</v>
      </c>
      <c r="AJ241" s="8">
        <v>73.129807065554942</v>
      </c>
      <c r="AK241" s="8">
        <v>36.551567566161232</v>
      </c>
      <c r="AL241" s="8">
        <v>28.10335613943225</v>
      </c>
      <c r="AM241" s="8">
        <v>0.68841498618971264</v>
      </c>
      <c r="AN241" s="8">
        <v>68.063318051970612</v>
      </c>
      <c r="AO241" s="8">
        <v>72.643506000457919</v>
      </c>
      <c r="AP241" s="8">
        <v>32.466864892530452</v>
      </c>
      <c r="AQ241" s="8">
        <v>25.254932364495389</v>
      </c>
      <c r="AR241" s="8">
        <v>0.69205755828308291</v>
      </c>
      <c r="AS241" s="8">
        <v>67.720256971664881</v>
      </c>
      <c r="AT241" s="8">
        <v>69.82343002783746</v>
      </c>
      <c r="AU241" s="8">
        <v>34.489311686505992</v>
      </c>
      <c r="AV241" s="8">
        <v>22.91268243033775</v>
      </c>
      <c r="AW241" s="8">
        <v>0.52644569363417204</v>
      </c>
      <c r="AX241" s="8">
        <v>67.669188694089669</v>
      </c>
      <c r="AY241" s="8">
        <v>70.329993697052174</v>
      </c>
      <c r="AZ241" s="8">
        <v>37.178684638384063</v>
      </c>
      <c r="BA241" s="8">
        <v>27.399664644999579</v>
      </c>
      <c r="BB241" s="8">
        <v>0.67683326412792089</v>
      </c>
      <c r="BC241" s="8">
        <v>69.134454779194272</v>
      </c>
      <c r="BD241" s="8">
        <v>73.383884473227383</v>
      </c>
      <c r="BE241" s="8">
        <v>34.23280849247886</v>
      </c>
      <c r="BF241" s="8">
        <v>26.906972385765741</v>
      </c>
      <c r="BG241" s="8">
        <v>0.70769292625266467</v>
      </c>
      <c r="BH241" s="8">
        <v>65.095648699904473</v>
      </c>
      <c r="BI241" s="8">
        <v>69.137287451259709</v>
      </c>
    </row>
    <row r="242" spans="1:61" x14ac:dyDescent="0.15">
      <c r="A242" s="7">
        <v>2023</v>
      </c>
      <c r="B242" s="7">
        <v>42</v>
      </c>
      <c r="C242" s="9">
        <v>67.900194283046787</v>
      </c>
      <c r="D242" s="7">
        <v>36.839960547866895</v>
      </c>
      <c r="E242" s="8">
        <v>33.263424375477072</v>
      </c>
      <c r="F242" s="8">
        <v>18.517118221526669</v>
      </c>
      <c r="G242" s="8">
        <v>0.57913373094905185</v>
      </c>
      <c r="H242" s="8">
        <v>71.552168582433382</v>
      </c>
      <c r="I242" s="8">
        <v>72.545987808334601</v>
      </c>
      <c r="J242" s="8">
        <v>27.21791518045956</v>
      </c>
      <c r="K242" s="8">
        <v>22.54804120770779</v>
      </c>
      <c r="L242" s="8">
        <v>0.52277314611453729</v>
      </c>
      <c r="M242" s="8">
        <v>68.691547133900301</v>
      </c>
      <c r="N242" s="8">
        <v>78.598977218861165</v>
      </c>
      <c r="O242" s="7">
        <v>282.90800000000002</v>
      </c>
      <c r="P242" s="7">
        <v>271.25799999999998</v>
      </c>
      <c r="Q242" s="7">
        <v>87.367100000000008</v>
      </c>
      <c r="R242" s="7">
        <v>0.72547700000000004</v>
      </c>
      <c r="S242" s="7">
        <v>0.24274799999999999</v>
      </c>
      <c r="T242" s="7">
        <f>C242-D242</f>
        <v>31.060233735179892</v>
      </c>
      <c r="U242" s="8">
        <f>D242/C242</f>
        <v>0.54256045857979285</v>
      </c>
      <c r="V242" s="8">
        <v>30.1521308989883</v>
      </c>
      <c r="W242" s="8">
        <v>20.170233114589607</v>
      </c>
      <c r="X242" s="8">
        <v>0.53747655594577948</v>
      </c>
      <c r="Y242" s="8">
        <v>66.21498436153432</v>
      </c>
      <c r="Z242" s="8">
        <v>74.252933702573841</v>
      </c>
      <c r="AA242" s="7">
        <v>28.68502303972393</v>
      </c>
      <c r="AB242" s="7">
        <v>21.359137161148698</v>
      </c>
      <c r="AC242" s="7">
        <v>0.53012485103015838</v>
      </c>
      <c r="AD242" s="7">
        <v>67.45326574771731</v>
      </c>
      <c r="AE242" s="7">
        <v>76.425955460717503</v>
      </c>
      <c r="AF242" s="8">
        <v>26.398860202866071</v>
      </c>
      <c r="AG242" s="8">
        <v>22.685647971969381</v>
      </c>
      <c r="AH242" s="8">
        <v>0.49859043160947042</v>
      </c>
      <c r="AI242" s="8">
        <v>69.527807326928723</v>
      </c>
      <c r="AJ242" s="8">
        <v>80.898723498809971</v>
      </c>
      <c r="AK242" s="8">
        <v>27.327570945684659</v>
      </c>
      <c r="AL242" s="8">
        <v>22.529618299053251</v>
      </c>
      <c r="AM242" s="8">
        <v>0.52601074815202731</v>
      </c>
      <c r="AN242" s="8">
        <v>68.579587920047217</v>
      </c>
      <c r="AO242" s="8">
        <v>78.291085264047226</v>
      </c>
      <c r="AP242" s="8">
        <v>30.667525674305018</v>
      </c>
      <c r="AQ242" s="8">
        <v>22.869449608655259</v>
      </c>
      <c r="AR242" s="8">
        <v>0.58268473769543672</v>
      </c>
      <c r="AS242" s="8">
        <v>67.931915351919855</v>
      </c>
      <c r="AT242" s="8">
        <v>80.926920637286457</v>
      </c>
      <c r="AU242" s="8">
        <v>28.057358721015309</v>
      </c>
      <c r="AV242" s="8">
        <v>20.812220323976462</v>
      </c>
      <c r="AW242" s="8">
        <v>0.51130712773117049</v>
      </c>
      <c r="AX242" s="8">
        <v>67.277159927423966</v>
      </c>
      <c r="AY242" s="8">
        <v>74.934039097219184</v>
      </c>
      <c r="AZ242" s="8">
        <v>26.64389243657968</v>
      </c>
      <c r="BA242" s="8">
        <v>23.531940673533409</v>
      </c>
      <c r="BB242" s="8">
        <v>0.53374351971566436</v>
      </c>
      <c r="BC242" s="8">
        <v>67.694255836975856</v>
      </c>
      <c r="BD242" s="8">
        <v>79.408731258800643</v>
      </c>
      <c r="BE242" s="8">
        <v>29.120023306953751</v>
      </c>
      <c r="BF242" s="8">
        <v>24.548155712583739</v>
      </c>
      <c r="BG242" s="8">
        <v>0.62822744323684732</v>
      </c>
      <c r="BH242" s="8">
        <v>62.002729260901837</v>
      </c>
      <c r="BI242" s="8">
        <v>79.367969611427654</v>
      </c>
    </row>
    <row r="243" spans="1:61" x14ac:dyDescent="0.15">
      <c r="A243" s="7">
        <v>2023</v>
      </c>
      <c r="B243" s="7">
        <v>45</v>
      </c>
      <c r="C243" s="9">
        <v>65.996946369438987</v>
      </c>
      <c r="D243" s="7">
        <v>55.642963234389612</v>
      </c>
      <c r="E243" s="8">
        <v>30.541710050706779</v>
      </c>
      <c r="F243" s="8">
        <v>18.756256837167939</v>
      </c>
      <c r="G243" s="8">
        <v>0.57927279272108267</v>
      </c>
      <c r="H243" s="8">
        <v>70.31903648839743</v>
      </c>
      <c r="I243" s="8">
        <v>52.915215480693817</v>
      </c>
      <c r="J243" s="8">
        <v>35.281182750091013</v>
      </c>
      <c r="K243" s="8">
        <v>18.512023000589711</v>
      </c>
      <c r="L243" s="8">
        <v>0.6018727420620541</v>
      </c>
      <c r="M243" s="8">
        <v>75.725174261283655</v>
      </c>
      <c r="N243" s="8">
        <v>68.064268417717329</v>
      </c>
      <c r="O243" s="7">
        <v>289.12299999999999</v>
      </c>
      <c r="P243" s="7">
        <v>283.505</v>
      </c>
      <c r="Q243" s="7">
        <v>97.086199999999991</v>
      </c>
      <c r="R243" s="7">
        <v>-0.25256899999999999</v>
      </c>
      <c r="S243" s="7">
        <v>-0.20630100000000001</v>
      </c>
      <c r="T243" s="7">
        <f>C243-D243</f>
        <v>10.353983135049376</v>
      </c>
      <c r="U243" s="8">
        <f>D243/C243</f>
        <v>0.84311420899552458</v>
      </c>
      <c r="V243" s="8">
        <v>29.31845712871074</v>
      </c>
      <c r="W243" s="8">
        <v>17.828344797630368</v>
      </c>
      <c r="X243" s="8">
        <v>0.59240169186400993</v>
      </c>
      <c r="Y243" s="8">
        <v>73.863097690378027</v>
      </c>
      <c r="Z243" s="8">
        <v>54.796074556596153</v>
      </c>
      <c r="AA243" s="7">
        <v>32.299819939400876</v>
      </c>
      <c r="AB243" s="7">
        <v>18.17018389911004</v>
      </c>
      <c r="AC243" s="7">
        <v>0.59713721696303201</v>
      </c>
      <c r="AD243" s="7">
        <v>74.794135975830841</v>
      </c>
      <c r="AE243" s="7">
        <v>61.430171487156741</v>
      </c>
      <c r="AF243" s="8">
        <v>35.321271848586512</v>
      </c>
      <c r="AG243" s="8">
        <v>17.919028000487099</v>
      </c>
      <c r="AH243" s="8">
        <v>0.60595994701218125</v>
      </c>
      <c r="AI243" s="8">
        <v>75.540055499790014</v>
      </c>
      <c r="AJ243" s="8">
        <v>66.436480862711662</v>
      </c>
      <c r="AK243" s="8">
        <v>35.274661229838188</v>
      </c>
      <c r="AL243" s="8">
        <v>18.608488849115151</v>
      </c>
      <c r="AM243" s="8">
        <v>0.60120785333020443</v>
      </c>
      <c r="AN243" s="8">
        <v>75.755288576585443</v>
      </c>
      <c r="AO243" s="8">
        <v>68.32906982023438</v>
      </c>
      <c r="AP243" s="8">
        <v>33.812303467469917</v>
      </c>
      <c r="AQ243" s="8">
        <v>17.304069005504189</v>
      </c>
      <c r="AR243" s="8">
        <v>0.60679707461429333</v>
      </c>
      <c r="AS243" s="8">
        <v>79.244802936133368</v>
      </c>
      <c r="AT243" s="8">
        <v>68.442141282009914</v>
      </c>
      <c r="AU243" s="8">
        <v>31.95608925791316</v>
      </c>
      <c r="AV243" s="8">
        <v>18.441034630966019</v>
      </c>
      <c r="AW243" s="8">
        <v>0.55553838104917608</v>
      </c>
      <c r="AX243" s="8">
        <v>71.742761587787498</v>
      </c>
      <c r="AY243" s="8">
        <v>61.066248348282727</v>
      </c>
      <c r="AZ243" s="8">
        <v>34.399558509206749</v>
      </c>
      <c r="BA243" s="8">
        <v>18.95034932383172</v>
      </c>
      <c r="BB243" s="8">
        <v>0.59779972368384504</v>
      </c>
      <c r="BC243" s="8">
        <v>75.525634056819058</v>
      </c>
      <c r="BD243" s="8">
        <v>69.071422146366785</v>
      </c>
      <c r="BE243" s="8">
        <v>28.45773637628286</v>
      </c>
      <c r="BF243" s="8">
        <v>27.980320422073891</v>
      </c>
      <c r="BG243" s="8">
        <v>0.57357780644369072</v>
      </c>
      <c r="BH243" s="8">
        <v>64.667961416638008</v>
      </c>
      <c r="BI243" s="8">
        <v>54.73059779147227</v>
      </c>
    </row>
    <row r="244" spans="1:61" x14ac:dyDescent="0.15">
      <c r="A244" s="7">
        <v>2022</v>
      </c>
      <c r="B244" s="7">
        <v>49</v>
      </c>
      <c r="C244" s="7">
        <v>15.328102286919586</v>
      </c>
      <c r="D244" s="7">
        <v>4.8840963545157088</v>
      </c>
      <c r="E244" s="8">
        <v>26.622035537770049</v>
      </c>
      <c r="F244" s="8">
        <v>22.67675756985302</v>
      </c>
      <c r="G244" s="8">
        <v>0.57946867835105609</v>
      </c>
      <c r="H244" s="8">
        <v>77.23936723183408</v>
      </c>
      <c r="I244" s="8">
        <v>54.479145644854007</v>
      </c>
      <c r="J244" s="8">
        <v>33.557005149062469</v>
      </c>
      <c r="K244" s="8">
        <v>24.383178363256441</v>
      </c>
      <c r="L244" s="8">
        <v>0.50698779725852994</v>
      </c>
      <c r="M244" s="8">
        <v>65.398293541984813</v>
      </c>
      <c r="N244" s="8">
        <v>85.553458260283563</v>
      </c>
      <c r="O244" s="8">
        <v>282.42</v>
      </c>
      <c r="P244" s="8">
        <v>269.84199999999998</v>
      </c>
      <c r="Q244" s="8">
        <v>87.578999999999994</v>
      </c>
      <c r="R244" s="8">
        <v>0.63024199999999997</v>
      </c>
      <c r="S244" s="8">
        <v>0.27096599999999998</v>
      </c>
      <c r="T244" s="7">
        <f>C244-D244</f>
        <v>10.444005932403877</v>
      </c>
      <c r="U244" s="8">
        <f>D244/C244</f>
        <v>0.31863672769744034</v>
      </c>
      <c r="V244" s="8">
        <v>30.37392409069259</v>
      </c>
      <c r="W244" s="8">
        <v>21.145790055444259</v>
      </c>
      <c r="X244" s="8">
        <v>0.43115292706351382</v>
      </c>
      <c r="Y244" s="8">
        <v>70.869154786019308</v>
      </c>
      <c r="Z244" s="8">
        <v>83.601331055724231</v>
      </c>
      <c r="AA244" s="7">
        <v>31.96546461987753</v>
      </c>
      <c r="AB244" s="7">
        <v>22.76448420935035</v>
      </c>
      <c r="AC244" s="7">
        <v>0.46907036216102188</v>
      </c>
      <c r="AD244" s="7">
        <v>68.133724164002061</v>
      </c>
      <c r="AE244" s="7">
        <v>84.577394658003897</v>
      </c>
      <c r="AF244" s="8">
        <v>35.435231410733742</v>
      </c>
      <c r="AG244" s="8">
        <v>24.23141395159</v>
      </c>
      <c r="AH244" s="8">
        <v>0.538553221156433</v>
      </c>
      <c r="AI244" s="8">
        <v>64.35186802190222</v>
      </c>
      <c r="AJ244" s="8">
        <v>88.781074837618775</v>
      </c>
      <c r="AK244" s="8">
        <v>33.284878881645056</v>
      </c>
      <c r="AL244" s="8">
        <v>24.405166706043659</v>
      </c>
      <c r="AM244" s="8">
        <v>0.50241444996801654</v>
      </c>
      <c r="AN244" s="8">
        <v>65.54990460009931</v>
      </c>
      <c r="AO244" s="8">
        <v>85.085825968174461</v>
      </c>
      <c r="AP244" s="8">
        <v>29.385276779989411</v>
      </c>
      <c r="AQ244" s="8">
        <v>25.07437131654131</v>
      </c>
      <c r="AR244" s="8">
        <v>0.41308771809590938</v>
      </c>
      <c r="AS244" s="8">
        <v>66.532826748629319</v>
      </c>
      <c r="AT244" s="8">
        <v>80.224429040843191</v>
      </c>
      <c r="AU244" s="8">
        <v>32.685495081525723</v>
      </c>
      <c r="AV244" s="8">
        <v>22.63325895369481</v>
      </c>
      <c r="AW244" s="8">
        <v>0.47773195864578671</v>
      </c>
      <c r="AX244" s="8">
        <v>67.245629359164781</v>
      </c>
      <c r="AY244" s="8">
        <v>85.529128045010154</v>
      </c>
      <c r="AZ244" s="8">
        <v>33.808852511577712</v>
      </c>
      <c r="BA244" s="8">
        <v>23.939510852935321</v>
      </c>
      <c r="BB244" s="8">
        <v>0.5374930113783386</v>
      </c>
      <c r="BC244" s="8">
        <v>66.951529304563167</v>
      </c>
      <c r="BD244" s="8">
        <v>86.589200433381677</v>
      </c>
      <c r="BE244" s="8">
        <v>29.794236315156439</v>
      </c>
      <c r="BF244" s="8">
        <v>21.209554738561259</v>
      </c>
      <c r="BG244" s="8">
        <v>0.44765514008536073</v>
      </c>
      <c r="BH244" s="8">
        <v>75.01828753925291</v>
      </c>
      <c r="BI244" s="8">
        <v>83.515909892157879</v>
      </c>
    </row>
    <row r="245" spans="1:61" x14ac:dyDescent="0.15">
      <c r="A245" s="7">
        <v>2023</v>
      </c>
      <c r="B245" s="7">
        <v>109</v>
      </c>
      <c r="C245" s="9">
        <v>97.356553073814112</v>
      </c>
      <c r="D245" s="7">
        <v>47.150489636092473</v>
      </c>
      <c r="E245" s="8">
        <v>17.679871479098459</v>
      </c>
      <c r="F245" s="8">
        <v>17.824286853426312</v>
      </c>
      <c r="G245" s="8">
        <v>0.5797124788946606</v>
      </c>
      <c r="H245" s="8">
        <v>70.519868789138798</v>
      </c>
      <c r="I245" s="8">
        <v>32.49234264202412</v>
      </c>
      <c r="J245" s="8">
        <v>18.80415866014155</v>
      </c>
      <c r="K245" s="8">
        <v>16.140987095592589</v>
      </c>
      <c r="L245" s="8">
        <v>0.48472541972348332</v>
      </c>
      <c r="M245" s="8">
        <v>69.750942560134547</v>
      </c>
      <c r="N245" s="8">
        <v>33.841887823254403</v>
      </c>
      <c r="O245" s="7">
        <v>295.93700000000001</v>
      </c>
      <c r="P245" s="7">
        <v>291.488</v>
      </c>
      <c r="Q245" s="7">
        <v>100.19799999999999</v>
      </c>
      <c r="R245" s="7">
        <v>-1.2999400000000001</v>
      </c>
      <c r="S245" s="7">
        <v>-0.54506600000000005</v>
      </c>
      <c r="T245" s="7">
        <f>C245-D245</f>
        <v>50.206063437721639</v>
      </c>
      <c r="U245" s="8">
        <f>D245/C245</f>
        <v>0.48430730287198809</v>
      </c>
      <c r="V245" s="8">
        <v>17.177743493190992</v>
      </c>
      <c r="W245" s="8">
        <v>15.617194496692733</v>
      </c>
      <c r="X245" s="8">
        <v>0.55877999889528507</v>
      </c>
      <c r="Y245" s="8">
        <v>66.580787579841513</v>
      </c>
      <c r="Z245" s="8">
        <v>31.228593898896442</v>
      </c>
      <c r="AA245" s="7">
        <v>17.990951076666271</v>
      </c>
      <c r="AB245" s="7">
        <v>15.879090796142661</v>
      </c>
      <c r="AC245" s="7">
        <v>0.52175270930938422</v>
      </c>
      <c r="AD245" s="7">
        <v>68.16586506998803</v>
      </c>
      <c r="AE245" s="7">
        <v>32.535240861075422</v>
      </c>
      <c r="AF245" s="8">
        <v>18.738076367132191</v>
      </c>
      <c r="AG245" s="8">
        <v>16.53640684364828</v>
      </c>
      <c r="AH245" s="8">
        <v>0.50358923209840201</v>
      </c>
      <c r="AI245" s="8">
        <v>68.55863969256751</v>
      </c>
      <c r="AJ245" s="8">
        <v>33.909143196727847</v>
      </c>
      <c r="AK245" s="8">
        <v>18.811889210319929</v>
      </c>
      <c r="AL245" s="8">
        <v>16.09472943617039</v>
      </c>
      <c r="AM245" s="8">
        <v>0.48251866143046968</v>
      </c>
      <c r="AN245" s="8">
        <v>69.890422543739845</v>
      </c>
      <c r="AO245" s="8">
        <v>33.834020041800017</v>
      </c>
      <c r="AP245" s="8">
        <v>18.918755848160359</v>
      </c>
      <c r="AQ245" s="8">
        <v>16.713077727728571</v>
      </c>
      <c r="AR245" s="8">
        <v>0.51367750103194243</v>
      </c>
      <c r="AS245" s="8">
        <v>70.271764906626444</v>
      </c>
      <c r="AT245" s="8">
        <v>34.714367399797958</v>
      </c>
      <c r="AU245" s="8">
        <v>18.23635238586758</v>
      </c>
      <c r="AV245" s="8">
        <v>16.053883580825829</v>
      </c>
      <c r="AW245" s="8">
        <v>0.49245008665270751</v>
      </c>
      <c r="AX245" s="8">
        <v>69.617689252765885</v>
      </c>
      <c r="AY245" s="8">
        <v>32.314939324294379</v>
      </c>
      <c r="AZ245" s="8">
        <v>18.180423595746689</v>
      </c>
      <c r="BA245" s="8">
        <v>15.09319529100369</v>
      </c>
      <c r="BB245" s="8">
        <v>0.49017154411939362</v>
      </c>
      <c r="BC245" s="8">
        <v>70.685697728822774</v>
      </c>
      <c r="BD245" s="8">
        <v>33.219561460083312</v>
      </c>
      <c r="BE245" s="8">
        <v>19.50086434536286</v>
      </c>
      <c r="BF245" s="8">
        <v>15.52374674407263</v>
      </c>
      <c r="BG245" s="8">
        <v>0.47601998807062262</v>
      </c>
      <c r="BH245" s="8">
        <v>68.019759835813062</v>
      </c>
      <c r="BI245" s="8">
        <v>33.571266578442653</v>
      </c>
    </row>
    <row r="246" spans="1:61" x14ac:dyDescent="0.15">
      <c r="A246" s="7">
        <v>2021</v>
      </c>
      <c r="B246" s="7">
        <v>105</v>
      </c>
      <c r="C246" s="7">
        <v>19.676601603962375</v>
      </c>
      <c r="D246" s="7">
        <v>4.0578958407950285</v>
      </c>
      <c r="E246" s="8">
        <v>30.58504013080152</v>
      </c>
      <c r="F246" s="8">
        <v>19.188275545145881</v>
      </c>
      <c r="G246" s="8">
        <v>0.57985312241521003</v>
      </c>
      <c r="H246" s="8">
        <v>71.59695506268055</v>
      </c>
      <c r="I246" s="8">
        <v>41.597887163524817</v>
      </c>
      <c r="J246" s="8">
        <v>34.203558544505348</v>
      </c>
      <c r="K246" s="8">
        <v>19.98297564617619</v>
      </c>
      <c r="L246" s="8">
        <v>0.57441522521014454</v>
      </c>
      <c r="M246" s="8">
        <v>73.191410942162918</v>
      </c>
      <c r="N246" s="8">
        <v>48.411976781981302</v>
      </c>
      <c r="O246" s="8">
        <v>289.87200000000001</v>
      </c>
      <c r="P246" s="8">
        <v>284.54700000000003</v>
      </c>
      <c r="Q246" s="8">
        <v>100.337</v>
      </c>
      <c r="R246" s="8">
        <v>-0.29228599999999999</v>
      </c>
      <c r="S246" s="8">
        <v>-0.30657699999999999</v>
      </c>
      <c r="T246" s="7">
        <f>C246-D246</f>
        <v>15.618705763167346</v>
      </c>
      <c r="U246" s="8">
        <f>D246/C246</f>
        <v>0.20622950662262074</v>
      </c>
      <c r="V246" s="8">
        <v>29.756450930718614</v>
      </c>
      <c r="W246" s="8">
        <v>19.144120844803748</v>
      </c>
      <c r="X246" s="8">
        <v>0.59434230304756308</v>
      </c>
      <c r="Y246" s="8">
        <v>70.129212006295518</v>
      </c>
      <c r="Z246" s="8">
        <v>40.504885613932991</v>
      </c>
      <c r="AA246" s="7">
        <v>31.980004737611981</v>
      </c>
      <c r="AB246" s="7">
        <v>19.563548245489969</v>
      </c>
      <c r="AC246" s="7">
        <v>0.58437876412885381</v>
      </c>
      <c r="AD246" s="7">
        <v>71.660311474229218</v>
      </c>
      <c r="AE246" s="7">
        <v>44.458431197957147</v>
      </c>
      <c r="AF246" s="8">
        <v>36.820523176165388</v>
      </c>
      <c r="AG246" s="8">
        <v>20.769405743844558</v>
      </c>
      <c r="AH246" s="8">
        <v>0.5814368624272449</v>
      </c>
      <c r="AI246" s="8">
        <v>72.938330234719288</v>
      </c>
      <c r="AJ246" s="8">
        <v>48.997832678504253</v>
      </c>
      <c r="AK246" s="8">
        <v>33.884167267492828</v>
      </c>
      <c r="AL246" s="8">
        <v>19.886994634382361</v>
      </c>
      <c r="AM246" s="8">
        <v>0.57355825922353665</v>
      </c>
      <c r="AN246" s="8">
        <v>73.222298547352423</v>
      </c>
      <c r="AO246" s="8">
        <v>48.340475142000393</v>
      </c>
      <c r="AP246" s="8">
        <v>31.897282393300259</v>
      </c>
      <c r="AQ246" s="8">
        <v>19.34458626572756</v>
      </c>
      <c r="AR246" s="8">
        <v>0.57979672688416639</v>
      </c>
      <c r="AS246" s="8">
        <v>71.583716641675494</v>
      </c>
      <c r="AT246" s="8">
        <v>44.378116740591537</v>
      </c>
      <c r="AU246" s="8">
        <v>29.601565013058</v>
      </c>
      <c r="AV246" s="8">
        <v>19.704278562176182</v>
      </c>
      <c r="AW246" s="8">
        <v>0.59951201182099589</v>
      </c>
      <c r="AX246" s="8">
        <v>72.218676641306203</v>
      </c>
      <c r="AY246" s="8">
        <v>45.973418390273963</v>
      </c>
      <c r="AZ246" s="8">
        <v>33.261594308780033</v>
      </c>
      <c r="BA246" s="8">
        <v>20.180479876431541</v>
      </c>
      <c r="BB246" s="8">
        <v>0.58033006080792648</v>
      </c>
      <c r="BC246" s="8">
        <v>73.319073167063664</v>
      </c>
      <c r="BD246" s="8">
        <v>48.511979532544743</v>
      </c>
      <c r="BE246" s="8">
        <v>33.214380432029763</v>
      </c>
      <c r="BF246" s="8">
        <v>26.343840699093469</v>
      </c>
      <c r="BG246" s="8">
        <v>0.6211437339073469</v>
      </c>
      <c r="BH246" s="8">
        <v>69.189211102941641</v>
      </c>
      <c r="BI246" s="8">
        <v>58.77639275094694</v>
      </c>
    </row>
    <row r="247" spans="1:61" x14ac:dyDescent="0.15">
      <c r="A247" s="7">
        <v>2021</v>
      </c>
      <c r="B247" s="7">
        <v>14</v>
      </c>
      <c r="C247" s="7">
        <v>41.692613231681648</v>
      </c>
      <c r="D247" s="7">
        <v>41.61320727851956</v>
      </c>
      <c r="E247" s="8">
        <v>24.771252363856689</v>
      </c>
      <c r="F247" s="8">
        <v>24.612940867423511</v>
      </c>
      <c r="G247" s="8">
        <v>0.57999746627381898</v>
      </c>
      <c r="H247" s="8">
        <v>75.329319006183582</v>
      </c>
      <c r="I247" s="8">
        <v>33.594353739713412</v>
      </c>
      <c r="J247" s="8">
        <v>29.466979944327338</v>
      </c>
      <c r="K247" s="8">
        <v>33.622337588566353</v>
      </c>
      <c r="L247" s="8">
        <v>0.71517062593411718</v>
      </c>
      <c r="M247" s="8">
        <v>68.176236021570872</v>
      </c>
      <c r="N247" s="8">
        <v>47.975944465034701</v>
      </c>
      <c r="O247" s="8">
        <v>290.834</v>
      </c>
      <c r="P247" s="8">
        <v>286.17200000000003</v>
      </c>
      <c r="Q247" s="8">
        <v>101.43</v>
      </c>
      <c r="R247" s="8">
        <v>-0.95555100000000004</v>
      </c>
      <c r="S247" s="8">
        <v>-8.6609300000000007E-3</v>
      </c>
      <c r="T247" s="7">
        <f>C247-D247</f>
        <v>7.9405953162087428E-2</v>
      </c>
      <c r="U247" s="8">
        <f>D247/C247</f>
        <v>0.99809544312512055</v>
      </c>
      <c r="V247" s="8">
        <v>30.985014045085922</v>
      </c>
      <c r="W247" s="8">
        <v>26.97380879396475</v>
      </c>
      <c r="X247" s="8">
        <v>0.8020031697910629</v>
      </c>
      <c r="Y247" s="8">
        <v>71.166638588077404</v>
      </c>
      <c r="Z247" s="8">
        <v>45.247047937906544</v>
      </c>
      <c r="AA247" s="7">
        <v>30.22599699470663</v>
      </c>
      <c r="AB247" s="7">
        <v>30.298073191265551</v>
      </c>
      <c r="AC247" s="7">
        <v>0.75858689786259004</v>
      </c>
      <c r="AD247" s="7">
        <v>69.671437304824138</v>
      </c>
      <c r="AE247" s="7">
        <v>46.611496201470622</v>
      </c>
      <c r="AF247" s="8">
        <v>28.407850940720181</v>
      </c>
      <c r="AG247" s="8">
        <v>34.513671806284982</v>
      </c>
      <c r="AH247" s="8">
        <v>0.67500641381223059</v>
      </c>
      <c r="AI247" s="8">
        <v>68.347914816028847</v>
      </c>
      <c r="AJ247" s="8">
        <v>44.380590932209898</v>
      </c>
      <c r="AK247" s="8">
        <v>29.53974750362406</v>
      </c>
      <c r="AL247" s="8">
        <v>33.561098386051697</v>
      </c>
      <c r="AM247" s="8">
        <v>0.71793011196200562</v>
      </c>
      <c r="AN247" s="8">
        <v>68.164440813609275</v>
      </c>
      <c r="AO247" s="8">
        <v>48.222963572718001</v>
      </c>
      <c r="AP247" s="8">
        <v>28.701511678446192</v>
      </c>
      <c r="AQ247" s="8">
        <v>30.375142645377512</v>
      </c>
      <c r="AR247" s="8">
        <v>0.70573733239642611</v>
      </c>
      <c r="AS247" s="8">
        <v>70.109004166186651</v>
      </c>
      <c r="AT247" s="8">
        <v>44.951300182634988</v>
      </c>
      <c r="AU247" s="8">
        <v>32.830934651434752</v>
      </c>
      <c r="AV247" s="8">
        <v>28.34037815676524</v>
      </c>
      <c r="AW247" s="8">
        <v>0.68850467839384266</v>
      </c>
      <c r="AX247" s="8">
        <v>64.268558851540405</v>
      </c>
      <c r="AY247" s="8">
        <v>52.169377597346553</v>
      </c>
      <c r="AZ247" s="8">
        <v>31.364427888069471</v>
      </c>
      <c r="BA247" s="8">
        <v>32.290363570027438</v>
      </c>
      <c r="BB247" s="8">
        <v>0.7250493489230303</v>
      </c>
      <c r="BC247" s="8">
        <v>67.67482859183724</v>
      </c>
      <c r="BD247" s="8">
        <v>51.571192723647378</v>
      </c>
      <c r="BE247" s="8">
        <v>37.888350982386598</v>
      </c>
      <c r="BF247" s="8">
        <v>31.8907815159187</v>
      </c>
      <c r="BG247" s="8">
        <v>0.55585514907844291</v>
      </c>
      <c r="BH247" s="8">
        <v>60.847250979644151</v>
      </c>
      <c r="BI247" s="8">
        <v>58.235350238811847</v>
      </c>
    </row>
    <row r="248" spans="1:61" x14ac:dyDescent="0.15">
      <c r="A248" s="7">
        <v>2022</v>
      </c>
      <c r="B248" s="7">
        <v>54</v>
      </c>
      <c r="C248" s="7">
        <v>145.40509061289561</v>
      </c>
      <c r="D248" s="7">
        <v>8.8040193071615107</v>
      </c>
      <c r="E248" s="8">
        <v>16.864919157763929</v>
      </c>
      <c r="F248" s="8">
        <v>15.12334428801436</v>
      </c>
      <c r="G248" s="8">
        <v>0.58026229075184266</v>
      </c>
      <c r="H248" s="8">
        <v>53.455426218721982</v>
      </c>
      <c r="I248" s="8">
        <v>26.704623908195249</v>
      </c>
      <c r="J248" s="8">
        <v>19.268846093647319</v>
      </c>
      <c r="K248" s="8">
        <v>18.912088490047228</v>
      </c>
      <c r="L248" s="8">
        <v>0.59495530770744698</v>
      </c>
      <c r="M248" s="8">
        <v>54.586019721646842</v>
      </c>
      <c r="N248" s="8">
        <v>29.915267724139309</v>
      </c>
      <c r="O248" s="8">
        <v>295.09699999999998</v>
      </c>
      <c r="P248" s="8">
        <v>290.678</v>
      </c>
      <c r="Q248" s="8">
        <v>99.136300000000006</v>
      </c>
      <c r="R248" s="8">
        <v>-0.714943</v>
      </c>
      <c r="S248" s="8">
        <v>-0.54034099999999996</v>
      </c>
      <c r="T248" s="7">
        <f>C248-D248</f>
        <v>136.60107130573408</v>
      </c>
      <c r="U248" s="8">
        <f>D248/C248</f>
        <v>6.0548219254578865E-2</v>
      </c>
      <c r="V248" s="8">
        <v>16.366367074307959</v>
      </c>
      <c r="W248" s="8">
        <v>13.398221064695729</v>
      </c>
      <c r="X248" s="8">
        <v>0.58901475648773038</v>
      </c>
      <c r="Y248" s="8">
        <v>53.343355964186124</v>
      </c>
      <c r="Z248" s="8">
        <v>25.354847865144169</v>
      </c>
      <c r="AA248" s="7">
        <v>17.817606583977639</v>
      </c>
      <c r="AB248" s="7">
        <v>16.155154777371479</v>
      </c>
      <c r="AC248" s="7">
        <v>0.59198503209758868</v>
      </c>
      <c r="AD248" s="7">
        <v>53.964687842916483</v>
      </c>
      <c r="AE248" s="7">
        <v>27.635057794641739</v>
      </c>
      <c r="AF248" s="8">
        <v>19.760881384614109</v>
      </c>
      <c r="AG248" s="8">
        <v>18.951445179387949</v>
      </c>
      <c r="AH248" s="8">
        <v>0.57967787727428777</v>
      </c>
      <c r="AI248" s="8">
        <v>52.61665414862852</v>
      </c>
      <c r="AJ248" s="8">
        <v>30.852619876001981</v>
      </c>
      <c r="AK248" s="8">
        <v>19.178625477122111</v>
      </c>
      <c r="AL248" s="8">
        <v>18.904871965456621</v>
      </c>
      <c r="AM248" s="8">
        <v>0.59775660919517615</v>
      </c>
      <c r="AN248" s="8">
        <v>54.947126697961693</v>
      </c>
      <c r="AO248" s="8">
        <v>29.743392879804251</v>
      </c>
      <c r="AP248" s="8">
        <v>19.75561149388006</v>
      </c>
      <c r="AQ248" s="8">
        <v>17.196456702738509</v>
      </c>
      <c r="AR248" s="8">
        <v>0.59963515881202456</v>
      </c>
      <c r="AS248" s="8">
        <v>54.507962769031963</v>
      </c>
      <c r="AT248" s="8">
        <v>28.643759170025859</v>
      </c>
      <c r="AU248" s="8">
        <v>19.49549805874144</v>
      </c>
      <c r="AV248" s="8">
        <v>18.154772752863689</v>
      </c>
      <c r="AW248" s="8">
        <v>0.63742091692364911</v>
      </c>
      <c r="AX248" s="8">
        <v>63.686408831635063</v>
      </c>
      <c r="AY248" s="8">
        <v>30.735437903159831</v>
      </c>
      <c r="AZ248" s="8">
        <v>19.214992258209001</v>
      </c>
      <c r="BA248" s="8">
        <v>19.99008168258495</v>
      </c>
      <c r="BB248" s="8">
        <v>0.62320919755204462</v>
      </c>
      <c r="BC248" s="8">
        <v>57.135884852644182</v>
      </c>
      <c r="BD248" s="8">
        <v>31.626626712689649</v>
      </c>
      <c r="BE248" s="8">
        <v>20.712463593090249</v>
      </c>
      <c r="BF248" s="8">
        <v>19.86852839931008</v>
      </c>
      <c r="BG248" s="8">
        <v>0.65899907886810394</v>
      </c>
      <c r="BH248" s="8">
        <v>61.898420976341079</v>
      </c>
      <c r="BI248" s="8">
        <v>32.05419635641195</v>
      </c>
    </row>
    <row r="249" spans="1:61" x14ac:dyDescent="0.15">
      <c r="A249" s="7">
        <v>2021</v>
      </c>
      <c r="B249" s="7">
        <v>80</v>
      </c>
      <c r="C249" s="7">
        <v>75.298476154573621</v>
      </c>
      <c r="D249" s="7">
        <v>40.922769945804994</v>
      </c>
      <c r="E249" s="8">
        <v>21.26357903734883</v>
      </c>
      <c r="F249" s="8">
        <v>17.866837274477469</v>
      </c>
      <c r="G249" s="8">
        <v>0.58061937461415791</v>
      </c>
      <c r="H249" s="8">
        <v>55.379152204610939</v>
      </c>
      <c r="I249" s="8">
        <v>31.7968727511183</v>
      </c>
      <c r="J249" s="8">
        <v>22.22032015770527</v>
      </c>
      <c r="K249" s="8">
        <v>25.25487195867019</v>
      </c>
      <c r="L249" s="8">
        <v>0.62997414217680259</v>
      </c>
      <c r="M249" s="8">
        <v>57.642199442996422</v>
      </c>
      <c r="N249" s="8">
        <v>36.592349858456053</v>
      </c>
      <c r="O249" s="8">
        <v>296.50400000000002</v>
      </c>
      <c r="P249" s="8">
        <v>292.18799999999999</v>
      </c>
      <c r="Q249" s="8">
        <v>100.265</v>
      </c>
      <c r="R249" s="8">
        <v>-0.89814300000000002</v>
      </c>
      <c r="S249" s="8">
        <v>-0.314552</v>
      </c>
      <c r="T249" s="7">
        <f>C249-D249</f>
        <v>34.375706208768626</v>
      </c>
      <c r="U249" s="8">
        <f>D249/C249</f>
        <v>0.54347407856964114</v>
      </c>
      <c r="V249" s="8">
        <v>21.596764526646272</v>
      </c>
      <c r="W249" s="8">
        <v>14.859760562343968</v>
      </c>
      <c r="X249" s="8">
        <v>0.59646255914390212</v>
      </c>
      <c r="Y249" s="8">
        <v>56.707675829773045</v>
      </c>
      <c r="Z249" s="8">
        <v>31.003768259409092</v>
      </c>
      <c r="AA249" s="7">
        <v>21.908542342175771</v>
      </c>
      <c r="AB249" s="7">
        <v>20.057316260507079</v>
      </c>
      <c r="AC249" s="7">
        <v>0.61321835066035235</v>
      </c>
      <c r="AD249" s="7">
        <v>57.174937636384733</v>
      </c>
      <c r="AE249" s="7">
        <v>33.798059058932573</v>
      </c>
      <c r="AF249" s="8">
        <v>22.503028149128092</v>
      </c>
      <c r="AG249" s="8">
        <v>24.487357934452081</v>
      </c>
      <c r="AH249" s="8">
        <v>0.61423363158404898</v>
      </c>
      <c r="AI249" s="8">
        <v>58.130591872599418</v>
      </c>
      <c r="AJ249" s="8">
        <v>36.127799666955347</v>
      </c>
      <c r="AK249" s="8">
        <v>22.166461788880351</v>
      </c>
      <c r="AL249" s="8">
        <v>25.40109015783251</v>
      </c>
      <c r="AM249" s="8">
        <v>0.63297284844163293</v>
      </c>
      <c r="AN249" s="8">
        <v>57.549156372397412</v>
      </c>
      <c r="AO249" s="8">
        <v>36.680850772157193</v>
      </c>
      <c r="AP249" s="8">
        <v>21.275126755452341</v>
      </c>
      <c r="AQ249" s="8">
        <v>19.678201628491649</v>
      </c>
      <c r="AR249" s="8">
        <v>0.58183889812040102</v>
      </c>
      <c r="AS249" s="8">
        <v>59.086840288268647</v>
      </c>
      <c r="AT249" s="8">
        <v>33.144016485396712</v>
      </c>
      <c r="AU249" s="8">
        <v>21.840244542379381</v>
      </c>
      <c r="AV249" s="8">
        <v>21.64519977256823</v>
      </c>
      <c r="AW249" s="8">
        <v>0.64288111259379521</v>
      </c>
      <c r="AX249" s="8">
        <v>59.637110938620417</v>
      </c>
      <c r="AY249" s="8">
        <v>34.380666424793681</v>
      </c>
      <c r="AZ249" s="8">
        <v>23.415451567927111</v>
      </c>
      <c r="BA249" s="8">
        <v>28.054067605753069</v>
      </c>
      <c r="BB249" s="8">
        <v>0.70019753013263952</v>
      </c>
      <c r="BC249" s="8">
        <v>57.020170346273709</v>
      </c>
      <c r="BD249" s="8">
        <v>39.614812268387134</v>
      </c>
      <c r="BE249" s="8">
        <v>22.207609030422791</v>
      </c>
      <c r="BF249" s="8">
        <v>21.210976564143099</v>
      </c>
      <c r="BG249" s="8">
        <v>0.67765252041526014</v>
      </c>
      <c r="BH249" s="8">
        <v>55.661449686668128</v>
      </c>
      <c r="BI249" s="8">
        <v>34.925725228662493</v>
      </c>
    </row>
    <row r="250" spans="1:61" x14ac:dyDescent="0.15">
      <c r="A250" s="7">
        <v>2022</v>
      </c>
      <c r="B250" s="7">
        <v>80</v>
      </c>
      <c r="C250" s="7">
        <v>30.632513642168895</v>
      </c>
      <c r="D250" s="7">
        <v>29.598273470607822</v>
      </c>
      <c r="E250" s="8">
        <v>19.112657008186641</v>
      </c>
      <c r="F250" s="8">
        <v>16.608597401083401</v>
      </c>
      <c r="G250" s="8">
        <v>0.58066319489156715</v>
      </c>
      <c r="H250" s="8">
        <v>52.781173720602602</v>
      </c>
      <c r="I250" s="8">
        <v>28.994465345719949</v>
      </c>
      <c r="J250" s="8">
        <v>20.520038878360499</v>
      </c>
      <c r="K250" s="8">
        <v>24.119484081646618</v>
      </c>
      <c r="L250" s="8">
        <v>0.61192522613528122</v>
      </c>
      <c r="M250" s="8">
        <v>55.435319490992711</v>
      </c>
      <c r="N250" s="8">
        <v>35.830585523124981</v>
      </c>
      <c r="O250" s="8">
        <v>295.74900000000002</v>
      </c>
      <c r="P250" s="8">
        <v>291.94299999999998</v>
      </c>
      <c r="Q250" s="8">
        <v>100.256</v>
      </c>
      <c r="R250" s="8">
        <v>-1.04338</v>
      </c>
      <c r="S250" s="8">
        <v>-0.65534700000000001</v>
      </c>
      <c r="T250" s="7">
        <f>C250-D250</f>
        <v>1.0342401715610734</v>
      </c>
      <c r="U250" s="8">
        <f>D250/C250</f>
        <v>0.96623717584386115</v>
      </c>
      <c r="V250" s="8">
        <v>19.70642648924338</v>
      </c>
      <c r="W250" s="8">
        <v>13.82720553084188</v>
      </c>
      <c r="X250" s="8">
        <v>0.60185908225732554</v>
      </c>
      <c r="Y250" s="8">
        <v>53.63861199866507</v>
      </c>
      <c r="Z250" s="8">
        <v>27.579031920991277</v>
      </c>
      <c r="AA250" s="7">
        <v>20.11323268380194</v>
      </c>
      <c r="AB250" s="7">
        <v>18.973344806244249</v>
      </c>
      <c r="AC250" s="7">
        <v>0.60689215419630338</v>
      </c>
      <c r="AD250" s="7">
        <v>54.53696574482889</v>
      </c>
      <c r="AE250" s="7">
        <v>31.704808722058129</v>
      </c>
      <c r="AF250" s="8">
        <v>20.453999624165451</v>
      </c>
      <c r="AG250" s="8">
        <v>23.61531732512211</v>
      </c>
      <c r="AH250" s="8">
        <v>0.58960048035170143</v>
      </c>
      <c r="AI250" s="8">
        <v>55.288032392135356</v>
      </c>
      <c r="AJ250" s="8">
        <v>35.590328170536601</v>
      </c>
      <c r="AK250" s="8">
        <v>20.53135906577177</v>
      </c>
      <c r="AL250" s="8">
        <v>24.205906350340442</v>
      </c>
      <c r="AM250" s="8">
        <v>0.61575204564224351</v>
      </c>
      <c r="AN250" s="8">
        <v>55.460566862160789</v>
      </c>
      <c r="AO250" s="8">
        <v>35.871769486986857</v>
      </c>
      <c r="AP250" s="8">
        <v>20.257668774521449</v>
      </c>
      <c r="AQ250" s="8">
        <v>19.365459384191869</v>
      </c>
      <c r="AR250" s="8">
        <v>0.58329282227024759</v>
      </c>
      <c r="AS250" s="8">
        <v>55.862233328849022</v>
      </c>
      <c r="AT250" s="8">
        <v>32.933349911961592</v>
      </c>
      <c r="AU250" s="8">
        <v>20.973068312794069</v>
      </c>
      <c r="AV250" s="8">
        <v>21.442197835888901</v>
      </c>
      <c r="AW250" s="8">
        <v>0.66714669920093306</v>
      </c>
      <c r="AX250" s="8">
        <v>59.062999200197609</v>
      </c>
      <c r="AY250" s="8">
        <v>34.002396480086489</v>
      </c>
      <c r="AZ250" s="8">
        <v>21.152478632766581</v>
      </c>
      <c r="BA250" s="8">
        <v>26.201773967565209</v>
      </c>
      <c r="BB250" s="8">
        <v>0.67723755996730439</v>
      </c>
      <c r="BC250" s="8">
        <v>55.916336369631523</v>
      </c>
      <c r="BD250" s="8">
        <v>38.028665275734269</v>
      </c>
      <c r="BE250" s="8">
        <v>22.076602064705721</v>
      </c>
      <c r="BF250" s="8">
        <v>20.600208313910489</v>
      </c>
      <c r="BG250" s="8">
        <v>0.70274787697192231</v>
      </c>
      <c r="BH250" s="8">
        <v>55.355281204638153</v>
      </c>
      <c r="BI250" s="8">
        <v>33.951684832102949</v>
      </c>
    </row>
    <row r="251" spans="1:61" x14ac:dyDescent="0.15">
      <c r="A251" s="7">
        <v>2023</v>
      </c>
      <c r="B251" s="7">
        <v>73</v>
      </c>
      <c r="C251" s="9">
        <v>30.520731853092084</v>
      </c>
      <c r="D251" s="7">
        <v>5.6741364807772001</v>
      </c>
      <c r="E251" s="8">
        <v>17.942800414907481</v>
      </c>
      <c r="F251" s="8">
        <v>20.627011115715071</v>
      </c>
      <c r="G251" s="8">
        <v>0.58095115038969192</v>
      </c>
      <c r="H251" s="8">
        <v>63.079730891497753</v>
      </c>
      <c r="I251" s="8">
        <v>34.264277031344072</v>
      </c>
      <c r="J251" s="8">
        <v>18.459052990136151</v>
      </c>
      <c r="K251" s="8">
        <v>21.357998528790031</v>
      </c>
      <c r="L251" s="8">
        <v>0.541547352297163</v>
      </c>
      <c r="M251" s="8">
        <v>62.906114411987183</v>
      </c>
      <c r="N251" s="8">
        <v>33.558849035792399</v>
      </c>
      <c r="O251" s="7">
        <v>296.94600000000003</v>
      </c>
      <c r="P251" s="7">
        <v>293.16300000000001</v>
      </c>
      <c r="Q251" s="7">
        <v>100.97499999999999</v>
      </c>
      <c r="R251" s="7">
        <v>-1.6986300000000001</v>
      </c>
      <c r="S251" s="7">
        <v>-0.37226399999999998</v>
      </c>
      <c r="T251" s="7">
        <f>C251-D251</f>
        <v>24.846595372314884</v>
      </c>
      <c r="U251" s="8">
        <f>D251/C251</f>
        <v>0.18591089191730337</v>
      </c>
      <c r="V251" s="8">
        <v>17.961518692029706</v>
      </c>
      <c r="W251" s="8">
        <v>20.058587036376071</v>
      </c>
      <c r="X251" s="8">
        <v>0.55439131955181264</v>
      </c>
      <c r="Y251" s="8">
        <v>61.983450870810195</v>
      </c>
      <c r="Z251" s="8">
        <v>32.519420687491397</v>
      </c>
      <c r="AA251" s="7">
        <v>18.210285841082928</v>
      </c>
      <c r="AB251" s="7">
        <v>20.708292782583051</v>
      </c>
      <c r="AC251" s="7">
        <v>0.54796933592448782</v>
      </c>
      <c r="AD251" s="7">
        <v>62.444782641398689</v>
      </c>
      <c r="AE251" s="7">
        <v>33.039134861641898</v>
      </c>
      <c r="AF251" s="8">
        <v>18.620280257153748</v>
      </c>
      <c r="AG251" s="8">
        <v>21.622745480853549</v>
      </c>
      <c r="AH251" s="8">
        <v>0.53931414222330731</v>
      </c>
      <c r="AI251" s="8">
        <v>62.893869672833532</v>
      </c>
      <c r="AJ251" s="8">
        <v>33.722708240911963</v>
      </c>
      <c r="AK251" s="8">
        <v>18.438594667078881</v>
      </c>
      <c r="AL251" s="8">
        <v>21.324404467599699</v>
      </c>
      <c r="AM251" s="8">
        <v>0.54183072702645529</v>
      </c>
      <c r="AN251" s="8">
        <v>62.907668161759119</v>
      </c>
      <c r="AO251" s="8">
        <v>33.53805674292375</v>
      </c>
      <c r="AP251" s="8">
        <v>18.677221202205239</v>
      </c>
      <c r="AQ251" s="8">
        <v>21.783895564119469</v>
      </c>
      <c r="AR251" s="8">
        <v>0.55451178273855972</v>
      </c>
      <c r="AS251" s="8">
        <v>62.985441795035449</v>
      </c>
      <c r="AT251" s="8">
        <v>34.188139719079103</v>
      </c>
      <c r="AU251" s="8">
        <v>17.788022783854679</v>
      </c>
      <c r="AV251" s="8">
        <v>18.169165754127679</v>
      </c>
      <c r="AW251" s="8">
        <v>0.5718071723094692</v>
      </c>
      <c r="AX251" s="8">
        <v>64.171795613483724</v>
      </c>
      <c r="AY251" s="8">
        <v>32.476784167083231</v>
      </c>
      <c r="AZ251" s="8">
        <v>18.470183346523658</v>
      </c>
      <c r="BA251" s="8">
        <v>20.701295921574381</v>
      </c>
      <c r="BB251" s="8">
        <v>0.53897301561744637</v>
      </c>
      <c r="BC251" s="8">
        <v>62.939530371055298</v>
      </c>
      <c r="BD251" s="8">
        <v>33.359503720585849</v>
      </c>
      <c r="BE251" s="8">
        <v>17.67234261552883</v>
      </c>
      <c r="BF251" s="8">
        <v>16.99609491249263</v>
      </c>
      <c r="BG251" s="8">
        <v>0.57052543939244915</v>
      </c>
      <c r="BH251" s="8">
        <v>64.254460726932791</v>
      </c>
      <c r="BI251" s="8">
        <v>32.371958256683151</v>
      </c>
    </row>
    <row r="252" spans="1:61" x14ac:dyDescent="0.15">
      <c r="A252" s="7">
        <v>2023</v>
      </c>
      <c r="B252" s="7">
        <v>48</v>
      </c>
      <c r="C252" s="9">
        <v>70.314413809619353</v>
      </c>
      <c r="D252" s="7">
        <v>57.888260736865554</v>
      </c>
      <c r="E252" s="8">
        <v>30.921278644102681</v>
      </c>
      <c r="F252" s="8">
        <v>16.456250704462121</v>
      </c>
      <c r="G252" s="8">
        <v>0.58115464043407006</v>
      </c>
      <c r="H252" s="8">
        <v>82.18538681294622</v>
      </c>
      <c r="I252" s="8">
        <v>59.272637980551821</v>
      </c>
      <c r="J252" s="8">
        <v>37.120163973575352</v>
      </c>
      <c r="K252" s="8">
        <v>21.007287299343808</v>
      </c>
      <c r="L252" s="8">
        <v>0.70135426050229743</v>
      </c>
      <c r="M252" s="8">
        <v>85.735131530587964</v>
      </c>
      <c r="N252" s="8">
        <v>80.719444093266389</v>
      </c>
      <c r="O252" s="7">
        <v>287.07299999999998</v>
      </c>
      <c r="P252" s="7">
        <v>279.93599999999998</v>
      </c>
      <c r="Q252" s="7">
        <v>94.661100000000005</v>
      </c>
      <c r="R252" s="7">
        <v>0.17748</v>
      </c>
      <c r="S252" s="7">
        <v>-0.104103</v>
      </c>
      <c r="T252" s="7">
        <f>C252-D252</f>
        <v>12.426153072753799</v>
      </c>
      <c r="U252" s="8">
        <f>D252/C252</f>
        <v>0.82327729978097552</v>
      </c>
      <c r="V252" s="8">
        <v>30.089306647000889</v>
      </c>
      <c r="W252" s="8">
        <v>16.019438968436212</v>
      </c>
      <c r="X252" s="8">
        <v>0.54164045526110394</v>
      </c>
      <c r="Y252" s="8">
        <v>81.770652188074067</v>
      </c>
      <c r="Z252" s="8">
        <v>58.229749578837954</v>
      </c>
      <c r="AA252" s="7">
        <v>33.60473531028812</v>
      </c>
      <c r="AB252" s="7">
        <v>18.51336313389001</v>
      </c>
      <c r="AC252" s="7">
        <v>0.62149735788170068</v>
      </c>
      <c r="AD252" s="7">
        <v>83.752891859331015</v>
      </c>
      <c r="AE252" s="7">
        <v>69.474596836052172</v>
      </c>
      <c r="AF252" s="8">
        <v>36.077273215443697</v>
      </c>
      <c r="AG252" s="8">
        <v>19.642325866020631</v>
      </c>
      <c r="AH252" s="8">
        <v>0.6888843822806876</v>
      </c>
      <c r="AI252" s="8">
        <v>86.473541845057682</v>
      </c>
      <c r="AJ252" s="8">
        <v>78.447006346402787</v>
      </c>
      <c r="AK252" s="8">
        <v>37.26357118692701</v>
      </c>
      <c r="AL252" s="8">
        <v>21.19498223666977</v>
      </c>
      <c r="AM252" s="8">
        <v>0.70306898514881655</v>
      </c>
      <c r="AN252" s="8">
        <v>85.633593220192026</v>
      </c>
      <c r="AO252" s="8">
        <v>81.031925493884657</v>
      </c>
      <c r="AP252" s="8">
        <v>35.224717780059507</v>
      </c>
      <c r="AQ252" s="8">
        <v>19.781120104620921</v>
      </c>
      <c r="AR252" s="8">
        <v>0.64788439744198856</v>
      </c>
      <c r="AS252" s="8">
        <v>86.122139793976956</v>
      </c>
      <c r="AT252" s="8">
        <v>76.506351561454792</v>
      </c>
      <c r="AU252" s="8">
        <v>34.401329352851377</v>
      </c>
      <c r="AV252" s="8">
        <v>17.242901911067801</v>
      </c>
      <c r="AW252" s="8">
        <v>0.58412002662478113</v>
      </c>
      <c r="AX252" s="8">
        <v>82.758280887831248</v>
      </c>
      <c r="AY252" s="8">
        <v>73.02323090214206</v>
      </c>
      <c r="AZ252" s="8">
        <v>38.403180367732048</v>
      </c>
      <c r="BA252" s="8">
        <v>21.947518114054709</v>
      </c>
      <c r="BB252" s="8">
        <v>0.67085593977149882</v>
      </c>
      <c r="BC252" s="8">
        <v>81.423665940435413</v>
      </c>
      <c r="BD252" s="8">
        <v>83.676804497335084</v>
      </c>
      <c r="BE252" s="8">
        <v>34.441791688280382</v>
      </c>
      <c r="BF252" s="8">
        <v>25.786182531707968</v>
      </c>
      <c r="BG252" s="8">
        <v>0.64657429826003698</v>
      </c>
      <c r="BH252" s="8">
        <v>70.37489534721216</v>
      </c>
      <c r="BI252" s="8">
        <v>71.099774874005135</v>
      </c>
    </row>
    <row r="253" spans="1:61" x14ac:dyDescent="0.15">
      <c r="A253" s="7">
        <v>2020</v>
      </c>
      <c r="B253" s="7">
        <v>124</v>
      </c>
      <c r="C253" s="7">
        <v>0.58393527600821582</v>
      </c>
      <c r="D253" s="7">
        <v>0.51673187681364974</v>
      </c>
      <c r="E253" s="8">
        <v>27.35733535123504</v>
      </c>
      <c r="F253" s="8">
        <v>14.588120207746361</v>
      </c>
      <c r="G253" s="8">
        <v>0.58129343478594364</v>
      </c>
      <c r="H253" s="8">
        <v>78.984802411156679</v>
      </c>
      <c r="I253" s="8">
        <v>55.292700920773171</v>
      </c>
      <c r="J253" s="8">
        <v>40.422380682525393</v>
      </c>
      <c r="K253" s="8">
        <v>28.20715762830833</v>
      </c>
      <c r="L253" s="8">
        <v>0.6747643355655103</v>
      </c>
      <c r="M253" s="8">
        <v>57.335887489474523</v>
      </c>
      <c r="N253" s="8">
        <v>71.139451819146046</v>
      </c>
      <c r="O253" s="8">
        <v>283.286</v>
      </c>
      <c r="P253" s="8">
        <v>277.61200000000002</v>
      </c>
      <c r="Q253" s="8">
        <v>85.713899999999995</v>
      </c>
      <c r="R253" s="8">
        <v>-0.35305900000000001</v>
      </c>
      <c r="S253" s="8">
        <v>-7.7941999999999997E-2</v>
      </c>
      <c r="T253" s="7">
        <f>C253-D253</f>
        <v>6.7203399194566082E-2</v>
      </c>
      <c r="U253" s="8">
        <f>D253/C253</f>
        <v>0.88491293135436377</v>
      </c>
      <c r="V253" s="8">
        <v>24.485270510598333</v>
      </c>
      <c r="W253" s="8">
        <v>10.016928193125047</v>
      </c>
      <c r="X253" s="8">
        <v>0.55669962330788414</v>
      </c>
      <c r="Y253" s="8">
        <v>83.934699537328839</v>
      </c>
      <c r="Z253" s="8">
        <v>54.450013097534537</v>
      </c>
      <c r="AA253" s="7">
        <v>32.453825596561863</v>
      </c>
      <c r="AB253" s="7">
        <v>19.112042910716688</v>
      </c>
      <c r="AC253" s="7">
        <v>0.61573197943669722</v>
      </c>
      <c r="AD253" s="7">
        <v>70.635293513401678</v>
      </c>
      <c r="AE253" s="7">
        <v>62.794732458340292</v>
      </c>
      <c r="AF253" s="8">
        <v>39.813313351869233</v>
      </c>
      <c r="AG253" s="8">
        <v>28.575725173627401</v>
      </c>
      <c r="AH253" s="8">
        <v>0.66574641870489404</v>
      </c>
      <c r="AI253" s="8">
        <v>57.790974916125528</v>
      </c>
      <c r="AJ253" s="8">
        <v>68.3163911612818</v>
      </c>
      <c r="AK253" s="8">
        <v>40.497848276437708</v>
      </c>
      <c r="AL253" s="8">
        <v>28.16148959714101</v>
      </c>
      <c r="AM253" s="8">
        <v>0.67588171693423149</v>
      </c>
      <c r="AN253" s="8">
        <v>57.279499055256423</v>
      </c>
      <c r="AO253" s="8">
        <v>71.489248277754385</v>
      </c>
      <c r="AP253" s="8">
        <v>40.858211927040308</v>
      </c>
      <c r="AQ253" s="8">
        <v>26.309834189163471</v>
      </c>
      <c r="AR253" s="8">
        <v>0.67778257206466197</v>
      </c>
      <c r="AS253" s="8">
        <v>56.45611436109288</v>
      </c>
      <c r="AT253" s="8">
        <v>76.418316382514561</v>
      </c>
      <c r="AU253" s="8">
        <v>38.833115518785718</v>
      </c>
      <c r="AV253" s="8">
        <v>22.746773256488829</v>
      </c>
      <c r="AW253" s="8">
        <v>0.63077182319455083</v>
      </c>
      <c r="AX253" s="8">
        <v>64.148578115944275</v>
      </c>
      <c r="AY253" s="8">
        <v>69.761933083059503</v>
      </c>
      <c r="AZ253" s="8">
        <v>40.07781931706927</v>
      </c>
      <c r="BA253" s="8">
        <v>31.993397859861599</v>
      </c>
      <c r="BB253" s="8">
        <v>0.66961053894948286</v>
      </c>
      <c r="BC253" s="8">
        <v>54.381318218272973</v>
      </c>
      <c r="BD253" s="8">
        <v>67.692125323816569</v>
      </c>
      <c r="BE253" s="8">
        <v>29.892168271974722</v>
      </c>
      <c r="BF253" s="8">
        <v>28.216506677525391</v>
      </c>
      <c r="BG253" s="8">
        <v>0.54557986317764084</v>
      </c>
      <c r="BH253" s="8">
        <v>64.687447236124243</v>
      </c>
      <c r="BI253" s="8">
        <v>56.394398850723007</v>
      </c>
    </row>
    <row r="254" spans="1:61" x14ac:dyDescent="0.15">
      <c r="A254" s="7">
        <v>2021</v>
      </c>
      <c r="B254" s="7">
        <v>7</v>
      </c>
      <c r="C254" s="7">
        <v>63.703357886400426</v>
      </c>
      <c r="D254" s="7">
        <v>35.371090077637895</v>
      </c>
      <c r="E254" s="8">
        <v>29.150732642057481</v>
      </c>
      <c r="F254" s="8">
        <v>19.098712994511821</v>
      </c>
      <c r="G254" s="8">
        <v>0.58151627725726474</v>
      </c>
      <c r="H254" s="8">
        <v>66.285272139895568</v>
      </c>
      <c r="I254" s="8">
        <v>48.837047239094538</v>
      </c>
      <c r="J254" s="8">
        <v>32.772225239287707</v>
      </c>
      <c r="K254" s="8">
        <v>23.77690528561828</v>
      </c>
      <c r="L254" s="8">
        <v>0.61234794291982397</v>
      </c>
      <c r="M254" s="8">
        <v>60.227321510033121</v>
      </c>
      <c r="N254" s="8">
        <v>46.835891232907137</v>
      </c>
      <c r="O254" s="8">
        <v>286.67899999999997</v>
      </c>
      <c r="P254" s="8">
        <v>282.95299999999997</v>
      </c>
      <c r="Q254" s="8">
        <v>87.806899999999999</v>
      </c>
      <c r="R254" s="8">
        <v>-0.245036</v>
      </c>
      <c r="S254" s="8">
        <v>-0.19482099999999999</v>
      </c>
      <c r="T254" s="7">
        <f>C254-D254</f>
        <v>28.332267808762531</v>
      </c>
      <c r="U254" s="8">
        <f>D254/C254</f>
        <v>0.55524687004276452</v>
      </c>
      <c r="V254" s="8">
        <v>31.224872686285494</v>
      </c>
      <c r="W254" s="8">
        <v>20.54868532940112</v>
      </c>
      <c r="X254" s="8">
        <v>0.58667075833501459</v>
      </c>
      <c r="Y254" s="8">
        <v>61.815737085365072</v>
      </c>
      <c r="Z254" s="8">
        <v>49.218414606589967</v>
      </c>
      <c r="AA254" s="7">
        <v>31.9985489627866</v>
      </c>
      <c r="AB254" s="7">
        <v>22.1627953075097</v>
      </c>
      <c r="AC254" s="7">
        <v>0.59950935062741928</v>
      </c>
      <c r="AD254" s="7">
        <v>61.021529297699097</v>
      </c>
      <c r="AE254" s="7">
        <v>48.027152919748552</v>
      </c>
      <c r="AF254" s="8">
        <v>32.221153874950502</v>
      </c>
      <c r="AG254" s="8">
        <v>23.98044204986471</v>
      </c>
      <c r="AH254" s="8">
        <v>0.60851754446236272</v>
      </c>
      <c r="AI254" s="8">
        <v>59.900662779225939</v>
      </c>
      <c r="AJ254" s="8">
        <v>47.322037158619601</v>
      </c>
      <c r="AK254" s="8">
        <v>32.833037501110248</v>
      </c>
      <c r="AL254" s="8">
        <v>23.75444443608248</v>
      </c>
      <c r="AM254" s="8">
        <v>0.61277063807140375</v>
      </c>
      <c r="AN254" s="8">
        <v>60.263369211928072</v>
      </c>
      <c r="AO254" s="8">
        <v>46.782243674293852</v>
      </c>
      <c r="AP254" s="8">
        <v>33.027088189400551</v>
      </c>
      <c r="AQ254" s="8">
        <v>22.833855995945001</v>
      </c>
      <c r="AR254" s="8">
        <v>0.60168558390250049</v>
      </c>
      <c r="AS254" s="8">
        <v>59.29311972134856</v>
      </c>
      <c r="AT254" s="8">
        <v>48.186567716075793</v>
      </c>
      <c r="AU254" s="8">
        <v>22.42498039702399</v>
      </c>
      <c r="AV254" s="8">
        <v>16.542187672085479</v>
      </c>
      <c r="AW254" s="8">
        <v>0.50270433212698284</v>
      </c>
      <c r="AX254" s="8">
        <v>62.849963066166943</v>
      </c>
      <c r="AY254" s="8">
        <v>35.165487620344393</v>
      </c>
      <c r="AZ254" s="8">
        <v>32.530134454842759</v>
      </c>
      <c r="BA254" s="8">
        <v>24.910914042991021</v>
      </c>
      <c r="BB254" s="8">
        <v>0.61880850336523763</v>
      </c>
      <c r="BC254" s="8">
        <v>60.506824963953257</v>
      </c>
      <c r="BD254" s="8">
        <v>46.350995474754129</v>
      </c>
      <c r="BE254" s="8">
        <v>24.843770005070141</v>
      </c>
      <c r="BF254" s="8">
        <v>23.730118642322999</v>
      </c>
      <c r="BG254" s="8">
        <v>0.63353266841871669</v>
      </c>
      <c r="BH254" s="8">
        <v>61.033519479826367</v>
      </c>
      <c r="BI254" s="8">
        <v>37.496098772501682</v>
      </c>
    </row>
    <row r="255" spans="1:61" x14ac:dyDescent="0.15">
      <c r="A255" s="7">
        <v>2017</v>
      </c>
      <c r="B255" s="7">
        <v>47</v>
      </c>
      <c r="C255" s="7">
        <v>45.058819290517441</v>
      </c>
      <c r="D255" s="7">
        <v>29.422441752965696</v>
      </c>
      <c r="E255" s="8">
        <v>23.2159162671113</v>
      </c>
      <c r="F255" s="8">
        <v>14.238002576588761</v>
      </c>
      <c r="G255" s="8">
        <v>0.58157996932732214</v>
      </c>
      <c r="H255" s="8">
        <v>69.834705534189226</v>
      </c>
      <c r="I255" s="8">
        <v>38.323649851617432</v>
      </c>
      <c r="J255" s="8">
        <v>28.665045470690391</v>
      </c>
      <c r="K255" s="8">
        <v>21.27359407914545</v>
      </c>
      <c r="L255" s="8">
        <v>0.66106234440899281</v>
      </c>
      <c r="M255" s="8">
        <v>66.031412664328585</v>
      </c>
      <c r="N255" s="8">
        <v>48.285312786160333</v>
      </c>
      <c r="O255" s="8">
        <v>294.11399999999998</v>
      </c>
      <c r="P255" s="8">
        <v>289.86900000000003</v>
      </c>
      <c r="Q255" s="8">
        <v>97.494500000000002</v>
      </c>
      <c r="R255" s="8">
        <v>-0.89881699999999998</v>
      </c>
      <c r="S255" s="8">
        <v>-0.555759</v>
      </c>
      <c r="T255" s="7">
        <f>C255-D255</f>
        <v>15.636377537551745</v>
      </c>
      <c r="U255" s="8">
        <f>D255/C255</f>
        <v>0.65297853375304937</v>
      </c>
      <c r="V255" s="8">
        <v>23.223648521617651</v>
      </c>
      <c r="W255" s="8">
        <v>12.895327597151347</v>
      </c>
      <c r="X255" s="8">
        <v>0.5910543337432218</v>
      </c>
      <c r="Y255" s="8">
        <v>70.832248934539038</v>
      </c>
      <c r="Z255" s="8">
        <v>35.990441577985223</v>
      </c>
      <c r="AA255" s="7">
        <v>25.944346996154021</v>
      </c>
      <c r="AB255" s="7">
        <v>17.084460838148399</v>
      </c>
      <c r="AC255" s="7">
        <v>0.62605833907610731</v>
      </c>
      <c r="AD255" s="7">
        <v>68.431830799433811</v>
      </c>
      <c r="AE255" s="7">
        <v>42.137877182072778</v>
      </c>
      <c r="AF255" s="8">
        <v>28.157322038184351</v>
      </c>
      <c r="AG255" s="8">
        <v>19.736640048868072</v>
      </c>
      <c r="AH255" s="8">
        <v>0.64711958560741878</v>
      </c>
      <c r="AI255" s="8">
        <v>65.429996862959356</v>
      </c>
      <c r="AJ255" s="8">
        <v>48.128432768122927</v>
      </c>
      <c r="AK255" s="8">
        <v>28.77465970715852</v>
      </c>
      <c r="AL255" s="8">
        <v>21.60541260815037</v>
      </c>
      <c r="AM255" s="8">
        <v>0.66407249671327073</v>
      </c>
      <c r="AN255" s="8">
        <v>66.161254483016322</v>
      </c>
      <c r="AO255" s="8">
        <v>48.319182177039927</v>
      </c>
      <c r="AP255" s="8">
        <v>29.72603400527014</v>
      </c>
      <c r="AQ255" s="8">
        <v>20.337809243397579</v>
      </c>
      <c r="AR255" s="8">
        <v>0.62535012061736128</v>
      </c>
      <c r="AS255" s="8">
        <v>66.509480133376641</v>
      </c>
      <c r="AT255" s="8">
        <v>50.723772888347177</v>
      </c>
      <c r="AU255" s="8">
        <v>25.070994086670591</v>
      </c>
      <c r="AV255" s="8">
        <v>19.87875197381625</v>
      </c>
      <c r="AW255" s="8">
        <v>0.65657780527204324</v>
      </c>
      <c r="AX255" s="8">
        <v>67.900220547966242</v>
      </c>
      <c r="AY255" s="8">
        <v>44.063364767587373</v>
      </c>
      <c r="AZ255" s="8">
        <v>28.977079094763958</v>
      </c>
      <c r="BA255" s="8">
        <v>23.535013118358041</v>
      </c>
      <c r="BB255" s="8">
        <v>0.70971764618606825</v>
      </c>
      <c r="BC255" s="8">
        <v>65.677490045480241</v>
      </c>
      <c r="BD255" s="8">
        <v>48.463701494534469</v>
      </c>
      <c r="BE255" s="8">
        <v>26.99579695000115</v>
      </c>
      <c r="BF255" s="8">
        <v>22.933134491098709</v>
      </c>
      <c r="BG255" s="8">
        <v>0.75985787594991916</v>
      </c>
      <c r="BH255" s="8">
        <v>65.773822766924965</v>
      </c>
      <c r="BI255" s="8">
        <v>45.452526802592253</v>
      </c>
    </row>
    <row r="256" spans="1:61" x14ac:dyDescent="0.15">
      <c r="A256" s="7">
        <v>2021</v>
      </c>
      <c r="B256" s="7">
        <v>9</v>
      </c>
      <c r="C256" s="7">
        <v>88.718749109176983</v>
      </c>
      <c r="D256" s="7">
        <v>39.500251168424754</v>
      </c>
      <c r="E256" s="8">
        <v>18.93460841948362</v>
      </c>
      <c r="F256" s="8">
        <v>15.90267069079788</v>
      </c>
      <c r="G256" s="8">
        <v>0.58165485112375559</v>
      </c>
      <c r="H256" s="8">
        <v>71.996035590470697</v>
      </c>
      <c r="I256" s="8">
        <v>26.745270743789529</v>
      </c>
      <c r="J256" s="8">
        <v>25.793964829266489</v>
      </c>
      <c r="K256" s="8">
        <v>28.547478077913159</v>
      </c>
      <c r="L256" s="8">
        <v>0.73913394454300163</v>
      </c>
      <c r="M256" s="8">
        <v>66.283590818991399</v>
      </c>
      <c r="N256" s="8">
        <v>40.793684031350217</v>
      </c>
      <c r="O256" s="8">
        <v>291.05500000000001</v>
      </c>
      <c r="P256" s="8">
        <v>286.10199999999998</v>
      </c>
      <c r="Q256" s="8">
        <v>98.383300000000006</v>
      </c>
      <c r="R256" s="8">
        <v>-0.37299399999999999</v>
      </c>
      <c r="S256" s="8">
        <v>-0.251226</v>
      </c>
      <c r="T256" s="7">
        <f>C256-D256</f>
        <v>49.218497940752229</v>
      </c>
      <c r="U256" s="8">
        <f>D256/C256</f>
        <v>0.44523002820763269</v>
      </c>
      <c r="V256" s="8">
        <v>16.88934107061063</v>
      </c>
      <c r="W256" s="8">
        <v>9.9681591241925211</v>
      </c>
      <c r="X256" s="8">
        <v>0.52562453340907456</v>
      </c>
      <c r="Y256" s="8">
        <v>74.523097203289211</v>
      </c>
      <c r="Z256" s="8">
        <v>22.277401263314182</v>
      </c>
      <c r="AA256" s="7">
        <v>21.34165294993856</v>
      </c>
      <c r="AB256" s="7">
        <v>19.25781860105284</v>
      </c>
      <c r="AC256" s="7">
        <v>0.63237923897603809</v>
      </c>
      <c r="AD256" s="7">
        <v>70.403344011140305</v>
      </c>
      <c r="AE256" s="7">
        <v>31.5355426473322</v>
      </c>
      <c r="AF256" s="8">
        <v>25.702216745740341</v>
      </c>
      <c r="AG256" s="8">
        <v>29.523967545407942</v>
      </c>
      <c r="AH256" s="8">
        <v>0.71638984626427427</v>
      </c>
      <c r="AI256" s="8">
        <v>65.816690037028707</v>
      </c>
      <c r="AJ256" s="8">
        <v>40.566036421151551</v>
      </c>
      <c r="AK256" s="8">
        <v>25.801779957195251</v>
      </c>
      <c r="AL256" s="8">
        <v>28.464300426497761</v>
      </c>
      <c r="AM256" s="8">
        <v>0.74107129332284993</v>
      </c>
      <c r="AN256" s="8">
        <v>66.323361560797053</v>
      </c>
      <c r="AO256" s="8">
        <v>40.813075119730563</v>
      </c>
      <c r="AP256" s="8">
        <v>26.65659636452871</v>
      </c>
      <c r="AQ256" s="8">
        <v>27.004553876936001</v>
      </c>
      <c r="AR256" s="8">
        <v>0.73205363844195859</v>
      </c>
      <c r="AS256" s="8">
        <v>67.535824167415697</v>
      </c>
      <c r="AT256" s="8">
        <v>40.915649973378159</v>
      </c>
      <c r="AU256" s="8">
        <v>24.77262298386189</v>
      </c>
      <c r="AV256" s="8">
        <v>21.128290680236589</v>
      </c>
      <c r="AW256" s="8">
        <v>0.68151374418369881</v>
      </c>
      <c r="AX256" s="8">
        <v>66.487047113674762</v>
      </c>
      <c r="AY256" s="8">
        <v>36.59371619063878</v>
      </c>
      <c r="AZ256" s="8">
        <v>26.7704717210006</v>
      </c>
      <c r="BA256" s="8">
        <v>29.825675773460141</v>
      </c>
      <c r="BB256" s="8">
        <v>0.74652861114216806</v>
      </c>
      <c r="BC256" s="8">
        <v>66.007174106025616</v>
      </c>
      <c r="BD256" s="8">
        <v>43.681312748665121</v>
      </c>
      <c r="BE256" s="8">
        <v>33.814452752230572</v>
      </c>
      <c r="BF256" s="8">
        <v>29.969919023513761</v>
      </c>
      <c r="BG256" s="8">
        <v>0.55768295253336631</v>
      </c>
      <c r="BH256" s="8">
        <v>60.911217504395502</v>
      </c>
      <c r="BI256" s="8">
        <v>53.462552161764229</v>
      </c>
    </row>
    <row r="257" spans="1:61" x14ac:dyDescent="0.15">
      <c r="A257" s="7">
        <v>2021</v>
      </c>
      <c r="B257" s="7">
        <v>108</v>
      </c>
      <c r="C257" s="7">
        <v>112.28549171482263</v>
      </c>
      <c r="D257" s="7">
        <v>44.87310570251821</v>
      </c>
      <c r="E257" s="8">
        <v>21.918767691704701</v>
      </c>
      <c r="F257" s="8">
        <v>11.45454971114793</v>
      </c>
      <c r="G257" s="8">
        <v>0.58217685044492562</v>
      </c>
      <c r="H257" s="8">
        <v>52.854954330643118</v>
      </c>
      <c r="I257" s="8">
        <v>32.131897906702243</v>
      </c>
      <c r="J257" s="8">
        <v>25.14387350621228</v>
      </c>
      <c r="K257" s="8">
        <v>15.09148753413603</v>
      </c>
      <c r="L257" s="8">
        <v>0.65795458099985449</v>
      </c>
      <c r="M257" s="8">
        <v>54.49080958768544</v>
      </c>
      <c r="N257" s="8">
        <v>38.612512818222427</v>
      </c>
      <c r="O257" s="8">
        <v>292.77100000000002</v>
      </c>
      <c r="P257" s="8">
        <v>288.74200000000002</v>
      </c>
      <c r="Q257" s="8">
        <v>96.2834</v>
      </c>
      <c r="R257" s="8">
        <v>-0.47618700000000003</v>
      </c>
      <c r="S257" s="8">
        <v>-0.34571400000000002</v>
      </c>
      <c r="T257" s="7">
        <f>C257-D257</f>
        <v>67.41238601230441</v>
      </c>
      <c r="U257" s="8">
        <f>D257/C257</f>
        <v>0.39963404904067923</v>
      </c>
      <c r="V257" s="8">
        <v>21.037161736357461</v>
      </c>
      <c r="W257" s="8">
        <v>8.7913772783772313</v>
      </c>
      <c r="X257" s="8">
        <v>0.55149857194509344</v>
      </c>
      <c r="Y257" s="8">
        <v>52.342880901901374</v>
      </c>
      <c r="Z257" s="8">
        <v>29.654434464743119</v>
      </c>
      <c r="AA257" s="7">
        <v>23.090517621284871</v>
      </c>
      <c r="AB257" s="7">
        <v>11.941432406256631</v>
      </c>
      <c r="AC257" s="7">
        <v>0.60472657647247396</v>
      </c>
      <c r="AD257" s="7">
        <v>53.416845244793407</v>
      </c>
      <c r="AE257" s="7">
        <v>34.133473641482773</v>
      </c>
      <c r="AF257" s="8">
        <v>24.730996848317769</v>
      </c>
      <c r="AG257" s="8">
        <v>15.279371445460139</v>
      </c>
      <c r="AH257" s="8">
        <v>0.63674440894545548</v>
      </c>
      <c r="AI257" s="8">
        <v>54.350333982068769</v>
      </c>
      <c r="AJ257" s="8">
        <v>38.794237083893762</v>
      </c>
      <c r="AK257" s="8">
        <v>25.215358071797588</v>
      </c>
      <c r="AL257" s="8">
        <v>15.05895772281184</v>
      </c>
      <c r="AM257" s="8">
        <v>0.6616268640081272</v>
      </c>
      <c r="AN257" s="8">
        <v>54.515131228182263</v>
      </c>
      <c r="AO257" s="8">
        <v>38.581049474535071</v>
      </c>
      <c r="AP257" s="8">
        <v>26.571447671240271</v>
      </c>
      <c r="AQ257" s="8">
        <v>13.09170556359042</v>
      </c>
      <c r="AR257" s="8">
        <v>0.65570522844226897</v>
      </c>
      <c r="AS257" s="8">
        <v>54.936888329164212</v>
      </c>
      <c r="AT257" s="8">
        <v>40.049613965374292</v>
      </c>
      <c r="AU257" s="8">
        <v>25.762866808468392</v>
      </c>
      <c r="AV257" s="8">
        <v>16.045993023059818</v>
      </c>
      <c r="AW257" s="8">
        <v>0.6373656468401776</v>
      </c>
      <c r="AX257" s="8">
        <v>58.201838103673218</v>
      </c>
      <c r="AY257" s="8">
        <v>40.561578742682038</v>
      </c>
      <c r="AZ257" s="8">
        <v>25.283496195557628</v>
      </c>
      <c r="BA257" s="8">
        <v>17.159518380757241</v>
      </c>
      <c r="BB257" s="8">
        <v>0.72148833800727852</v>
      </c>
      <c r="BC257" s="8">
        <v>55.620125877503533</v>
      </c>
      <c r="BD257" s="8">
        <v>39.153671766385798</v>
      </c>
      <c r="BE257" s="8">
        <v>26.19373583871678</v>
      </c>
      <c r="BF257" s="8">
        <v>18.640079315900358</v>
      </c>
      <c r="BG257" s="8">
        <v>0.56552087537202833</v>
      </c>
      <c r="BH257" s="8">
        <v>57.892143514441763</v>
      </c>
      <c r="BI257" s="8">
        <v>41.159969583445402</v>
      </c>
    </row>
    <row r="258" spans="1:61" x14ac:dyDescent="0.15">
      <c r="A258" s="7">
        <v>2023</v>
      </c>
      <c r="B258" s="7">
        <v>20</v>
      </c>
      <c r="C258" s="9">
        <v>184.48412984431596</v>
      </c>
      <c r="D258" s="7">
        <v>179.59137552769079</v>
      </c>
      <c r="E258" s="8">
        <v>41.411256970489127</v>
      </c>
      <c r="F258" s="8">
        <v>24.424903804469981</v>
      </c>
      <c r="G258" s="8">
        <v>0.58222701935996324</v>
      </c>
      <c r="H258" s="8">
        <v>75.856552663190001</v>
      </c>
      <c r="I258" s="8">
        <v>70.555832799311204</v>
      </c>
      <c r="J258" s="8">
        <v>38.812996018019888</v>
      </c>
      <c r="K258" s="8">
        <v>29.58288910551752</v>
      </c>
      <c r="L258" s="8">
        <v>0.70841798663849187</v>
      </c>
      <c r="M258" s="8">
        <v>78.192882807291767</v>
      </c>
      <c r="N258" s="8">
        <v>70.004574503018887</v>
      </c>
      <c r="O258" s="7">
        <v>288.34300000000002</v>
      </c>
      <c r="P258" s="7">
        <v>279.12</v>
      </c>
      <c r="Q258" s="7">
        <v>100.607</v>
      </c>
      <c r="R258" s="7">
        <v>-7.79474E-2</v>
      </c>
      <c r="S258" s="7">
        <v>0.51438099999999998</v>
      </c>
      <c r="T258" s="7">
        <f>C258-D258</f>
        <v>4.8927543166251724</v>
      </c>
      <c r="U258" s="8">
        <f>D258/C258</f>
        <v>0.97347872513069766</v>
      </c>
      <c r="V258" s="8">
        <v>35.03776559406559</v>
      </c>
      <c r="W258" s="8">
        <v>23.778507451222342</v>
      </c>
      <c r="X258" s="8">
        <v>0.53472789071903692</v>
      </c>
      <c r="Y258" s="8">
        <v>78.215806026780655</v>
      </c>
      <c r="Z258" s="8">
        <v>60.212767917855842</v>
      </c>
      <c r="AA258" s="7">
        <v>36.925380806042739</v>
      </c>
      <c r="AB258" s="7">
        <v>26.680698278369931</v>
      </c>
      <c r="AC258" s="7">
        <v>0.6215729386787644</v>
      </c>
      <c r="AD258" s="7">
        <v>78.204344417036211</v>
      </c>
      <c r="AE258" s="7">
        <v>65.108671210437365</v>
      </c>
      <c r="AF258" s="8">
        <v>39.243121835050658</v>
      </c>
      <c r="AG258" s="8">
        <v>29.701345274937669</v>
      </c>
      <c r="AH258" s="8">
        <v>0.73442565333044907</v>
      </c>
      <c r="AI258" s="8">
        <v>77.97318934645881</v>
      </c>
      <c r="AJ258" s="8">
        <v>70.848203763975604</v>
      </c>
      <c r="AK258" s="8">
        <v>38.76653440540592</v>
      </c>
      <c r="AL258" s="8">
        <v>29.570093629316329</v>
      </c>
      <c r="AM258" s="8">
        <v>0.70560867343991063</v>
      </c>
      <c r="AN258" s="8">
        <v>78.216613799636079</v>
      </c>
      <c r="AO258" s="8">
        <v>69.913446804191238</v>
      </c>
      <c r="AP258" s="8">
        <v>35.516777515049753</v>
      </c>
      <c r="AQ258" s="8">
        <v>26.85023819839191</v>
      </c>
      <c r="AR258" s="8">
        <v>0.61424425612987255</v>
      </c>
      <c r="AS258" s="8">
        <v>79.43364314903593</v>
      </c>
      <c r="AT258" s="8">
        <v>62.735712974329338</v>
      </c>
      <c r="AU258" s="8">
        <v>34.670841172955093</v>
      </c>
      <c r="AV258" s="8">
        <v>21.78865682437451</v>
      </c>
      <c r="AW258" s="8">
        <v>0.55318581064216055</v>
      </c>
      <c r="AX258" s="8">
        <v>72.79693459060104</v>
      </c>
      <c r="AY258" s="8">
        <v>56.022419607562547</v>
      </c>
      <c r="AZ258" s="8">
        <v>38.393079097989428</v>
      </c>
      <c r="BA258" s="8">
        <v>28.66126703172986</v>
      </c>
      <c r="BB258" s="8">
        <v>0.67006103408644668</v>
      </c>
      <c r="BC258" s="8">
        <v>77.908653814090329</v>
      </c>
      <c r="BD258" s="8">
        <v>69.540692645883126</v>
      </c>
      <c r="BE258" s="8">
        <v>35.360848599782337</v>
      </c>
      <c r="BF258" s="8">
        <v>27.625321713517149</v>
      </c>
      <c r="BG258" s="8">
        <v>0.63055106883506873</v>
      </c>
      <c r="BH258" s="8">
        <v>73.296939109110554</v>
      </c>
      <c r="BI258" s="8">
        <v>70.792183222216224</v>
      </c>
    </row>
    <row r="259" spans="1:61" x14ac:dyDescent="0.15">
      <c r="A259" s="7">
        <v>2023</v>
      </c>
      <c r="B259" s="7">
        <v>85</v>
      </c>
      <c r="C259" s="9">
        <v>147.98500531607402</v>
      </c>
      <c r="D259" s="7">
        <v>140.02475553027833</v>
      </c>
      <c r="E259" s="8">
        <v>20.555886154060769</v>
      </c>
      <c r="F259" s="8">
        <v>22.121193987862309</v>
      </c>
      <c r="G259" s="8">
        <v>0.58262268946792595</v>
      </c>
      <c r="H259" s="8">
        <v>63.961133745282901</v>
      </c>
      <c r="I259" s="8">
        <v>38.092755428451042</v>
      </c>
      <c r="J259" s="8">
        <v>19.649878340303442</v>
      </c>
      <c r="K259" s="8">
        <v>22.826274157930989</v>
      </c>
      <c r="L259" s="8">
        <v>0.56147734051487064</v>
      </c>
      <c r="M259" s="8">
        <v>63.901712709933072</v>
      </c>
      <c r="N259" s="8">
        <v>36.502743074551972</v>
      </c>
      <c r="O259" s="7">
        <v>297.18400000000003</v>
      </c>
      <c r="P259" s="7">
        <v>292.73399999999998</v>
      </c>
      <c r="Q259" s="7">
        <v>101.14</v>
      </c>
      <c r="R259" s="7">
        <v>-0.90141300000000002</v>
      </c>
      <c r="S259" s="7">
        <v>-0.22464799999999999</v>
      </c>
      <c r="T259" s="7">
        <f>C259-D259</f>
        <v>7.9602497857956962</v>
      </c>
      <c r="U259" s="8">
        <f>D259/C259</f>
        <v>0.94620907862392012</v>
      </c>
      <c r="V259" s="8">
        <v>20.343115313677718</v>
      </c>
      <c r="W259" s="8">
        <v>22.202962200462828</v>
      </c>
      <c r="X259" s="8">
        <v>0.56925804780214329</v>
      </c>
      <c r="Y259" s="8">
        <v>62.423385964076651</v>
      </c>
      <c r="Z259" s="8">
        <v>36.305009176468133</v>
      </c>
      <c r="AA259" s="7">
        <v>19.99649682699058</v>
      </c>
      <c r="AB259" s="7">
        <v>22.514618179196908</v>
      </c>
      <c r="AC259" s="7">
        <v>0.56536769415850696</v>
      </c>
      <c r="AD259" s="7">
        <v>63.162549337004862</v>
      </c>
      <c r="AE259" s="7">
        <v>36.403876125510052</v>
      </c>
      <c r="AF259" s="8">
        <v>19.88592827455718</v>
      </c>
      <c r="AG259" s="8">
        <v>23.442392948887701</v>
      </c>
      <c r="AH259" s="8">
        <v>0.55948134904252622</v>
      </c>
      <c r="AI259" s="8">
        <v>63.867671657423863</v>
      </c>
      <c r="AJ259" s="8">
        <v>36.689827422823058</v>
      </c>
      <c r="AK259" s="8">
        <v>19.621415383589259</v>
      </c>
      <c r="AL259" s="8">
        <v>22.751982408885439</v>
      </c>
      <c r="AM259" s="8">
        <v>0.5617180176371025</v>
      </c>
      <c r="AN259" s="8">
        <v>63.905817388068833</v>
      </c>
      <c r="AO259" s="8">
        <v>36.480184399737773</v>
      </c>
      <c r="AP259" s="8">
        <v>20.002911912775669</v>
      </c>
      <c r="AQ259" s="8">
        <v>23.40314507598687</v>
      </c>
      <c r="AR259" s="8">
        <v>0.56579209677635856</v>
      </c>
      <c r="AS259" s="8">
        <v>63.480380048065733</v>
      </c>
      <c r="AT259" s="8">
        <v>36.862318431288863</v>
      </c>
      <c r="AU259" s="8">
        <v>19.094985430978621</v>
      </c>
      <c r="AV259" s="8">
        <v>19.388056348211052</v>
      </c>
      <c r="AW259" s="8">
        <v>0.56470570210948168</v>
      </c>
      <c r="AX259" s="8">
        <v>63.032368852325646</v>
      </c>
      <c r="AY259" s="8">
        <v>36.02675501841231</v>
      </c>
      <c r="AZ259" s="8">
        <v>19.796547739868281</v>
      </c>
      <c r="BA259" s="8">
        <v>22.23051744336852</v>
      </c>
      <c r="BB259" s="8">
        <v>0.56435779170525147</v>
      </c>
      <c r="BC259" s="8">
        <v>63.410655337676083</v>
      </c>
      <c r="BD259" s="8">
        <v>36.577568905537362</v>
      </c>
      <c r="BE259" s="8">
        <v>19.498389081151242</v>
      </c>
      <c r="BF259" s="8">
        <v>16.37357609513916</v>
      </c>
      <c r="BG259" s="8">
        <v>0.55329166392128637</v>
      </c>
      <c r="BH259" s="8">
        <v>61.005487186532633</v>
      </c>
      <c r="BI259" s="8">
        <v>35.594778627004189</v>
      </c>
    </row>
    <row r="260" spans="1:61" x14ac:dyDescent="0.15">
      <c r="A260" s="7">
        <v>2021</v>
      </c>
      <c r="B260" s="7">
        <v>136</v>
      </c>
      <c r="C260" s="7">
        <v>15.123939418734574</v>
      </c>
      <c r="D260" s="7">
        <v>1.0950555192936264</v>
      </c>
      <c r="E260" s="8">
        <v>28.981904970083459</v>
      </c>
      <c r="F260" s="8">
        <v>17.39389934791318</v>
      </c>
      <c r="G260" s="8">
        <v>0.58272305427319226</v>
      </c>
      <c r="H260" s="8">
        <v>62.288461773345958</v>
      </c>
      <c r="I260" s="8">
        <v>47.375510304442557</v>
      </c>
      <c r="J260" s="8">
        <v>31.041197230220909</v>
      </c>
      <c r="K260" s="8">
        <v>23.35195876797151</v>
      </c>
      <c r="L260" s="8">
        <v>0.61722367505206588</v>
      </c>
      <c r="M260" s="8">
        <v>52.738520827075043</v>
      </c>
      <c r="N260" s="8">
        <v>48.11151155496524</v>
      </c>
      <c r="O260" s="8">
        <v>289.73200000000003</v>
      </c>
      <c r="P260" s="8">
        <v>285.88499999999999</v>
      </c>
      <c r="Q260" s="8">
        <v>93.987100000000012</v>
      </c>
      <c r="R260" s="8">
        <v>-0.56798800000000005</v>
      </c>
      <c r="S260" s="8">
        <v>-0.44889800000000002</v>
      </c>
      <c r="T260" s="7">
        <f>C260-D260</f>
        <v>14.028883899440947</v>
      </c>
      <c r="U260" s="8">
        <f>D260/C260</f>
        <v>7.240544205943733E-2</v>
      </c>
      <c r="V260" s="8">
        <v>29.290663126753991</v>
      </c>
      <c r="W260" s="8">
        <v>17.029041731459387</v>
      </c>
      <c r="X260" s="8">
        <v>0.59459736104879735</v>
      </c>
      <c r="Y260" s="8">
        <v>62.128653344135678</v>
      </c>
      <c r="Z260" s="8">
        <v>47.971963268762458</v>
      </c>
      <c r="AA260" s="7">
        <v>30.16593017848745</v>
      </c>
      <c r="AB260" s="7">
        <v>20.190500249715448</v>
      </c>
      <c r="AC260" s="7">
        <v>0.60591051805043161</v>
      </c>
      <c r="AD260" s="7">
        <v>57.43358708560536</v>
      </c>
      <c r="AE260" s="7">
        <v>48.041737411863849</v>
      </c>
      <c r="AF260" s="8">
        <v>31.444527927020559</v>
      </c>
      <c r="AG260" s="8">
        <v>23.42099535312575</v>
      </c>
      <c r="AH260" s="8">
        <v>0.63049515117550958</v>
      </c>
      <c r="AI260" s="8">
        <v>54.060330739791937</v>
      </c>
      <c r="AJ260" s="8">
        <v>48.666753697170037</v>
      </c>
      <c r="AK260" s="8">
        <v>30.990674413347019</v>
      </c>
      <c r="AL260" s="8">
        <v>23.3433109690883</v>
      </c>
      <c r="AM260" s="8">
        <v>0.61556123685147413</v>
      </c>
      <c r="AN260" s="8">
        <v>52.572945628628233</v>
      </c>
      <c r="AO260" s="8">
        <v>48.041959702617113</v>
      </c>
      <c r="AP260" s="8">
        <v>31.326691994841021</v>
      </c>
      <c r="AQ260" s="8">
        <v>23.252434985504721</v>
      </c>
      <c r="AR260" s="8">
        <v>0.62718919520196703</v>
      </c>
      <c r="AS260" s="8">
        <v>51.898288337538851</v>
      </c>
      <c r="AT260" s="8">
        <v>48.729967616005908</v>
      </c>
      <c r="AU260" s="8">
        <v>28.01260585644027</v>
      </c>
      <c r="AV260" s="8">
        <v>22.04461061674705</v>
      </c>
      <c r="AW260" s="8">
        <v>0.56470180357278488</v>
      </c>
      <c r="AX260" s="8">
        <v>58.035233026589303</v>
      </c>
      <c r="AY260" s="8">
        <v>45.444660451410307</v>
      </c>
      <c r="AZ260" s="8">
        <v>32.106565344315101</v>
      </c>
      <c r="BA260" s="8">
        <v>28.00610114037676</v>
      </c>
      <c r="BB260" s="8">
        <v>0.6568119640267408</v>
      </c>
      <c r="BC260" s="8">
        <v>50.371549644842389</v>
      </c>
      <c r="BD260" s="8">
        <v>50.306870899673207</v>
      </c>
      <c r="BE260" s="8">
        <v>31.454496658087439</v>
      </c>
      <c r="BF260" s="8">
        <v>34.574688218874122</v>
      </c>
      <c r="BG260" s="8">
        <v>0.57916625551341372</v>
      </c>
      <c r="BH260" s="8">
        <v>59.398172924120622</v>
      </c>
      <c r="BI260" s="8">
        <v>66.004966736566459</v>
      </c>
    </row>
    <row r="261" spans="1:61" x14ac:dyDescent="0.15">
      <c r="A261" s="7">
        <v>2023</v>
      </c>
      <c r="B261" s="7">
        <v>46</v>
      </c>
      <c r="C261" s="9">
        <v>67.327370208321781</v>
      </c>
      <c r="D261" s="7">
        <v>33.360694496579065</v>
      </c>
      <c r="E261" s="8">
        <v>37.281457160229017</v>
      </c>
      <c r="F261" s="8">
        <v>26.005489518625161</v>
      </c>
      <c r="G261" s="8">
        <v>0.58385046529069351</v>
      </c>
      <c r="H261" s="8">
        <v>77.154152485597379</v>
      </c>
      <c r="I261" s="8">
        <v>69.359922576467937</v>
      </c>
      <c r="J261" s="8">
        <v>33.866146335734967</v>
      </c>
      <c r="K261" s="8">
        <v>26.331133480659432</v>
      </c>
      <c r="L261" s="8">
        <v>0.56169851017663264</v>
      </c>
      <c r="M261" s="8">
        <v>80.477207867586372</v>
      </c>
      <c r="N261" s="8">
        <v>64.948625954294087</v>
      </c>
      <c r="O261" s="7">
        <v>287.79300000000001</v>
      </c>
      <c r="P261" s="7">
        <v>280.05099999999999</v>
      </c>
      <c r="Q261" s="7">
        <v>99.509399999999999</v>
      </c>
      <c r="R261" s="7">
        <v>-0.166819</v>
      </c>
      <c r="S261" s="7">
        <v>1.9200700000000001E-2</v>
      </c>
      <c r="T261" s="7">
        <f>C261-D261</f>
        <v>33.966675711742717</v>
      </c>
      <c r="U261" s="8">
        <f>D261/C261</f>
        <v>0.49549974094273513</v>
      </c>
      <c r="V261" s="8">
        <v>31.618663224379546</v>
      </c>
      <c r="W261" s="8">
        <v>23.276755407820609</v>
      </c>
      <c r="X261" s="8">
        <v>0.52154025152718775</v>
      </c>
      <c r="Y261" s="8">
        <v>78.56122279424045</v>
      </c>
      <c r="Z261" s="8">
        <v>61.024824404586596</v>
      </c>
      <c r="AA261" s="7">
        <v>32.742404780057257</v>
      </c>
      <c r="AB261" s="7">
        <v>24.80394444424002</v>
      </c>
      <c r="AC261" s="7">
        <v>0.54161938085191019</v>
      </c>
      <c r="AD261" s="7">
        <v>79.519215330913411</v>
      </c>
      <c r="AE261" s="7">
        <v>62.986725179440342</v>
      </c>
      <c r="AF261" s="8">
        <v>34.762714846977573</v>
      </c>
      <c r="AG261" s="8">
        <v>26.454754692800812</v>
      </c>
      <c r="AH261" s="8">
        <v>0.56716089893377497</v>
      </c>
      <c r="AI261" s="8">
        <v>80.04402550999626</v>
      </c>
      <c r="AJ261" s="8">
        <v>65.975044014650891</v>
      </c>
      <c r="AK261" s="8">
        <v>33.804119534758406</v>
      </c>
      <c r="AL261" s="8">
        <v>26.322581063051821</v>
      </c>
      <c r="AM261" s="8">
        <v>0.56132060877138878</v>
      </c>
      <c r="AN261" s="8">
        <v>80.507176481857201</v>
      </c>
      <c r="AO261" s="8">
        <v>64.877615844134993</v>
      </c>
      <c r="AP261" s="8">
        <v>31.975383640740539</v>
      </c>
      <c r="AQ261" s="8">
        <v>24.441963988521021</v>
      </c>
      <c r="AR261" s="8">
        <v>0.52722691143375233</v>
      </c>
      <c r="AS261" s="8">
        <v>80.302204487449799</v>
      </c>
      <c r="AT261" s="8">
        <v>61.764192621185849</v>
      </c>
      <c r="AU261" s="8">
        <v>30.60334898974709</v>
      </c>
      <c r="AV261" s="8">
        <v>22.990944296240311</v>
      </c>
      <c r="AW261" s="8">
        <v>0.52624461783710852</v>
      </c>
      <c r="AX261" s="8">
        <v>74.096251518410767</v>
      </c>
      <c r="AY261" s="8">
        <v>58.647904568315717</v>
      </c>
      <c r="AZ261" s="8">
        <v>33.906310618227728</v>
      </c>
      <c r="BA261" s="8">
        <v>25.92565667200379</v>
      </c>
      <c r="BB261" s="8">
        <v>0.5752003937544905</v>
      </c>
      <c r="BC261" s="8">
        <v>79.138545854279343</v>
      </c>
      <c r="BD261" s="8">
        <v>65.187597967187514</v>
      </c>
      <c r="BE261" s="8">
        <v>36.754340094045453</v>
      </c>
      <c r="BF261" s="8">
        <v>25.029368807437901</v>
      </c>
      <c r="BG261" s="8">
        <v>0.60058548640501541</v>
      </c>
      <c r="BH261" s="8">
        <v>69.484789230972495</v>
      </c>
      <c r="BI261" s="8">
        <v>70.25407062581759</v>
      </c>
    </row>
    <row r="262" spans="1:61" x14ac:dyDescent="0.15">
      <c r="A262" s="7">
        <v>2021</v>
      </c>
      <c r="B262" s="7">
        <v>111</v>
      </c>
      <c r="C262" s="7">
        <v>44.131889435955287</v>
      </c>
      <c r="D262" s="7">
        <v>30.116884480715999</v>
      </c>
      <c r="E262" s="8">
        <v>34.839769798686078</v>
      </c>
      <c r="F262" s="8">
        <v>21.814272606473949</v>
      </c>
      <c r="G262" s="8">
        <v>0.58414898195093146</v>
      </c>
      <c r="H262" s="8">
        <v>53.471156770393392</v>
      </c>
      <c r="I262" s="8">
        <v>47.603823762692883</v>
      </c>
      <c r="J262" s="8">
        <v>36.311395348157717</v>
      </c>
      <c r="K262" s="8">
        <v>23.735497582500241</v>
      </c>
      <c r="L262" s="8">
        <v>0.63030165254951154</v>
      </c>
      <c r="M262" s="8">
        <v>54.734838245409136</v>
      </c>
      <c r="N262" s="8">
        <v>54.831518748100912</v>
      </c>
      <c r="O262" s="8">
        <v>278.23399999999998</v>
      </c>
      <c r="P262" s="8">
        <v>271.83699999999999</v>
      </c>
      <c r="Q262" s="8">
        <v>99.600399999999993</v>
      </c>
      <c r="R262" s="8">
        <v>0.84337200000000001</v>
      </c>
      <c r="S262" s="8">
        <v>0.32660699999999998</v>
      </c>
      <c r="T262" s="7">
        <f>C262-D262</f>
        <v>14.015004955239288</v>
      </c>
      <c r="U262" s="8">
        <f>D262/C262</f>
        <v>0.68242907488522497</v>
      </c>
      <c r="V262" s="8">
        <v>34.59977025180541</v>
      </c>
      <c r="W262" s="8">
        <v>24.393607877580298</v>
      </c>
      <c r="X262" s="8">
        <v>0.66836411660116002</v>
      </c>
      <c r="Y262" s="8">
        <v>54.994255892866079</v>
      </c>
      <c r="Z262" s="8">
        <v>48.940735470476262</v>
      </c>
      <c r="AA262" s="7">
        <v>35.455582799981563</v>
      </c>
      <c r="AB262" s="7">
        <v>24.064552730040269</v>
      </c>
      <c r="AC262" s="7">
        <v>0.64933288457533578</v>
      </c>
      <c r="AD262" s="7">
        <v>54.864547069137608</v>
      </c>
      <c r="AE262" s="7">
        <v>51.886127109288587</v>
      </c>
      <c r="AF262" s="8">
        <v>37.757583087598007</v>
      </c>
      <c r="AG262" s="8">
        <v>25.086604565022341</v>
      </c>
      <c r="AH262" s="8">
        <v>0.64424547281300726</v>
      </c>
      <c r="AI262" s="8">
        <v>54.036319913695777</v>
      </c>
      <c r="AJ262" s="8">
        <v>55.078883409097998</v>
      </c>
      <c r="AK262" s="8">
        <v>36.196721341424308</v>
      </c>
      <c r="AL262" s="8">
        <v>23.62836290905096</v>
      </c>
      <c r="AM262" s="8">
        <v>0.62919599130292658</v>
      </c>
      <c r="AN262" s="8">
        <v>54.790226556131032</v>
      </c>
      <c r="AO262" s="8">
        <v>54.81190421533509</v>
      </c>
      <c r="AP262" s="8">
        <v>36.78819069438233</v>
      </c>
      <c r="AQ262" s="8">
        <v>23.893148968998439</v>
      </c>
      <c r="AR262" s="8">
        <v>0.64673611194246361</v>
      </c>
      <c r="AS262" s="8">
        <v>54.786627768329637</v>
      </c>
      <c r="AT262" s="8">
        <v>53.246472300420713</v>
      </c>
      <c r="AU262" s="8">
        <v>37.542672367292589</v>
      </c>
      <c r="AV262" s="8">
        <v>24.38101116797267</v>
      </c>
      <c r="AW262" s="8">
        <v>0.65562461455646459</v>
      </c>
      <c r="AX262" s="8">
        <v>55.052600647385269</v>
      </c>
      <c r="AY262" s="8">
        <v>52.607520109038688</v>
      </c>
      <c r="AZ262" s="8">
        <v>34.795967611021346</v>
      </c>
      <c r="BA262" s="8">
        <v>23.917184090487819</v>
      </c>
      <c r="BB262" s="8">
        <v>0.65833448881682333</v>
      </c>
      <c r="BC262" s="8">
        <v>55.403829012115217</v>
      </c>
      <c r="BD262" s="8">
        <v>53.837384807465213</v>
      </c>
      <c r="BE262" s="8">
        <v>29.06454799928164</v>
      </c>
      <c r="BF262" s="8">
        <v>24.859506080954478</v>
      </c>
      <c r="BG262" s="8">
        <v>0.61335178782715338</v>
      </c>
      <c r="BH262" s="8">
        <v>56.019967307451267</v>
      </c>
      <c r="BI262" s="8">
        <v>45.67840512883285</v>
      </c>
    </row>
    <row r="263" spans="1:61" x14ac:dyDescent="0.15">
      <c r="A263" s="7">
        <v>2022</v>
      </c>
      <c r="B263" s="7">
        <v>73</v>
      </c>
      <c r="C263" s="7">
        <v>68.331775808953196</v>
      </c>
      <c r="D263" s="7">
        <v>5.2535730055256025</v>
      </c>
      <c r="E263" s="8">
        <v>19.604057107157981</v>
      </c>
      <c r="F263" s="8">
        <v>18.575564684622211</v>
      </c>
      <c r="G263" s="8">
        <v>0.58449562735006444</v>
      </c>
      <c r="H263" s="8">
        <v>55.389223912372543</v>
      </c>
      <c r="I263" s="8">
        <v>29.334261447995679</v>
      </c>
      <c r="J263" s="8">
        <v>20.120163937403881</v>
      </c>
      <c r="K263" s="8">
        <v>24.484473695123331</v>
      </c>
      <c r="L263" s="8">
        <v>0.64396038733133409</v>
      </c>
      <c r="M263" s="8">
        <v>58.618731269180877</v>
      </c>
      <c r="N263" s="8">
        <v>35.877649647172447</v>
      </c>
      <c r="O263" s="8">
        <v>296.34800000000001</v>
      </c>
      <c r="P263" s="8">
        <v>292.54399999999998</v>
      </c>
      <c r="Q263" s="8">
        <v>100.946</v>
      </c>
      <c r="R263" s="8">
        <v>-1.67327</v>
      </c>
      <c r="S263" s="8">
        <v>-0.69380399999999998</v>
      </c>
      <c r="T263" s="7">
        <f>C263-D263</f>
        <v>63.078202803427594</v>
      </c>
      <c r="U263" s="8">
        <f>D263/C263</f>
        <v>7.688330858272896E-2</v>
      </c>
      <c r="V263" s="8">
        <v>22.349808991924078</v>
      </c>
      <c r="W263" s="8">
        <v>21.611776361701207</v>
      </c>
      <c r="X263" s="8">
        <v>0.75231206939117079</v>
      </c>
      <c r="Y263" s="8">
        <v>58.443550629813721</v>
      </c>
      <c r="Z263" s="8">
        <v>32.173202498666626</v>
      </c>
      <c r="AA263" s="7">
        <v>21.234986464663979</v>
      </c>
      <c r="AB263" s="7">
        <v>23.048125028412269</v>
      </c>
      <c r="AC263" s="7">
        <v>0.69813622836125244</v>
      </c>
      <c r="AD263" s="7">
        <v>58.531140949497299</v>
      </c>
      <c r="AE263" s="7">
        <v>34.025426072919537</v>
      </c>
      <c r="AF263" s="8">
        <v>20.100213298141728</v>
      </c>
      <c r="AG263" s="8">
        <v>25.620884765684661</v>
      </c>
      <c r="AH263" s="8">
        <v>0.65233054614313812</v>
      </c>
      <c r="AI263" s="8">
        <v>58.005125867518117</v>
      </c>
      <c r="AJ263" s="8">
        <v>36.642609940527443</v>
      </c>
      <c r="AK263" s="8">
        <v>20.122554223891239</v>
      </c>
      <c r="AL263" s="8">
        <v>24.348320262125171</v>
      </c>
      <c r="AM263" s="8">
        <v>0.64295755843738134</v>
      </c>
      <c r="AN263" s="8">
        <v>58.692247344575463</v>
      </c>
      <c r="AO263" s="8">
        <v>35.78599973918967</v>
      </c>
      <c r="AP263" s="8">
        <v>20.400977513327501</v>
      </c>
      <c r="AQ263" s="8">
        <v>22.711784068470578</v>
      </c>
      <c r="AR263" s="8">
        <v>0.62652304564701822</v>
      </c>
      <c r="AS263" s="8">
        <v>57.191642006929207</v>
      </c>
      <c r="AT263" s="8">
        <v>34.91106266291203</v>
      </c>
      <c r="AU263" s="8">
        <v>19.6581346884225</v>
      </c>
      <c r="AV263" s="8">
        <v>20.72901454036927</v>
      </c>
      <c r="AW263" s="8">
        <v>0.66038509045265847</v>
      </c>
      <c r="AX263" s="8">
        <v>62.293390427816632</v>
      </c>
      <c r="AY263" s="8">
        <v>32.326514698907502</v>
      </c>
      <c r="AZ263" s="8">
        <v>20.308389064567361</v>
      </c>
      <c r="BA263" s="8">
        <v>24.49270904465611</v>
      </c>
      <c r="BB263" s="8">
        <v>0.6701864406865321</v>
      </c>
      <c r="BC263" s="8">
        <v>58.683293884403497</v>
      </c>
      <c r="BD263" s="8">
        <v>36.392756097920959</v>
      </c>
      <c r="BE263" s="8">
        <v>20.170758028663311</v>
      </c>
      <c r="BF263" s="8">
        <v>19.811708368993031</v>
      </c>
      <c r="BG263" s="8">
        <v>0.66384245437499423</v>
      </c>
      <c r="BH263" s="8">
        <v>59.744773788307413</v>
      </c>
      <c r="BI263" s="8">
        <v>31.448157645822281</v>
      </c>
    </row>
    <row r="264" spans="1:61" x14ac:dyDescent="0.15">
      <c r="A264" s="7">
        <v>2020</v>
      </c>
      <c r="B264" s="7">
        <v>140</v>
      </c>
      <c r="C264" s="7">
        <v>23.623070590430256</v>
      </c>
      <c r="D264" s="7">
        <v>16.54701308192066</v>
      </c>
      <c r="E264" s="8">
        <v>28.57494965584123</v>
      </c>
      <c r="F264" s="8">
        <v>18.16717998187638</v>
      </c>
      <c r="G264" s="8">
        <v>0.58452615560465637</v>
      </c>
      <c r="H264" s="8">
        <v>67.795441301620869</v>
      </c>
      <c r="I264" s="8">
        <v>44.685941521847383</v>
      </c>
      <c r="J264" s="8">
        <v>33.611661331498929</v>
      </c>
      <c r="K264" s="8">
        <v>21.674430557720871</v>
      </c>
      <c r="L264" s="8">
        <v>0.60468530200528448</v>
      </c>
      <c r="M264" s="8">
        <v>61.800476682959662</v>
      </c>
      <c r="N264" s="8">
        <v>47.298337284744939</v>
      </c>
      <c r="O264" s="8">
        <v>287.93</v>
      </c>
      <c r="P264" s="8">
        <v>284.505</v>
      </c>
      <c r="Q264" s="8">
        <v>89.811999999999998</v>
      </c>
      <c r="R264" s="8">
        <v>-8.3698700000000001E-2</v>
      </c>
      <c r="S264" s="8">
        <v>-0.45935199999999998</v>
      </c>
      <c r="T264" s="7">
        <f>C264-D264</f>
        <v>7.0760575085095958</v>
      </c>
      <c r="U264" s="8">
        <f>D264/C264</f>
        <v>0.70045987538232568</v>
      </c>
      <c r="V264" s="8">
        <v>28.080449700197349</v>
      </c>
      <c r="W264" s="8">
        <v>17.711247733836732</v>
      </c>
      <c r="X264" s="8">
        <v>0.58284240818354305</v>
      </c>
      <c r="Y264" s="8">
        <v>69.228834035052785</v>
      </c>
      <c r="Z264" s="8">
        <v>45.625214261781515</v>
      </c>
      <c r="AA264" s="7">
        <v>30.846055515848139</v>
      </c>
      <c r="AB264" s="7">
        <v>19.692839145778802</v>
      </c>
      <c r="AC264" s="7">
        <v>0.59376385509441376</v>
      </c>
      <c r="AD264" s="7">
        <v>65.514655359006227</v>
      </c>
      <c r="AE264" s="7">
        <v>46.461775773263227</v>
      </c>
      <c r="AF264" s="8">
        <v>34.65559629300391</v>
      </c>
      <c r="AG264" s="8">
        <v>22.08483828326267</v>
      </c>
      <c r="AH264" s="8">
        <v>0.59412040093346374</v>
      </c>
      <c r="AI264" s="8">
        <v>61.113625086114688</v>
      </c>
      <c r="AJ264" s="8">
        <v>47.574367930706643</v>
      </c>
      <c r="AK264" s="8">
        <v>33.486067331902433</v>
      </c>
      <c r="AL264" s="8">
        <v>21.625055118046159</v>
      </c>
      <c r="AM264" s="8">
        <v>0.60595634687865318</v>
      </c>
      <c r="AN264" s="8">
        <v>61.883110603996883</v>
      </c>
      <c r="AO264" s="8">
        <v>47.265128517804563</v>
      </c>
      <c r="AP264" s="8">
        <v>34.232611479083459</v>
      </c>
      <c r="AQ264" s="8">
        <v>21.834416694645221</v>
      </c>
      <c r="AR264" s="8">
        <v>0.60260525060261849</v>
      </c>
      <c r="AS264" s="8">
        <v>62.485545413276697</v>
      </c>
      <c r="AT264" s="8">
        <v>49.121852201583543</v>
      </c>
      <c r="AU264" s="8">
        <v>21.238490161994172</v>
      </c>
      <c r="AV264" s="8">
        <v>14.472096241013009</v>
      </c>
      <c r="AW264" s="8">
        <v>0.50671160034640217</v>
      </c>
      <c r="AX264" s="8">
        <v>66.793414858508811</v>
      </c>
      <c r="AY264" s="8">
        <v>32.387917482435142</v>
      </c>
      <c r="AZ264" s="8">
        <v>35.186016643866203</v>
      </c>
      <c r="BA264" s="8">
        <v>23.643956576592121</v>
      </c>
      <c r="BB264" s="8">
        <v>0.65211795856025934</v>
      </c>
      <c r="BC264" s="8">
        <v>59.846022452976477</v>
      </c>
      <c r="BD264" s="8">
        <v>49.094631128647698</v>
      </c>
      <c r="BE264" s="8">
        <v>19.353642876217449</v>
      </c>
      <c r="BF264" s="8">
        <v>20.465829526456758</v>
      </c>
      <c r="BG264" s="8">
        <v>0.53854777576974133</v>
      </c>
      <c r="BH264" s="8">
        <v>62.693457247371413</v>
      </c>
      <c r="BI264" s="8">
        <v>32.450922005053123</v>
      </c>
    </row>
    <row r="265" spans="1:61" x14ac:dyDescent="0.15">
      <c r="A265" s="7">
        <v>2023</v>
      </c>
      <c r="B265" s="7">
        <v>21</v>
      </c>
      <c r="C265" s="9">
        <v>22.578109172532915</v>
      </c>
      <c r="D265" s="7">
        <v>1.0817546554984812</v>
      </c>
      <c r="E265" s="8">
        <v>28.327883761029732</v>
      </c>
      <c r="F265" s="8">
        <v>24.73841772481623</v>
      </c>
      <c r="G265" s="8">
        <v>0.58529035003679852</v>
      </c>
      <c r="H265" s="8">
        <v>72.28879396797322</v>
      </c>
      <c r="I265" s="8">
        <v>52.445085578931163</v>
      </c>
      <c r="J265" s="8">
        <v>29.93938061954599</v>
      </c>
      <c r="K265" s="8">
        <v>22.424087662432431</v>
      </c>
      <c r="L265" s="8">
        <v>0.54432437685688728</v>
      </c>
      <c r="M265" s="8">
        <v>74.223071727056848</v>
      </c>
      <c r="N265" s="8">
        <v>60.850527002766682</v>
      </c>
      <c r="O265" s="7">
        <v>290.32400000000001</v>
      </c>
      <c r="P265" s="7">
        <v>284.70999999999998</v>
      </c>
      <c r="Q265" s="7">
        <v>101.04300000000001</v>
      </c>
      <c r="R265" s="7">
        <v>-0.73815200000000003</v>
      </c>
      <c r="S265" s="7">
        <v>-7.8619300000000003E-2</v>
      </c>
      <c r="T265" s="7">
        <f>C265-D265</f>
        <v>21.496354517034433</v>
      </c>
      <c r="U265" s="8">
        <f>D265/C265</f>
        <v>4.7911658466709639E-2</v>
      </c>
      <c r="V265" s="8">
        <v>27.17520786850265</v>
      </c>
      <c r="W265" s="8">
        <v>20.779301737811952</v>
      </c>
      <c r="X265" s="8">
        <v>0.51796394382611255</v>
      </c>
      <c r="Y265" s="8">
        <v>78.0404604598845</v>
      </c>
      <c r="Z265" s="8">
        <v>56.018419989092351</v>
      </c>
      <c r="AA265" s="7">
        <v>28.55729424402432</v>
      </c>
      <c r="AB265" s="7">
        <v>21.601694700122192</v>
      </c>
      <c r="AC265" s="7">
        <v>0.53114416034149992</v>
      </c>
      <c r="AD265" s="7">
        <v>76.131766093470674</v>
      </c>
      <c r="AE265" s="7">
        <v>58.434473495929517</v>
      </c>
      <c r="AF265" s="8">
        <v>30.60760303824204</v>
      </c>
      <c r="AG265" s="8">
        <v>22.503532449806389</v>
      </c>
      <c r="AH265" s="8">
        <v>0.54984201829964097</v>
      </c>
      <c r="AI265" s="8">
        <v>73.429648179856557</v>
      </c>
      <c r="AJ265" s="8">
        <v>61.219101699766583</v>
      </c>
      <c r="AK265" s="8">
        <v>29.889799167975031</v>
      </c>
      <c r="AL265" s="8">
        <v>22.418192936713051</v>
      </c>
      <c r="AM265" s="8">
        <v>0.54391497324466842</v>
      </c>
      <c r="AN265" s="8">
        <v>74.28194298022062</v>
      </c>
      <c r="AO265" s="8">
        <v>60.823179119818903</v>
      </c>
      <c r="AP265" s="8">
        <v>28.905889204370482</v>
      </c>
      <c r="AQ265" s="8">
        <v>21.653673299186369</v>
      </c>
      <c r="AR265" s="8">
        <v>0.53157265724813685</v>
      </c>
      <c r="AS265" s="8">
        <v>77.544957881826463</v>
      </c>
      <c r="AT265" s="8">
        <v>59.924363538377712</v>
      </c>
      <c r="AU265" s="8">
        <v>27.304463951142871</v>
      </c>
      <c r="AV265" s="8">
        <v>22.30918224637356</v>
      </c>
      <c r="AW265" s="8">
        <v>0.54116769195469516</v>
      </c>
      <c r="AX265" s="8">
        <v>71.680767008687525</v>
      </c>
      <c r="AY265" s="8">
        <v>56.744129988451647</v>
      </c>
      <c r="AZ265" s="8">
        <v>29.76401294869153</v>
      </c>
      <c r="BA265" s="8">
        <v>22.678106214562241</v>
      </c>
      <c r="BB265" s="8">
        <v>0.54655640668148753</v>
      </c>
      <c r="BC265" s="8">
        <v>74.190929896688672</v>
      </c>
      <c r="BD265" s="8">
        <v>61.311250274288852</v>
      </c>
      <c r="BE265" s="8">
        <v>32.795717764577923</v>
      </c>
      <c r="BF265" s="8">
        <v>28.684552150401199</v>
      </c>
      <c r="BG265" s="8">
        <v>0.70640730249378647</v>
      </c>
      <c r="BH265" s="8">
        <v>67.828040906958435</v>
      </c>
      <c r="BI265" s="8">
        <v>67.270709521948177</v>
      </c>
    </row>
    <row r="266" spans="1:61" x14ac:dyDescent="0.15">
      <c r="A266" s="7">
        <v>2023</v>
      </c>
      <c r="B266" s="7">
        <v>144</v>
      </c>
      <c r="C266" s="9">
        <v>95.009434908615333</v>
      </c>
      <c r="D266" s="7">
        <v>77.369705040696743</v>
      </c>
      <c r="E266" s="8">
        <v>32.361697054011003</v>
      </c>
      <c r="F266" s="8">
        <v>16.288008507499772</v>
      </c>
      <c r="G266" s="8">
        <v>0.58572987841565605</v>
      </c>
      <c r="H266" s="8">
        <v>83.064815802291349</v>
      </c>
      <c r="I266" s="8">
        <v>63.66760854662985</v>
      </c>
      <c r="J266" s="8">
        <v>36.15162340404882</v>
      </c>
      <c r="K266" s="8">
        <v>21.82526357893526</v>
      </c>
      <c r="L266" s="8">
        <v>0.67010090133857558</v>
      </c>
      <c r="M266" s="8">
        <v>78.436800505626806</v>
      </c>
      <c r="N266" s="8">
        <v>83.044100503217066</v>
      </c>
      <c r="O266" s="7">
        <v>286.67399999999998</v>
      </c>
      <c r="P266" s="7">
        <v>278.62299999999999</v>
      </c>
      <c r="Q266" s="7">
        <v>94.066999999999993</v>
      </c>
      <c r="R266" s="7">
        <v>-0.20652300000000001</v>
      </c>
      <c r="S266" s="7">
        <v>-7.7023800000000003E-2</v>
      </c>
      <c r="T266" s="7">
        <f>C266-D266</f>
        <v>17.639729867918589</v>
      </c>
      <c r="U266" s="8">
        <f>D266/C266</f>
        <v>0.81433707205094596</v>
      </c>
      <c r="V266" s="8">
        <v>32.626858544431983</v>
      </c>
      <c r="W266" s="8">
        <v>17.052777540030501</v>
      </c>
      <c r="X266" s="8">
        <v>0.53564664361758718</v>
      </c>
      <c r="Y266" s="8">
        <v>81.63459216984073</v>
      </c>
      <c r="Z266" s="8">
        <v>68.613003369899758</v>
      </c>
      <c r="AA266" s="7">
        <v>34.389240974240401</v>
      </c>
      <c r="AB266" s="7">
        <v>19.439020559482881</v>
      </c>
      <c r="AC266" s="7">
        <v>0.60287377247808138</v>
      </c>
      <c r="AD266" s="7">
        <v>80.035696337733768</v>
      </c>
      <c r="AE266" s="7">
        <v>75.828551936558412</v>
      </c>
      <c r="AF266" s="8">
        <v>36.397246629401749</v>
      </c>
      <c r="AG266" s="8">
        <v>22.350415143581291</v>
      </c>
      <c r="AH266" s="8">
        <v>0.72272837456149852</v>
      </c>
      <c r="AI266" s="8">
        <v>78.567312264319298</v>
      </c>
      <c r="AJ266" s="8">
        <v>82.611803506090411</v>
      </c>
      <c r="AK266" s="8">
        <v>36.115850780799299</v>
      </c>
      <c r="AL266" s="8">
        <v>21.748780383814012</v>
      </c>
      <c r="AM266" s="8">
        <v>0.66243622398783653</v>
      </c>
      <c r="AN266" s="8">
        <v>78.41779274295844</v>
      </c>
      <c r="AO266" s="8">
        <v>83.10706033768669</v>
      </c>
      <c r="AP266" s="8">
        <v>34.732056276489871</v>
      </c>
      <c r="AQ266" s="8">
        <v>19.88866629908766</v>
      </c>
      <c r="AR266" s="8">
        <v>0.59534641009019706</v>
      </c>
      <c r="AS266" s="8">
        <v>80.090621713658791</v>
      </c>
      <c r="AT266" s="8">
        <v>78.386700396367999</v>
      </c>
      <c r="AU266" s="8">
        <v>34.124141350840731</v>
      </c>
      <c r="AV266" s="8">
        <v>17.6512051077537</v>
      </c>
      <c r="AW266" s="8">
        <v>0.55868620476578679</v>
      </c>
      <c r="AX266" s="8">
        <v>78.129468193540333</v>
      </c>
      <c r="AY266" s="8">
        <v>73.745071699085415</v>
      </c>
      <c r="AZ266" s="8">
        <v>36.418583153622002</v>
      </c>
      <c r="BA266" s="8">
        <v>22.551728222506949</v>
      </c>
      <c r="BB266" s="8">
        <v>0.65696068569762289</v>
      </c>
      <c r="BC266" s="8">
        <v>75.17011475385199</v>
      </c>
      <c r="BD266" s="8">
        <v>84.635054774815629</v>
      </c>
      <c r="BE266" s="8">
        <v>32.807590730131089</v>
      </c>
      <c r="BF266" s="8">
        <v>25.060699978153689</v>
      </c>
      <c r="BG266" s="8">
        <v>0.71661476217819553</v>
      </c>
      <c r="BH266" s="8">
        <v>66.154879247247919</v>
      </c>
      <c r="BI266" s="8">
        <v>70.705914997236036</v>
      </c>
    </row>
    <row r="267" spans="1:61" x14ac:dyDescent="0.15">
      <c r="A267" s="7">
        <v>2021</v>
      </c>
      <c r="B267" s="7">
        <v>3</v>
      </c>
      <c r="C267" s="7">
        <v>361.14024728886665</v>
      </c>
      <c r="D267" s="7">
        <v>23.04885792862833</v>
      </c>
      <c r="E267" s="8">
        <v>19.30512465539578</v>
      </c>
      <c r="F267" s="8">
        <v>19.828117001506431</v>
      </c>
      <c r="G267" s="8">
        <v>0.58628665586552675</v>
      </c>
      <c r="H267" s="8">
        <v>53.559122196700507</v>
      </c>
      <c r="I267" s="8">
        <v>29.212843933231191</v>
      </c>
      <c r="J267" s="8">
        <v>21.19716986130743</v>
      </c>
      <c r="K267" s="8">
        <v>26.528386209199951</v>
      </c>
      <c r="L267" s="8">
        <v>0.62429907581539879</v>
      </c>
      <c r="M267" s="8">
        <v>55.865368556041908</v>
      </c>
      <c r="N267" s="8">
        <v>36.145631091334323</v>
      </c>
      <c r="O267" s="8">
        <v>296.85000000000002</v>
      </c>
      <c r="P267" s="8">
        <v>292.14</v>
      </c>
      <c r="Q267" s="8">
        <v>100.55200000000001</v>
      </c>
      <c r="R267" s="8">
        <v>-1.01427</v>
      </c>
      <c r="S267" s="8">
        <v>-1.8121200000000001E-2</v>
      </c>
      <c r="T267" s="7">
        <f>C267-D267</f>
        <v>338.09138936023834</v>
      </c>
      <c r="U267" s="8">
        <f>D267/C267</f>
        <v>6.3822457069405925E-2</v>
      </c>
      <c r="V267" s="8">
        <v>20.516880465829033</v>
      </c>
      <c r="W267" s="8">
        <v>19.98916403744559</v>
      </c>
      <c r="X267" s="8">
        <v>0.6189740527346137</v>
      </c>
      <c r="Y267" s="8">
        <v>55.903959501751935</v>
      </c>
      <c r="Z267" s="8">
        <v>31.045980568762218</v>
      </c>
      <c r="AA267" s="7">
        <v>20.857025163568231</v>
      </c>
      <c r="AB267" s="7">
        <v>23.258775123322771</v>
      </c>
      <c r="AC267" s="7">
        <v>0.62163656427500624</v>
      </c>
      <c r="AD267" s="7">
        <v>55.884664028896921</v>
      </c>
      <c r="AE267" s="7">
        <v>33.59580583004827</v>
      </c>
      <c r="AF267" s="8">
        <v>20.756867666775911</v>
      </c>
      <c r="AG267" s="8">
        <v>24.204172111343048</v>
      </c>
      <c r="AH267" s="8">
        <v>0.61621056778983496</v>
      </c>
      <c r="AI267" s="8">
        <v>55.384677823369181</v>
      </c>
      <c r="AJ267" s="8">
        <v>34.673690528908857</v>
      </c>
      <c r="AK267" s="8">
        <v>21.258435822145891</v>
      </c>
      <c r="AL267" s="8">
        <v>26.851789570954711</v>
      </c>
      <c r="AM267" s="8">
        <v>0.62542455332173519</v>
      </c>
      <c r="AN267" s="8">
        <v>55.932254390291881</v>
      </c>
      <c r="AO267" s="8">
        <v>36.350444635246014</v>
      </c>
      <c r="AP267" s="8">
        <v>20.454726857648271</v>
      </c>
      <c r="AQ267" s="8">
        <v>20.874318247970809</v>
      </c>
      <c r="AR267" s="8">
        <v>0.59970171275275397</v>
      </c>
      <c r="AS267" s="8">
        <v>57.464109556585491</v>
      </c>
      <c r="AT267" s="8">
        <v>30.979684438269171</v>
      </c>
      <c r="AU267" s="8">
        <v>21.601000667806321</v>
      </c>
      <c r="AV267" s="8">
        <v>21.95027638941577</v>
      </c>
      <c r="AW267" s="8">
        <v>0.64741016255133499</v>
      </c>
      <c r="AX267" s="8">
        <v>60.85088508188435</v>
      </c>
      <c r="AY267" s="8">
        <v>33.828568225849857</v>
      </c>
      <c r="AZ267" s="8">
        <v>21.878651599823058</v>
      </c>
      <c r="BA267" s="8">
        <v>27.22542553842873</v>
      </c>
      <c r="BB267" s="8">
        <v>0.62612545088321203</v>
      </c>
      <c r="BC267" s="8">
        <v>56.926816418071532</v>
      </c>
      <c r="BD267" s="8">
        <v>37.365943146851997</v>
      </c>
      <c r="BE267" s="8">
        <v>22.037057324019969</v>
      </c>
      <c r="BF267" s="8">
        <v>21.79763933638035</v>
      </c>
      <c r="BG267" s="8">
        <v>0.68319712306964964</v>
      </c>
      <c r="BH267" s="8">
        <v>58.809226519303067</v>
      </c>
      <c r="BI267" s="8">
        <v>33.59093838827777</v>
      </c>
    </row>
    <row r="268" spans="1:61" x14ac:dyDescent="0.15">
      <c r="A268" s="7">
        <v>2023</v>
      </c>
      <c r="B268" s="7">
        <v>116</v>
      </c>
      <c r="C268" s="9">
        <v>59.450988811989923</v>
      </c>
      <c r="D268" s="7">
        <v>51.639446703761678</v>
      </c>
      <c r="E268" s="8">
        <v>31.94814329143178</v>
      </c>
      <c r="F268" s="8">
        <v>15.88297787724513</v>
      </c>
      <c r="G268" s="8">
        <v>0.58699006751156702</v>
      </c>
      <c r="H268" s="8">
        <v>78.656836187277861</v>
      </c>
      <c r="I268" s="8">
        <v>64.16944062981446</v>
      </c>
      <c r="J268" s="8">
        <v>36.862298879453299</v>
      </c>
      <c r="K268" s="8">
        <v>18.35672799652809</v>
      </c>
      <c r="L268" s="8">
        <v>0.61947609827867467</v>
      </c>
      <c r="M268" s="8">
        <v>82.771073014296562</v>
      </c>
      <c r="N268" s="8">
        <v>77.22489248958712</v>
      </c>
      <c r="O268" s="7">
        <v>288.678</v>
      </c>
      <c r="P268" s="7">
        <v>281.322</v>
      </c>
      <c r="Q268" s="7">
        <v>97.774699999999996</v>
      </c>
      <c r="R268" s="7">
        <v>0.164549</v>
      </c>
      <c r="S268" s="7">
        <v>-0.26277499999999998</v>
      </c>
      <c r="T268" s="7">
        <f>C268-D268</f>
        <v>7.8115421082282452</v>
      </c>
      <c r="U268" s="8">
        <f>D268/C268</f>
        <v>0.86860534594417316</v>
      </c>
      <c r="V268" s="8">
        <v>31.283558749353524</v>
      </c>
      <c r="W268" s="8">
        <v>15.288452917332133</v>
      </c>
      <c r="X268" s="8">
        <v>0.56806484965861315</v>
      </c>
      <c r="Y268" s="8">
        <v>82.757377185915587</v>
      </c>
      <c r="Z268" s="8">
        <v>63.962282213863745</v>
      </c>
      <c r="AA268" s="7">
        <v>34.072928814403411</v>
      </c>
      <c r="AB268" s="7">
        <v>16.822590456930111</v>
      </c>
      <c r="AC268" s="7">
        <v>0.59377047396864391</v>
      </c>
      <c r="AD268" s="7">
        <v>82.764225100106074</v>
      </c>
      <c r="AE268" s="7">
        <v>70.593587351725432</v>
      </c>
      <c r="AF268" s="8">
        <v>37.111040618221068</v>
      </c>
      <c r="AG268" s="8">
        <v>17.820734444520081</v>
      </c>
      <c r="AH268" s="8">
        <v>0.61904916351259498</v>
      </c>
      <c r="AI268" s="8">
        <v>82.942176710965569</v>
      </c>
      <c r="AJ268" s="8">
        <v>75.752398709758978</v>
      </c>
      <c r="AK268" s="8">
        <v>36.826063237641073</v>
      </c>
      <c r="AL268" s="8">
        <v>18.434809264514868</v>
      </c>
      <c r="AM268" s="8">
        <v>0.61953829232514845</v>
      </c>
      <c r="AN268" s="8">
        <v>82.746147353263723</v>
      </c>
      <c r="AO268" s="8">
        <v>77.439399139902022</v>
      </c>
      <c r="AP268" s="8">
        <v>34.052495913973573</v>
      </c>
      <c r="AQ268" s="8">
        <v>16.472665288834051</v>
      </c>
      <c r="AR268" s="8">
        <v>0.58418219606216437</v>
      </c>
      <c r="AS268" s="8">
        <v>84.82047207014736</v>
      </c>
      <c r="AT268" s="8">
        <v>70.529483363813938</v>
      </c>
      <c r="AU268" s="8">
        <v>31.957399085491119</v>
      </c>
      <c r="AV268" s="8">
        <v>15.1007913109217</v>
      </c>
      <c r="AW268" s="8">
        <v>0.56259019160481394</v>
      </c>
      <c r="AX268" s="8">
        <v>78.499547529424063</v>
      </c>
      <c r="AY268" s="8">
        <v>67.641978654121871</v>
      </c>
      <c r="AZ268" s="8">
        <v>36.569478875553912</v>
      </c>
      <c r="BA268" s="8">
        <v>18.699893985546659</v>
      </c>
      <c r="BB268" s="8">
        <v>0.62074889924814525</v>
      </c>
      <c r="BC268" s="8">
        <v>81.342393455840636</v>
      </c>
      <c r="BD268" s="8">
        <v>78.11519907747612</v>
      </c>
      <c r="BE268" s="8">
        <v>30.484395938653019</v>
      </c>
      <c r="BF268" s="8">
        <v>29.582324546028602</v>
      </c>
      <c r="BG268" s="8">
        <v>0.69052294173310635</v>
      </c>
      <c r="BH268" s="8">
        <v>59.878493110281028</v>
      </c>
      <c r="BI268" s="8">
        <v>67.658508709315925</v>
      </c>
    </row>
    <row r="269" spans="1:61" x14ac:dyDescent="0.15">
      <c r="A269" s="7">
        <v>2018</v>
      </c>
      <c r="B269" s="7">
        <v>44</v>
      </c>
      <c r="C269" s="7">
        <v>1.8541181354923346</v>
      </c>
      <c r="D269" s="7">
        <v>0.86610209423949758</v>
      </c>
      <c r="E269" s="8">
        <v>24.015660088905531</v>
      </c>
      <c r="F269" s="8">
        <v>24.08456375032446</v>
      </c>
      <c r="G269" s="8">
        <v>0.58801974660753176</v>
      </c>
      <c r="H269" s="8">
        <v>58.656145263989217</v>
      </c>
      <c r="I269" s="8">
        <v>36.675348148948032</v>
      </c>
      <c r="J269" s="8">
        <v>28.740724666702761</v>
      </c>
      <c r="K269" s="8">
        <v>25.322534951132202</v>
      </c>
      <c r="L269" s="8">
        <v>0.64462561057936474</v>
      </c>
      <c r="M269" s="8">
        <v>64.837300818287531</v>
      </c>
      <c r="N269" s="8">
        <v>46.250060259614891</v>
      </c>
      <c r="O269" s="8">
        <v>291.34199999999998</v>
      </c>
      <c r="P269" s="8">
        <v>287.07600000000002</v>
      </c>
      <c r="Q269" s="8">
        <v>98.552499999999995</v>
      </c>
      <c r="R269" s="8">
        <v>-0.385994</v>
      </c>
      <c r="S269" s="8">
        <v>-0.57666399999999995</v>
      </c>
      <c r="T269" s="7">
        <f>C269-D269</f>
        <v>0.98801604125283704</v>
      </c>
      <c r="U269" s="8">
        <f>D269/C269</f>
        <v>0.46712346838111074</v>
      </c>
      <c r="V269" s="8">
        <v>24.725868619326938</v>
      </c>
      <c r="W269" s="8">
        <v>23.81446073188604</v>
      </c>
      <c r="X269" s="8">
        <v>0.62614043349756454</v>
      </c>
      <c r="Y269" s="8">
        <v>58.349070691694692</v>
      </c>
      <c r="Z269" s="8">
        <v>37.392081379163095</v>
      </c>
      <c r="AA269" s="7">
        <v>26.73329664301485</v>
      </c>
      <c r="AB269" s="7">
        <v>24.568497841509121</v>
      </c>
      <c r="AC269" s="7">
        <v>0.63538302203846464</v>
      </c>
      <c r="AD269" s="7">
        <v>61.593185754991111</v>
      </c>
      <c r="AE269" s="7">
        <v>41.821070819388993</v>
      </c>
      <c r="AF269" s="8">
        <v>28.864690655408701</v>
      </c>
      <c r="AG269" s="8">
        <v>25.858954509335589</v>
      </c>
      <c r="AH269" s="8">
        <v>0.65252072031255881</v>
      </c>
      <c r="AI269" s="8">
        <v>61.369945846474707</v>
      </c>
      <c r="AJ269" s="8">
        <v>44.021491076552337</v>
      </c>
      <c r="AK269" s="8">
        <v>28.7313433753942</v>
      </c>
      <c r="AL269" s="8">
        <v>25.281940686595249</v>
      </c>
      <c r="AM269" s="8">
        <v>0.64402813763462163</v>
      </c>
      <c r="AN269" s="8">
        <v>65.09969752403164</v>
      </c>
      <c r="AO269" s="8">
        <v>46.418710200827199</v>
      </c>
      <c r="AP269" s="8">
        <v>29.329353409442788</v>
      </c>
      <c r="AQ269" s="8">
        <v>25.491279618710038</v>
      </c>
      <c r="AR269" s="8">
        <v>0.63380685037967666</v>
      </c>
      <c r="AS269" s="8">
        <v>64.318775536197691</v>
      </c>
      <c r="AT269" s="8">
        <v>44.396511025071568</v>
      </c>
      <c r="AU269" s="8">
        <v>23.923445266354069</v>
      </c>
      <c r="AV269" s="8">
        <v>22.190286023444848</v>
      </c>
      <c r="AW269" s="8">
        <v>0.63264166505574804</v>
      </c>
      <c r="AX269" s="8">
        <v>66.705200538739788</v>
      </c>
      <c r="AY269" s="8">
        <v>37.801186675742152</v>
      </c>
      <c r="AZ269" s="8">
        <v>28.93911629263809</v>
      </c>
      <c r="BA269" s="8">
        <v>25.2580987046872</v>
      </c>
      <c r="BB269" s="8">
        <v>0.65258899503966072</v>
      </c>
      <c r="BC269" s="8">
        <v>66.427581410988537</v>
      </c>
      <c r="BD269" s="8">
        <v>48.853096779231642</v>
      </c>
      <c r="BE269" s="8">
        <v>32.808391619604059</v>
      </c>
      <c r="BF269" s="8">
        <v>25.291150500126239</v>
      </c>
      <c r="BG269" s="8">
        <v>0.67862823640291825</v>
      </c>
      <c r="BH269" s="8">
        <v>66.500531630331906</v>
      </c>
      <c r="BI269" s="8">
        <v>48.185779244698132</v>
      </c>
    </row>
    <row r="270" spans="1:61" x14ac:dyDescent="0.15">
      <c r="A270" s="7">
        <v>2023</v>
      </c>
      <c r="B270" s="7">
        <v>107</v>
      </c>
      <c r="C270" s="9">
        <v>38.080317603776969</v>
      </c>
      <c r="D270" s="7">
        <v>8.3869994260086287</v>
      </c>
      <c r="E270" s="8">
        <v>16.88774122575105</v>
      </c>
      <c r="F270" s="8">
        <v>11.395338987255659</v>
      </c>
      <c r="G270" s="8">
        <v>0.58850244208455349</v>
      </c>
      <c r="H270" s="8">
        <v>54.919417656029808</v>
      </c>
      <c r="I270" s="8">
        <v>27.758994529496121</v>
      </c>
      <c r="J270" s="8">
        <v>17.289153791726001</v>
      </c>
      <c r="K270" s="8">
        <v>13.78553958333314</v>
      </c>
      <c r="L270" s="8">
        <v>0.50394680931053426</v>
      </c>
      <c r="M270" s="8">
        <v>55.76315282220763</v>
      </c>
      <c r="N270" s="8">
        <v>28.860332185928389</v>
      </c>
      <c r="O270" s="7">
        <v>292.78100000000001</v>
      </c>
      <c r="P270" s="7">
        <v>288.39699999999999</v>
      </c>
      <c r="Q270" s="7">
        <v>95.713100000000011</v>
      </c>
      <c r="R270" s="7">
        <v>-0.17297999999999999</v>
      </c>
      <c r="S270" s="7">
        <v>-0.15564500000000001</v>
      </c>
      <c r="T270" s="7">
        <f>C270-D270</f>
        <v>29.69331817776834</v>
      </c>
      <c r="U270" s="8">
        <f>D270/C270</f>
        <v>0.22024499672704331</v>
      </c>
      <c r="V270" s="8">
        <v>16.650105612214041</v>
      </c>
      <c r="W270" s="8">
        <v>9.3930491477815785</v>
      </c>
      <c r="X270" s="8">
        <v>0.65049460346770316</v>
      </c>
      <c r="Y270" s="8">
        <v>54.864702662822296</v>
      </c>
      <c r="Z270" s="8">
        <v>26.894420051799312</v>
      </c>
      <c r="AA270" s="7">
        <v>16.969629701970021</v>
      </c>
      <c r="AB270" s="7">
        <v>11.589294365557359</v>
      </c>
      <c r="AC270" s="7">
        <v>0.57722070638911871</v>
      </c>
      <c r="AD270" s="7">
        <v>55.313927742514963</v>
      </c>
      <c r="AE270" s="7">
        <v>27.87737611886385</v>
      </c>
      <c r="AF270" s="8">
        <v>17.00150215802368</v>
      </c>
      <c r="AG270" s="8">
        <v>13.641725584178729</v>
      </c>
      <c r="AH270" s="8">
        <v>0.52426440033439703</v>
      </c>
      <c r="AI270" s="8">
        <v>53.994118822909478</v>
      </c>
      <c r="AJ270" s="8">
        <v>28.541907810218369</v>
      </c>
      <c r="AK270" s="8">
        <v>17.36354792318598</v>
      </c>
      <c r="AL270" s="8">
        <v>13.822733592701949</v>
      </c>
      <c r="AM270" s="8">
        <v>0.49869215624938251</v>
      </c>
      <c r="AN270" s="8">
        <v>56.220670640573772</v>
      </c>
      <c r="AO270" s="8">
        <v>28.942684942148599</v>
      </c>
      <c r="AP270" s="8">
        <v>17.49567731712628</v>
      </c>
      <c r="AQ270" s="8">
        <v>12.444171534359651</v>
      </c>
      <c r="AR270" s="8">
        <v>0.47555312528501259</v>
      </c>
      <c r="AS270" s="8">
        <v>59.504804964831372</v>
      </c>
      <c r="AT270" s="8">
        <v>28.386124417497719</v>
      </c>
      <c r="AU270" s="8">
        <v>17.94375427012405</v>
      </c>
      <c r="AV270" s="8">
        <v>16.618684161313031</v>
      </c>
      <c r="AW270" s="8">
        <v>0.48834321770048789</v>
      </c>
      <c r="AX270" s="8">
        <v>58.916609976542119</v>
      </c>
      <c r="AY270" s="8">
        <v>31.328998872604341</v>
      </c>
      <c r="AZ270" s="8">
        <v>17.744827048838101</v>
      </c>
      <c r="BA270" s="8">
        <v>17.519402164603349</v>
      </c>
      <c r="BB270" s="8">
        <v>0.49679857520052279</v>
      </c>
      <c r="BC270" s="8">
        <v>54.924457207274763</v>
      </c>
      <c r="BD270" s="8">
        <v>30.66897591088243</v>
      </c>
      <c r="BE270" s="8">
        <v>18.841110487760819</v>
      </c>
      <c r="BF270" s="8">
        <v>24.00770073544253</v>
      </c>
      <c r="BG270" s="8">
        <v>0.49320303614419142</v>
      </c>
      <c r="BH270" s="8">
        <v>57.389915267551011</v>
      </c>
      <c r="BI270" s="8">
        <v>36.253942993887918</v>
      </c>
    </row>
    <row r="271" spans="1:61" x14ac:dyDescent="0.15">
      <c r="A271" s="7">
        <v>2022</v>
      </c>
      <c r="B271" s="7">
        <v>15</v>
      </c>
      <c r="C271" s="7">
        <v>79.06608521494897</v>
      </c>
      <c r="D271" s="7">
        <v>24.868767031270139</v>
      </c>
      <c r="E271" s="8">
        <v>20.798509153906551</v>
      </c>
      <c r="F271" s="8">
        <v>11.26327175414186</v>
      </c>
      <c r="G271" s="8">
        <v>0.58853020280017831</v>
      </c>
      <c r="H271" s="8">
        <v>59.650517709780758</v>
      </c>
      <c r="I271" s="8">
        <v>31.067495163896719</v>
      </c>
      <c r="J271" s="8">
        <v>32.260561715678762</v>
      </c>
      <c r="K271" s="8">
        <v>20.38092653982989</v>
      </c>
      <c r="L271" s="8">
        <v>0.60372734347866419</v>
      </c>
      <c r="M271" s="8">
        <v>56.2073997901119</v>
      </c>
      <c r="N271" s="8">
        <v>40.140157937186487</v>
      </c>
      <c r="O271" s="8">
        <v>291.85000000000002</v>
      </c>
      <c r="P271" s="8">
        <v>286.26900000000001</v>
      </c>
      <c r="Q271" s="8">
        <v>99.6494</v>
      </c>
      <c r="R271" s="8">
        <v>-0.16708999999999999</v>
      </c>
      <c r="S271" s="8">
        <v>-0.63250499999999998</v>
      </c>
      <c r="T271" s="7">
        <f>C271-D271</f>
        <v>54.197318183678831</v>
      </c>
      <c r="U271" s="8">
        <f>D271/C271</f>
        <v>0.31453140703326765</v>
      </c>
      <c r="V271" s="8">
        <v>18.458573609770056</v>
      </c>
      <c r="W271" s="8">
        <v>8.6386127032978912</v>
      </c>
      <c r="X271" s="8">
        <v>0.56443231141989469</v>
      </c>
      <c r="Y271" s="8">
        <v>60.066396729652276</v>
      </c>
      <c r="Z271" s="8">
        <v>27.902235931316028</v>
      </c>
      <c r="AA271" s="7">
        <v>25.359567662724409</v>
      </c>
      <c r="AB271" s="7">
        <v>14.50976962156389</v>
      </c>
      <c r="AC271" s="7">
        <v>0.58407982744927944</v>
      </c>
      <c r="AD271" s="7">
        <v>58.136898259882088</v>
      </c>
      <c r="AE271" s="7">
        <v>34.021196934251257</v>
      </c>
      <c r="AF271" s="8">
        <v>31.551595462583322</v>
      </c>
      <c r="AG271" s="8">
        <v>20.493501251076911</v>
      </c>
      <c r="AH271" s="8">
        <v>0.61983576028095566</v>
      </c>
      <c r="AI271" s="8">
        <v>57.330359046433962</v>
      </c>
      <c r="AJ271" s="8">
        <v>40.138422832562767</v>
      </c>
      <c r="AK271" s="8">
        <v>32.344500912410219</v>
      </c>
      <c r="AL271" s="8">
        <v>20.36759807631968</v>
      </c>
      <c r="AM271" s="8">
        <v>0.60182016163313057</v>
      </c>
      <c r="AN271" s="8">
        <v>56.074445227710271</v>
      </c>
      <c r="AO271" s="8">
        <v>40.140363367681552</v>
      </c>
      <c r="AP271" s="8">
        <v>30.22231776063461</v>
      </c>
      <c r="AQ271" s="8">
        <v>17.77750151496101</v>
      </c>
      <c r="AR271" s="8">
        <v>0.56672887862328025</v>
      </c>
      <c r="AS271" s="8">
        <v>56.165937186089899</v>
      </c>
      <c r="AT271" s="8">
        <v>36.786577119435279</v>
      </c>
      <c r="AU271" s="8">
        <v>28.470889156206511</v>
      </c>
      <c r="AV271" s="8">
        <v>22.434007753503369</v>
      </c>
      <c r="AW271" s="8">
        <v>0.55020781383749373</v>
      </c>
      <c r="AX271" s="8">
        <v>63.794512688958527</v>
      </c>
      <c r="AY271" s="8">
        <v>47.640623732507763</v>
      </c>
      <c r="AZ271" s="8">
        <v>31.598820197505589</v>
      </c>
      <c r="BA271" s="8">
        <v>20.889967871043879</v>
      </c>
      <c r="BB271" s="8">
        <v>0.61155622562232548</v>
      </c>
      <c r="BC271" s="8">
        <v>57.43124088135184</v>
      </c>
      <c r="BD271" s="8">
        <v>40.454530017162739</v>
      </c>
      <c r="BE271" s="8">
        <v>30.623539573584551</v>
      </c>
      <c r="BF271" s="8">
        <v>27.386535746696261</v>
      </c>
      <c r="BG271" s="8">
        <v>0.57462500241915049</v>
      </c>
      <c r="BH271" s="8">
        <v>61.599403806402357</v>
      </c>
      <c r="BI271" s="8">
        <v>57.074284792298258</v>
      </c>
    </row>
    <row r="272" spans="1:61" x14ac:dyDescent="0.15">
      <c r="A272" s="7">
        <v>2021</v>
      </c>
      <c r="B272" s="7">
        <v>73</v>
      </c>
      <c r="C272" s="7">
        <v>4.5473389286171209</v>
      </c>
      <c r="D272" s="7">
        <v>0.19068207900839593</v>
      </c>
      <c r="E272" s="8">
        <v>19.642324985067759</v>
      </c>
      <c r="F272" s="8">
        <v>17.606853933738279</v>
      </c>
      <c r="G272" s="8">
        <v>0.58861972780112104</v>
      </c>
      <c r="H272" s="8">
        <v>54.857083687797143</v>
      </c>
      <c r="I272" s="8">
        <v>29.763044902935668</v>
      </c>
      <c r="J272" s="8">
        <v>22.011098892134999</v>
      </c>
      <c r="K272" s="8">
        <v>27.493985172320439</v>
      </c>
      <c r="L272" s="8">
        <v>0.65581605510307095</v>
      </c>
      <c r="M272" s="8">
        <v>58.373482420499698</v>
      </c>
      <c r="N272" s="8">
        <v>37.973412294154073</v>
      </c>
      <c r="O272" s="8">
        <v>297.05099999999999</v>
      </c>
      <c r="P272" s="8">
        <v>292.90899999999999</v>
      </c>
      <c r="Q272" s="8">
        <v>100.955</v>
      </c>
      <c r="R272" s="8">
        <v>-1.4349099999999999</v>
      </c>
      <c r="S272" s="8">
        <v>-0.229215</v>
      </c>
      <c r="T272" s="7">
        <f>C272-D272</f>
        <v>4.3566568496087248</v>
      </c>
      <c r="U272" s="8">
        <f>D272/C272</f>
        <v>4.1932673592549596E-2</v>
      </c>
      <c r="V272" s="8">
        <v>22.77814810300524</v>
      </c>
      <c r="W272" s="8">
        <v>20.355719767340819</v>
      </c>
      <c r="X272" s="8">
        <v>0.73774928487242364</v>
      </c>
      <c r="Y272" s="8">
        <v>58.434598967419859</v>
      </c>
      <c r="Z272" s="8">
        <v>34.988957517513043</v>
      </c>
      <c r="AA272" s="7">
        <v>22.394623497570119</v>
      </c>
      <c r="AB272" s="7">
        <v>23.924852469830629</v>
      </c>
      <c r="AC272" s="7">
        <v>0.69678266998774729</v>
      </c>
      <c r="AD272" s="7">
        <v>58.404040693959779</v>
      </c>
      <c r="AE272" s="7">
        <v>36.481184905833558</v>
      </c>
      <c r="AF272" s="8">
        <v>22.009272749096581</v>
      </c>
      <c r="AG272" s="8">
        <v>27.713438164365641</v>
      </c>
      <c r="AH272" s="8">
        <v>0.67054997514214454</v>
      </c>
      <c r="AI272" s="8">
        <v>58.141508358035111</v>
      </c>
      <c r="AJ272" s="8">
        <v>38.381430191687599</v>
      </c>
      <c r="AK272" s="8">
        <v>22.011302628803961</v>
      </c>
      <c r="AL272" s="8">
        <v>27.46950153623439</v>
      </c>
      <c r="AM272" s="8">
        <v>0.65417224094043103</v>
      </c>
      <c r="AN272" s="8">
        <v>58.399362990519982</v>
      </c>
      <c r="AO272" s="8">
        <v>37.927891102455092</v>
      </c>
      <c r="AP272" s="8">
        <v>21.50303996737221</v>
      </c>
      <c r="AQ272" s="8">
        <v>22.92143950540644</v>
      </c>
      <c r="AR272" s="8">
        <v>0.62604586253811123</v>
      </c>
      <c r="AS272" s="8">
        <v>58.993333312028831</v>
      </c>
      <c r="AT272" s="8">
        <v>34.67922372504237</v>
      </c>
      <c r="AU272" s="8">
        <v>20.11680406950466</v>
      </c>
      <c r="AV272" s="8">
        <v>23.050274565915871</v>
      </c>
      <c r="AW272" s="8">
        <v>0.62500109707867868</v>
      </c>
      <c r="AX272" s="8">
        <v>61.562784349559422</v>
      </c>
      <c r="AY272" s="8">
        <v>32.93099027106738</v>
      </c>
      <c r="AZ272" s="8">
        <v>22.149965903712719</v>
      </c>
      <c r="BA272" s="8">
        <v>27.428151670483881</v>
      </c>
      <c r="BB272" s="8">
        <v>0.6701395215440854</v>
      </c>
      <c r="BC272" s="8">
        <v>58.582250415620749</v>
      </c>
      <c r="BD272" s="8">
        <v>38.28932953535606</v>
      </c>
      <c r="BE272" s="8">
        <v>20.589751114583461</v>
      </c>
      <c r="BF272" s="8">
        <v>22.49724551972734</v>
      </c>
      <c r="BG272" s="8">
        <v>0.63626562372047224</v>
      </c>
      <c r="BH272" s="8">
        <v>59.076960586314563</v>
      </c>
      <c r="BI272" s="8">
        <v>32.932438186666907</v>
      </c>
    </row>
    <row r="273" spans="1:61" x14ac:dyDescent="0.15">
      <c r="A273" s="7">
        <v>2023</v>
      </c>
      <c r="B273" s="7">
        <v>64</v>
      </c>
      <c r="C273" s="9">
        <v>24.459786690994001</v>
      </c>
      <c r="D273" s="7">
        <v>8.059454026870938</v>
      </c>
      <c r="E273" s="8">
        <v>39.503074046804279</v>
      </c>
      <c r="F273" s="8">
        <v>25.54056966439391</v>
      </c>
      <c r="G273" s="8">
        <v>0.58878872362585433</v>
      </c>
      <c r="H273" s="8">
        <v>75.014182797610289</v>
      </c>
      <c r="I273" s="8">
        <v>67.121808214412098</v>
      </c>
      <c r="J273" s="8">
        <v>37.273111294781501</v>
      </c>
      <c r="K273" s="8">
        <v>29.642167826133289</v>
      </c>
      <c r="L273" s="8">
        <v>0.73017183368951244</v>
      </c>
      <c r="M273" s="8">
        <v>78.517488900055326</v>
      </c>
      <c r="N273" s="8">
        <v>67.847982921140982</v>
      </c>
      <c r="O273" s="7">
        <v>287.81900000000002</v>
      </c>
      <c r="P273" s="7">
        <v>278.54700000000003</v>
      </c>
      <c r="Q273" s="7">
        <v>99.626999999999995</v>
      </c>
      <c r="R273" s="7">
        <v>0.109995</v>
      </c>
      <c r="S273" s="7">
        <v>0.36609399999999997</v>
      </c>
      <c r="T273" s="7">
        <f>C273-D273</f>
        <v>16.400332664123063</v>
      </c>
      <c r="U273" s="8">
        <f>D273/C273</f>
        <v>0.32949813212551021</v>
      </c>
      <c r="V273" s="8">
        <v>34.106584673257373</v>
      </c>
      <c r="W273" s="8">
        <v>24.933628723496469</v>
      </c>
      <c r="X273" s="8">
        <v>0.53771675696005339</v>
      </c>
      <c r="Y273" s="8">
        <v>75.265866552012852</v>
      </c>
      <c r="Z273" s="8">
        <v>61.353259055215034</v>
      </c>
      <c r="AA273" s="7">
        <v>35.689847984019437</v>
      </c>
      <c r="AB273" s="7">
        <v>27.287898274814879</v>
      </c>
      <c r="AC273" s="7">
        <v>0.63394429532478291</v>
      </c>
      <c r="AD273" s="7">
        <v>76.891677726034089</v>
      </c>
      <c r="AE273" s="7">
        <v>64.600620988178008</v>
      </c>
      <c r="AF273" s="8">
        <v>37.264191138217548</v>
      </c>
      <c r="AG273" s="8">
        <v>29.035957029665521</v>
      </c>
      <c r="AH273" s="8">
        <v>0.72553322448782587</v>
      </c>
      <c r="AI273" s="8">
        <v>78.808490086889151</v>
      </c>
      <c r="AJ273" s="8">
        <v>68.267548758901938</v>
      </c>
      <c r="AK273" s="8">
        <v>37.274151552526753</v>
      </c>
      <c r="AL273" s="8">
        <v>29.712863387556411</v>
      </c>
      <c r="AM273" s="8">
        <v>0.73071278261956507</v>
      </c>
      <c r="AN273" s="8">
        <v>78.483552697668486</v>
      </c>
      <c r="AO273" s="8">
        <v>67.79905366645383</v>
      </c>
      <c r="AP273" s="8">
        <v>34.351532600025791</v>
      </c>
      <c r="AQ273" s="8">
        <v>27.574261083661611</v>
      </c>
      <c r="AR273" s="8">
        <v>0.63151150673518686</v>
      </c>
      <c r="AS273" s="8">
        <v>77.848480335358957</v>
      </c>
      <c r="AT273" s="8">
        <v>63.299572379610282</v>
      </c>
      <c r="AU273" s="8">
        <v>32.013371177697003</v>
      </c>
      <c r="AV273" s="8">
        <v>22.380312386826692</v>
      </c>
      <c r="AW273" s="8">
        <v>0.54520132698316515</v>
      </c>
      <c r="AX273" s="8">
        <v>71.467199767706305</v>
      </c>
      <c r="AY273" s="8">
        <v>55.129608115381643</v>
      </c>
      <c r="AZ273" s="8">
        <v>37.447330050639863</v>
      </c>
      <c r="BA273" s="8">
        <v>29.258113045048681</v>
      </c>
      <c r="BB273" s="8">
        <v>0.6941332940209306</v>
      </c>
      <c r="BC273" s="8">
        <v>77.516444452423201</v>
      </c>
      <c r="BD273" s="8">
        <v>68.644293626840707</v>
      </c>
      <c r="BE273" s="8">
        <v>34.40359336272212</v>
      </c>
      <c r="BF273" s="8">
        <v>32.264542934354978</v>
      </c>
      <c r="BG273" s="8">
        <v>0.69248689317846401</v>
      </c>
      <c r="BH273" s="8">
        <v>70.494388507965127</v>
      </c>
      <c r="BI273" s="8">
        <v>69.835490388499736</v>
      </c>
    </row>
    <row r="274" spans="1:61" x14ac:dyDescent="0.15">
      <c r="A274" s="7">
        <v>2020</v>
      </c>
      <c r="B274" s="7">
        <v>143</v>
      </c>
      <c r="C274" s="7">
        <v>5.7430470096722024</v>
      </c>
      <c r="D274" s="7">
        <v>0.19310028576579544</v>
      </c>
      <c r="E274" s="8">
        <v>28.622002029271322</v>
      </c>
      <c r="F274" s="8">
        <v>15.009306081668679</v>
      </c>
      <c r="G274" s="8">
        <v>0.58893942670327548</v>
      </c>
      <c r="H274" s="8">
        <v>71.887168413577868</v>
      </c>
      <c r="I274" s="8">
        <v>45.285329630105743</v>
      </c>
      <c r="J274" s="8">
        <v>31.389830023595088</v>
      </c>
      <c r="K274" s="8">
        <v>18.562432898847732</v>
      </c>
      <c r="L274" s="8">
        <v>0.64159423673768801</v>
      </c>
      <c r="M274" s="8">
        <v>61.360126659689882</v>
      </c>
      <c r="N274" s="8">
        <v>47.426429803934603</v>
      </c>
      <c r="O274" s="8">
        <v>286.88400000000001</v>
      </c>
      <c r="P274" s="8">
        <v>282.03300000000002</v>
      </c>
      <c r="Q274" s="8">
        <v>92.508600000000001</v>
      </c>
      <c r="R274" s="8">
        <v>-0.31786599999999998</v>
      </c>
      <c r="S274" s="8">
        <v>-0.19228200000000001</v>
      </c>
      <c r="T274" s="7">
        <f>C274-D274</f>
        <v>5.5499467239064071</v>
      </c>
      <c r="U274" s="8">
        <f>D274/C274</f>
        <v>3.3623316236239043E-2</v>
      </c>
      <c r="V274" s="8">
        <v>26.794562268702094</v>
      </c>
      <c r="W274" s="8">
        <v>12.96424862062225</v>
      </c>
      <c r="X274" s="8">
        <v>0.55852183137586586</v>
      </c>
      <c r="Y274" s="8">
        <v>77.282393737655468</v>
      </c>
      <c r="Z274" s="8">
        <v>42.913761261498216</v>
      </c>
      <c r="AA274" s="7">
        <v>29.092196146148591</v>
      </c>
      <c r="AB274" s="7">
        <v>15.763340759734991</v>
      </c>
      <c r="AC274" s="7">
        <v>0.60005803405677693</v>
      </c>
      <c r="AD274" s="7">
        <v>69.321260198672675</v>
      </c>
      <c r="AE274" s="7">
        <v>45.17009553271641</v>
      </c>
      <c r="AF274" s="8">
        <v>30.688674917797972</v>
      </c>
      <c r="AG274" s="8">
        <v>18.384019461742529</v>
      </c>
      <c r="AH274" s="8">
        <v>0.64215542296645312</v>
      </c>
      <c r="AI274" s="8">
        <v>61.554000642455811</v>
      </c>
      <c r="AJ274" s="8">
        <v>46.004225492829619</v>
      </c>
      <c r="AK274" s="8">
        <v>31.513452949455719</v>
      </c>
      <c r="AL274" s="8">
        <v>18.593889549345519</v>
      </c>
      <c r="AM274" s="8">
        <v>0.64149529217751999</v>
      </c>
      <c r="AN274" s="8">
        <v>61.325944110351458</v>
      </c>
      <c r="AO274" s="8">
        <v>47.677183248724162</v>
      </c>
      <c r="AP274" s="8">
        <v>29.365091481607031</v>
      </c>
      <c r="AQ274" s="8">
        <v>18.558927074503501</v>
      </c>
      <c r="AR274" s="8">
        <v>0.61123744896715526</v>
      </c>
      <c r="AS274" s="8">
        <v>56.404397393864393</v>
      </c>
      <c r="AT274" s="8">
        <v>42.337352437467374</v>
      </c>
      <c r="AU274" s="8">
        <v>28.628049780632718</v>
      </c>
      <c r="AV274" s="8">
        <v>17.27736797444836</v>
      </c>
      <c r="AW274" s="8">
        <v>0.6025715840765945</v>
      </c>
      <c r="AX274" s="8">
        <v>59.861812115647822</v>
      </c>
      <c r="AY274" s="8">
        <v>40.125511395043347</v>
      </c>
      <c r="AZ274" s="8">
        <v>34.563423342304283</v>
      </c>
      <c r="BA274" s="8">
        <v>21.333497341096539</v>
      </c>
      <c r="BB274" s="8">
        <v>0.6934326065897195</v>
      </c>
      <c r="BC274" s="8">
        <v>59.008681684813922</v>
      </c>
      <c r="BD274" s="8">
        <v>52.879538054460369</v>
      </c>
      <c r="BE274" s="8">
        <v>38.390192882695153</v>
      </c>
      <c r="BF274" s="8">
        <v>32.936977052918579</v>
      </c>
      <c r="BG274" s="8">
        <v>0.63955893622391125</v>
      </c>
      <c r="BH274" s="8">
        <v>58.385837488172868</v>
      </c>
      <c r="BI274" s="8">
        <v>75.332767620389632</v>
      </c>
    </row>
    <row r="275" spans="1:61" x14ac:dyDescent="0.15">
      <c r="A275" s="7">
        <v>2022</v>
      </c>
      <c r="B275" s="7">
        <v>17</v>
      </c>
      <c r="C275" s="7">
        <v>292.33281432130065</v>
      </c>
      <c r="D275" s="7">
        <v>86.911791235630417</v>
      </c>
      <c r="E275" s="8">
        <v>18.13177207888489</v>
      </c>
      <c r="F275" s="8">
        <v>15.233266009527551</v>
      </c>
      <c r="G275" s="8">
        <v>0.58897462875946915</v>
      </c>
      <c r="H275" s="8">
        <v>50.89518262573754</v>
      </c>
      <c r="I275" s="8">
        <v>28.117939466620172</v>
      </c>
      <c r="J275" s="8">
        <v>20.768048035864879</v>
      </c>
      <c r="K275" s="8">
        <v>25.668577239620529</v>
      </c>
      <c r="L275" s="8">
        <v>0.68760052697240848</v>
      </c>
      <c r="M275" s="8">
        <v>52.546425254947337</v>
      </c>
      <c r="N275" s="8">
        <v>37.710348602977533</v>
      </c>
      <c r="O275" s="8">
        <v>295.8</v>
      </c>
      <c r="P275" s="8">
        <v>291.08600000000001</v>
      </c>
      <c r="Q275" s="8">
        <v>100.438</v>
      </c>
      <c r="R275" s="8">
        <v>-0.71980200000000005</v>
      </c>
      <c r="S275" s="8">
        <v>-0.62633300000000003</v>
      </c>
      <c r="T275" s="7">
        <f>C275-D275</f>
        <v>205.42102308567024</v>
      </c>
      <c r="U275" s="8">
        <f>D275/C275</f>
        <v>0.29730426068455784</v>
      </c>
      <c r="V275" s="8">
        <v>22.181394929804483</v>
      </c>
      <c r="W275" s="8">
        <v>17.802680261868073</v>
      </c>
      <c r="X275" s="8">
        <v>0.65441591314672298</v>
      </c>
      <c r="Y275" s="8">
        <v>53.190525519669706</v>
      </c>
      <c r="Z275" s="8">
        <v>32.24203847527049</v>
      </c>
      <c r="AA275" s="7">
        <v>21.474721482834681</v>
      </c>
      <c r="AB275" s="7">
        <v>21.735628750744301</v>
      </c>
      <c r="AC275" s="7">
        <v>0.67100822005956573</v>
      </c>
      <c r="AD275" s="7">
        <v>52.868475387308521</v>
      </c>
      <c r="AE275" s="7">
        <v>34.976193539124012</v>
      </c>
      <c r="AF275" s="8">
        <v>20.085567299063971</v>
      </c>
      <c r="AG275" s="8">
        <v>22.01527325821429</v>
      </c>
      <c r="AH275" s="8">
        <v>0.69034792163512282</v>
      </c>
      <c r="AI275" s="8">
        <v>51.598028209142413</v>
      </c>
      <c r="AJ275" s="8">
        <v>36.002528912612938</v>
      </c>
      <c r="AK275" s="8">
        <v>20.86517283882144</v>
      </c>
      <c r="AL275" s="8">
        <v>26.18848411786843</v>
      </c>
      <c r="AM275" s="8">
        <v>0.68720954133593359</v>
      </c>
      <c r="AN275" s="8">
        <v>52.68139298550949</v>
      </c>
      <c r="AO275" s="8">
        <v>37.953390848667127</v>
      </c>
      <c r="AP275" s="8">
        <v>22.850927657509779</v>
      </c>
      <c r="AQ275" s="8">
        <v>21.63268329127995</v>
      </c>
      <c r="AR275" s="8">
        <v>0.64983659186405207</v>
      </c>
      <c r="AS275" s="8">
        <v>52.727768664288682</v>
      </c>
      <c r="AT275" s="8">
        <v>35.435346101988337</v>
      </c>
      <c r="AU275" s="8">
        <v>23.762013500498419</v>
      </c>
      <c r="AV275" s="8">
        <v>21.365763723654261</v>
      </c>
      <c r="AW275" s="8">
        <v>0.74331153613454937</v>
      </c>
      <c r="AX275" s="8">
        <v>55.878671304486957</v>
      </c>
      <c r="AY275" s="8">
        <v>38.007142790150432</v>
      </c>
      <c r="AZ275" s="8">
        <v>21.334783595972041</v>
      </c>
      <c r="BA275" s="8">
        <v>26.626477082553428</v>
      </c>
      <c r="BB275" s="8">
        <v>0.71182277169482955</v>
      </c>
      <c r="BC275" s="8">
        <v>54.192418913628771</v>
      </c>
      <c r="BD275" s="8">
        <v>38.717065559148047</v>
      </c>
      <c r="BE275" s="8">
        <v>22.320672600753038</v>
      </c>
      <c r="BF275" s="8">
        <v>19.623818595483431</v>
      </c>
      <c r="BG275" s="8">
        <v>0.73030554230878086</v>
      </c>
      <c r="BH275" s="8">
        <v>54.298357668998086</v>
      </c>
      <c r="BI275" s="8">
        <v>35.138098262224688</v>
      </c>
    </row>
    <row r="276" spans="1:61" x14ac:dyDescent="0.15">
      <c r="A276" s="7">
        <v>2022</v>
      </c>
      <c r="B276" s="7">
        <v>147</v>
      </c>
      <c r="C276" s="7">
        <v>25.706068782150133</v>
      </c>
      <c r="D276" s="7">
        <v>5.1672967076326142</v>
      </c>
      <c r="E276" s="8">
        <v>29.344605472836971</v>
      </c>
      <c r="F276" s="8">
        <v>20.620203475746969</v>
      </c>
      <c r="G276" s="8">
        <v>0.589197620526969</v>
      </c>
      <c r="H276" s="8">
        <v>71.491439172083687</v>
      </c>
      <c r="I276" s="8">
        <v>52.772831076698047</v>
      </c>
      <c r="J276" s="8">
        <v>35.946592666582802</v>
      </c>
      <c r="K276" s="8">
        <v>28.529845766936969</v>
      </c>
      <c r="L276" s="8">
        <v>0.68159689316703864</v>
      </c>
      <c r="M276" s="8">
        <v>55.558268765034207</v>
      </c>
      <c r="N276" s="8">
        <v>70.436088138568124</v>
      </c>
      <c r="O276" s="8">
        <v>283.62900000000002</v>
      </c>
      <c r="P276" s="8">
        <v>274.23</v>
      </c>
      <c r="Q276" s="8">
        <v>87.348199999999991</v>
      </c>
      <c r="R276" s="8">
        <v>0.15973000000000001</v>
      </c>
      <c r="S276" s="8">
        <v>0.268704</v>
      </c>
      <c r="T276" s="7">
        <f>C276-D276</f>
        <v>20.538772074517517</v>
      </c>
      <c r="U276" s="8">
        <f>D276/C276</f>
        <v>0.20101466122352785</v>
      </c>
      <c r="V276" s="8">
        <v>32.571025924770836</v>
      </c>
      <c r="W276" s="8">
        <v>20.54860929884293</v>
      </c>
      <c r="X276" s="8">
        <v>0.60324053687893264</v>
      </c>
      <c r="Y276" s="8">
        <v>69.572817575911586</v>
      </c>
      <c r="Z276" s="8">
        <v>49.217222422988883</v>
      </c>
      <c r="AA276" s="7">
        <v>34.258809295676819</v>
      </c>
      <c r="AB276" s="7">
        <v>24.539227532889949</v>
      </c>
      <c r="AC276" s="7">
        <v>0.64241871502298564</v>
      </c>
      <c r="AD276" s="7">
        <v>62.5655431704729</v>
      </c>
      <c r="AE276" s="7">
        <v>59.826655280778503</v>
      </c>
      <c r="AF276" s="8">
        <v>35.308740419152919</v>
      </c>
      <c r="AG276" s="8">
        <v>27.739257585890581</v>
      </c>
      <c r="AH276" s="8">
        <v>0.69092557522073605</v>
      </c>
      <c r="AI276" s="8">
        <v>57.29375137537793</v>
      </c>
      <c r="AJ276" s="8">
        <v>68.286300104270509</v>
      </c>
      <c r="AK276" s="8">
        <v>36.079577604190149</v>
      </c>
      <c r="AL276" s="8">
        <v>28.69467440923335</v>
      </c>
      <c r="AM276" s="8">
        <v>0.67965196907863334</v>
      </c>
      <c r="AN276" s="8">
        <v>55.19644038301449</v>
      </c>
      <c r="AO276" s="8">
        <v>70.884294488490099</v>
      </c>
      <c r="AP276" s="8">
        <v>38.009768651253253</v>
      </c>
      <c r="AQ276" s="8">
        <v>28.888278198818181</v>
      </c>
      <c r="AR276" s="8">
        <v>0.68548472417296769</v>
      </c>
      <c r="AS276" s="8">
        <v>52.925667130143452</v>
      </c>
      <c r="AT276" s="8">
        <v>71.96235585089596</v>
      </c>
      <c r="AU276" s="8">
        <v>37.366782869422913</v>
      </c>
      <c r="AV276" s="8">
        <v>26.582583121282429</v>
      </c>
      <c r="AW276" s="8">
        <v>0.67435559718833493</v>
      </c>
      <c r="AX276" s="8">
        <v>57.751097976069261</v>
      </c>
      <c r="AY276" s="8">
        <v>62.201247588896393</v>
      </c>
      <c r="AZ276" s="8">
        <v>34.692555048883861</v>
      </c>
      <c r="BA276" s="8">
        <v>29.54575889961675</v>
      </c>
      <c r="BB276" s="8">
        <v>0.70981803958223944</v>
      </c>
      <c r="BC276" s="8">
        <v>57.178107467197442</v>
      </c>
      <c r="BD276" s="8">
        <v>78.134321934457034</v>
      </c>
      <c r="BE276" s="8">
        <v>35.402103001387523</v>
      </c>
      <c r="BF276" s="8">
        <v>29.328709006531689</v>
      </c>
      <c r="BG276" s="8">
        <v>0.66610577432885487</v>
      </c>
      <c r="BH276" s="8">
        <v>59.237572806812807</v>
      </c>
      <c r="BI276" s="8">
        <v>91.847453826676926</v>
      </c>
    </row>
    <row r="277" spans="1:61" x14ac:dyDescent="0.15">
      <c r="A277" s="7">
        <v>2021</v>
      </c>
      <c r="B277" s="7">
        <v>57</v>
      </c>
      <c r="C277" s="7">
        <v>64.787490723123923</v>
      </c>
      <c r="D277" s="7">
        <v>52.812644781484863</v>
      </c>
      <c r="E277" s="8">
        <v>27.707453446949721</v>
      </c>
      <c r="F277" s="8">
        <v>28.707460806206871</v>
      </c>
      <c r="G277" s="8">
        <v>0.58942576324470475</v>
      </c>
      <c r="H277" s="8">
        <v>72.873356452341952</v>
      </c>
      <c r="I277" s="8">
        <v>37.667062595420298</v>
      </c>
      <c r="J277" s="8">
        <v>30.454915489227879</v>
      </c>
      <c r="K277" s="8">
        <v>33.80428702839351</v>
      </c>
      <c r="L277" s="8">
        <v>0.6911346201024805</v>
      </c>
      <c r="M277" s="8">
        <v>65.617939570287049</v>
      </c>
      <c r="N277" s="8">
        <v>52.595640777599208</v>
      </c>
      <c r="O277" s="8">
        <v>290.392</v>
      </c>
      <c r="P277" s="8">
        <v>285.46499999999997</v>
      </c>
      <c r="Q277" s="8">
        <v>101.377</v>
      </c>
      <c r="R277" s="8">
        <v>-0.83755500000000005</v>
      </c>
      <c r="S277" s="8">
        <v>-7.0979799999999996E-2</v>
      </c>
      <c r="T277" s="7">
        <f>C277-D277</f>
        <v>11.97484594163906</v>
      </c>
      <c r="U277" s="8">
        <f>D277/C277</f>
        <v>0.81516731381348273</v>
      </c>
      <c r="V277" s="8">
        <v>30.726256117361721</v>
      </c>
      <c r="W277" s="8">
        <v>28.508310386743211</v>
      </c>
      <c r="X277" s="8">
        <v>0.67235074009655371</v>
      </c>
      <c r="Y277" s="8">
        <v>70.591293071857521</v>
      </c>
      <c r="Z277" s="8">
        <v>47.233889435946473</v>
      </c>
      <c r="AA277" s="7">
        <v>30.5905858032948</v>
      </c>
      <c r="AB277" s="7">
        <v>31.156298707568361</v>
      </c>
      <c r="AC277" s="7">
        <v>0.68174268009951711</v>
      </c>
      <c r="AD277" s="7">
        <v>68.104616321072285</v>
      </c>
      <c r="AE277" s="7">
        <v>49.91476510677284</v>
      </c>
      <c r="AF277" s="8">
        <v>28.46721088003558</v>
      </c>
      <c r="AG277" s="8">
        <v>35.646058139718313</v>
      </c>
      <c r="AH277" s="8">
        <v>0.69578892366330369</v>
      </c>
      <c r="AI277" s="8">
        <v>66.457224943392603</v>
      </c>
      <c r="AJ277" s="8">
        <v>48.668658846900307</v>
      </c>
      <c r="AK277" s="8">
        <v>30.595894806501601</v>
      </c>
      <c r="AL277" s="8">
        <v>33.673658144882218</v>
      </c>
      <c r="AM277" s="8">
        <v>0.69080451041950486</v>
      </c>
      <c r="AN277" s="8">
        <v>65.558412677633555</v>
      </c>
      <c r="AO277" s="8">
        <v>52.874164673441634</v>
      </c>
      <c r="AP277" s="8">
        <v>29.741063693049899</v>
      </c>
      <c r="AQ277" s="8">
        <v>31.0232745550529</v>
      </c>
      <c r="AR277" s="8">
        <v>0.66189276926717877</v>
      </c>
      <c r="AS277" s="8">
        <v>68.321231747825962</v>
      </c>
      <c r="AT277" s="8">
        <v>49.041214292444707</v>
      </c>
      <c r="AU277" s="8">
        <v>37.778505715610777</v>
      </c>
      <c r="AV277" s="8">
        <v>26.03494797057915</v>
      </c>
      <c r="AW277" s="8">
        <v>0.59046320237649286</v>
      </c>
      <c r="AX277" s="8">
        <v>70.816395736065346</v>
      </c>
      <c r="AY277" s="8">
        <v>55.663230016442377</v>
      </c>
      <c r="AZ277" s="8">
        <v>32.624791205853811</v>
      </c>
      <c r="BA277" s="8">
        <v>32.522488623668863</v>
      </c>
      <c r="BB277" s="8">
        <v>0.68699528204925653</v>
      </c>
      <c r="BC277" s="8">
        <v>66.164458317081099</v>
      </c>
      <c r="BD277" s="8">
        <v>55.232430132920413</v>
      </c>
      <c r="BE277" s="8">
        <v>48.144144753728753</v>
      </c>
      <c r="BF277" s="8">
        <v>29.300722355398982</v>
      </c>
      <c r="BG277" s="8">
        <v>0.57577655331614253</v>
      </c>
      <c r="BH277" s="8">
        <v>72.476790306361607</v>
      </c>
      <c r="BI277" s="8">
        <v>69.711382762687577</v>
      </c>
    </row>
    <row r="278" spans="1:61" x14ac:dyDescent="0.15">
      <c r="A278" s="7">
        <v>2021</v>
      </c>
      <c r="B278" s="7">
        <v>13</v>
      </c>
      <c r="C278" s="7">
        <v>147.62122449927307</v>
      </c>
      <c r="D278" s="7">
        <v>14.539032326942859</v>
      </c>
      <c r="E278" s="8">
        <v>30.498106126502659</v>
      </c>
      <c r="F278" s="8">
        <v>26.13696755052986</v>
      </c>
      <c r="G278" s="8">
        <v>0.58986971867304672</v>
      </c>
      <c r="H278" s="8">
        <v>71.832658369904465</v>
      </c>
      <c r="I278" s="8">
        <v>51.046386256032363</v>
      </c>
      <c r="J278" s="8">
        <v>32.584432604095987</v>
      </c>
      <c r="K278" s="8">
        <v>23.83254518807437</v>
      </c>
      <c r="L278" s="8">
        <v>0.63984468875426281</v>
      </c>
      <c r="M278" s="8">
        <v>77.018180330291557</v>
      </c>
      <c r="N278" s="8">
        <v>56.784809767735638</v>
      </c>
      <c r="O278" s="8">
        <v>287.29899999999998</v>
      </c>
      <c r="P278" s="8">
        <v>281.17399999999998</v>
      </c>
      <c r="Q278" s="8">
        <v>101.054</v>
      </c>
      <c r="R278" s="8">
        <v>3.4371800000000001E-2</v>
      </c>
      <c r="S278" s="8">
        <v>0.2009</v>
      </c>
      <c r="T278" s="7">
        <f>C278-D278</f>
        <v>133.08219217233022</v>
      </c>
      <c r="U278" s="8">
        <f>D278/C278</f>
        <v>9.8488766613736178E-2</v>
      </c>
      <c r="V278" s="8">
        <v>36.350090874649958</v>
      </c>
      <c r="W278" s="8">
        <v>24.537123567362151</v>
      </c>
      <c r="X278" s="8">
        <v>0.65838423652083344</v>
      </c>
      <c r="Y278" s="8">
        <v>69.926486786756101</v>
      </c>
      <c r="Z278" s="8">
        <v>59.859795784965939</v>
      </c>
      <c r="AA278" s="7">
        <v>34.467261739372972</v>
      </c>
      <c r="AB278" s="7">
        <v>24.184834377718261</v>
      </c>
      <c r="AC278" s="7">
        <v>0.64911446263754813</v>
      </c>
      <c r="AD278" s="7">
        <v>73.472333558523829</v>
      </c>
      <c r="AE278" s="7">
        <v>58.322302776350789</v>
      </c>
      <c r="AF278" s="8">
        <v>31.270070728392451</v>
      </c>
      <c r="AG278" s="8">
        <v>23.334750284347709</v>
      </c>
      <c r="AH278" s="8">
        <v>0.65326609050717044</v>
      </c>
      <c r="AI278" s="8">
        <v>78.077888072831016</v>
      </c>
      <c r="AJ278" s="8">
        <v>52.472299665692013</v>
      </c>
      <c r="AK278" s="8">
        <v>32.713911432414157</v>
      </c>
      <c r="AL278" s="8">
        <v>23.8815833579032</v>
      </c>
      <c r="AM278" s="8">
        <v>0.63852253584837204</v>
      </c>
      <c r="AN278" s="8">
        <v>76.913787682117501</v>
      </c>
      <c r="AO278" s="8">
        <v>57.209638550009913</v>
      </c>
      <c r="AP278" s="8">
        <v>34.871592845973858</v>
      </c>
      <c r="AQ278" s="8">
        <v>23.646690690592191</v>
      </c>
      <c r="AR278" s="8">
        <v>0.64195848286009516</v>
      </c>
      <c r="AS278" s="8">
        <v>72.873609989163583</v>
      </c>
      <c r="AT278" s="8">
        <v>57.914529139487513</v>
      </c>
      <c r="AU278" s="8">
        <v>36.492796174425102</v>
      </c>
      <c r="AV278" s="8">
        <v>23.86494057720698</v>
      </c>
      <c r="AW278" s="8">
        <v>0.67848398054373049</v>
      </c>
      <c r="AX278" s="8">
        <v>74.370759408606474</v>
      </c>
      <c r="AY278" s="8">
        <v>63.897357718015677</v>
      </c>
      <c r="AZ278" s="8">
        <v>34.43391745585788</v>
      </c>
      <c r="BA278" s="8">
        <v>24.244265657266968</v>
      </c>
      <c r="BB278" s="8">
        <v>0.65661573934108031</v>
      </c>
      <c r="BC278" s="8">
        <v>76.397645210789065</v>
      </c>
      <c r="BD278" s="8">
        <v>61.274772467451513</v>
      </c>
      <c r="BE278" s="8">
        <v>37.959222411551288</v>
      </c>
      <c r="BF278" s="8">
        <v>27.738915567683161</v>
      </c>
      <c r="BG278" s="8">
        <v>0.68132023696217781</v>
      </c>
      <c r="BH278" s="8">
        <v>71.628577545890437</v>
      </c>
      <c r="BI278" s="8">
        <v>69.242838672069411</v>
      </c>
    </row>
    <row r="279" spans="1:61" x14ac:dyDescent="0.15">
      <c r="A279" s="7">
        <v>2020</v>
      </c>
      <c r="B279" s="7">
        <v>23</v>
      </c>
      <c r="C279" s="7">
        <v>189.2641269832973</v>
      </c>
      <c r="D279" s="7">
        <v>155.8187017645958</v>
      </c>
      <c r="E279" s="8">
        <v>35.954544326645951</v>
      </c>
      <c r="F279" s="8">
        <v>31.72731782203919</v>
      </c>
      <c r="G279" s="8">
        <v>0.59028088071689755</v>
      </c>
      <c r="H279" s="8">
        <v>68.669458765207025</v>
      </c>
      <c r="I279" s="8">
        <v>45.417787116152716</v>
      </c>
      <c r="J279" s="8">
        <v>32.785639636668101</v>
      </c>
      <c r="K279" s="8">
        <v>30.36588905484648</v>
      </c>
      <c r="L279" s="8">
        <v>0.69029282971393757</v>
      </c>
      <c r="M279" s="8">
        <v>70.570425683064158</v>
      </c>
      <c r="N279" s="8">
        <v>49.04406622923775</v>
      </c>
      <c r="O279" s="8">
        <v>289.90499999999997</v>
      </c>
      <c r="P279" s="8">
        <v>285.678</v>
      </c>
      <c r="Q279" s="8">
        <v>101.675</v>
      </c>
      <c r="R279" s="8">
        <v>-0.89379299999999995</v>
      </c>
      <c r="S279" s="8">
        <v>-0.40892899999999999</v>
      </c>
      <c r="T279" s="7">
        <f>C279-D279</f>
        <v>33.445425218701502</v>
      </c>
      <c r="U279" s="8">
        <f>D279/C279</f>
        <v>0.82328703409466986</v>
      </c>
      <c r="V279" s="8">
        <v>32.29506614602294</v>
      </c>
      <c r="W279" s="8">
        <v>28.101044037532336</v>
      </c>
      <c r="X279" s="8">
        <v>0.70514297951505689</v>
      </c>
      <c r="Y279" s="8">
        <v>72.242503506364542</v>
      </c>
      <c r="Z279" s="8">
        <v>43.373407315074864</v>
      </c>
      <c r="AA279" s="7">
        <v>32.54035289134552</v>
      </c>
      <c r="AB279" s="7">
        <v>29.233466546189408</v>
      </c>
      <c r="AC279" s="7">
        <v>0.69771790461449723</v>
      </c>
      <c r="AD279" s="7">
        <v>71.40646459471435</v>
      </c>
      <c r="AE279" s="7">
        <v>46.208736772156307</v>
      </c>
      <c r="AF279" s="8">
        <v>32.119741410933422</v>
      </c>
      <c r="AG279" s="8">
        <v>31.507508322150159</v>
      </c>
      <c r="AH279" s="8">
        <v>0.67777647830510446</v>
      </c>
      <c r="AI279" s="8">
        <v>70.219478703606612</v>
      </c>
      <c r="AJ279" s="8">
        <v>47.23384395366584</v>
      </c>
      <c r="AK279" s="8">
        <v>32.833649250129533</v>
      </c>
      <c r="AL279" s="8">
        <v>30.283581132066121</v>
      </c>
      <c r="AM279" s="8">
        <v>0.69119522766284691</v>
      </c>
      <c r="AN279" s="8">
        <v>70.595728091417328</v>
      </c>
      <c r="AO279" s="8">
        <v>49.174578773603763</v>
      </c>
      <c r="AP279" s="8">
        <v>32.043120735007498</v>
      </c>
      <c r="AQ279" s="8">
        <v>28.6255057431162</v>
      </c>
      <c r="AR279" s="8">
        <v>0.6739150457540366</v>
      </c>
      <c r="AS279" s="8">
        <v>71.956093627301783</v>
      </c>
      <c r="AT279" s="8">
        <v>44.361710775355583</v>
      </c>
      <c r="AU279" s="8">
        <v>35.126046200649178</v>
      </c>
      <c r="AV279" s="8">
        <v>31.446429686808418</v>
      </c>
      <c r="AW279" s="8">
        <v>0.71541197403977452</v>
      </c>
      <c r="AX279" s="8">
        <v>65.696279086929465</v>
      </c>
      <c r="AY279" s="8">
        <v>56.903865296507057</v>
      </c>
      <c r="AZ279" s="8">
        <v>33.947418389811268</v>
      </c>
      <c r="BA279" s="8">
        <v>29.792890430978289</v>
      </c>
      <c r="BB279" s="8">
        <v>0.69727947925556966</v>
      </c>
      <c r="BC279" s="8">
        <v>70.678755434054537</v>
      </c>
      <c r="BD279" s="8">
        <v>52.768142030864823</v>
      </c>
      <c r="BE279" s="8">
        <v>39.362539606622541</v>
      </c>
      <c r="BF279" s="8">
        <v>33.564835481725233</v>
      </c>
      <c r="BG279" s="8">
        <v>0.60245676875803256</v>
      </c>
      <c r="BH279" s="8">
        <v>65.417623017633787</v>
      </c>
      <c r="BI279" s="8">
        <v>60.213101628531817</v>
      </c>
    </row>
    <row r="280" spans="1:61" x14ac:dyDescent="0.15">
      <c r="A280" s="7">
        <v>2023</v>
      </c>
      <c r="B280" s="7">
        <v>30</v>
      </c>
      <c r="C280" s="9">
        <v>262.91346517892771</v>
      </c>
      <c r="D280" s="7">
        <v>230.63543181823459</v>
      </c>
      <c r="E280" s="8">
        <v>15.191342105656201</v>
      </c>
      <c r="F280" s="8">
        <v>10.54962383405047</v>
      </c>
      <c r="G280" s="8">
        <v>0.59054802410148699</v>
      </c>
      <c r="H280" s="8">
        <v>62.352087679298187</v>
      </c>
      <c r="I280" s="8">
        <v>26.275301119252362</v>
      </c>
      <c r="J280" s="8">
        <v>18.31996329042342</v>
      </c>
      <c r="K280" s="8">
        <v>20.852773363939178</v>
      </c>
      <c r="L280" s="8">
        <v>0.52598756801628144</v>
      </c>
      <c r="M280" s="8">
        <v>60.520900300199997</v>
      </c>
      <c r="N280" s="8">
        <v>32.276119193392397</v>
      </c>
      <c r="O280" s="7">
        <v>291.94400000000002</v>
      </c>
      <c r="P280" s="7">
        <v>287.476</v>
      </c>
      <c r="Q280" s="7">
        <v>97.707800000000006</v>
      </c>
      <c r="R280" s="7">
        <v>-0.57405600000000001</v>
      </c>
      <c r="S280" s="7">
        <v>-0.602912</v>
      </c>
      <c r="T280" s="7">
        <f>C280-D280</f>
        <v>32.278033360693115</v>
      </c>
      <c r="U280" s="8">
        <f>D280/C280</f>
        <v>0.87722943996525227</v>
      </c>
      <c r="V280" s="8">
        <v>13.555613407453301</v>
      </c>
      <c r="W280" s="8">
        <v>6.2831098170673201</v>
      </c>
      <c r="X280" s="8">
        <v>0.58358153006377067</v>
      </c>
      <c r="Y280" s="8">
        <v>64.408054202639008</v>
      </c>
      <c r="Z280" s="8">
        <v>23.062411307266885</v>
      </c>
      <c r="AA280" s="7">
        <v>15.93778834893836</v>
      </c>
      <c r="AB280" s="7">
        <v>13.567941590503249</v>
      </c>
      <c r="AC280" s="7">
        <v>0.55478454904002605</v>
      </c>
      <c r="AD280" s="7">
        <v>62.464477251419503</v>
      </c>
      <c r="AE280" s="7">
        <v>27.669265250329641</v>
      </c>
      <c r="AF280" s="8">
        <v>18.267780249496649</v>
      </c>
      <c r="AG280" s="8">
        <v>20.599387803987451</v>
      </c>
      <c r="AH280" s="8">
        <v>0.54275100706052271</v>
      </c>
      <c r="AI280" s="8">
        <v>59.908286994395063</v>
      </c>
      <c r="AJ280" s="8">
        <v>32.094484097446482</v>
      </c>
      <c r="AK280" s="8">
        <v>18.324849748585411</v>
      </c>
      <c r="AL280" s="8">
        <v>20.876500573307709</v>
      </c>
      <c r="AM280" s="8">
        <v>0.52441782730960884</v>
      </c>
      <c r="AN280" s="8">
        <v>60.578265858724912</v>
      </c>
      <c r="AO280" s="8">
        <v>32.293127636774123</v>
      </c>
      <c r="AP280" s="8">
        <v>17.80964681380522</v>
      </c>
      <c r="AQ280" s="8">
        <v>19.371432275711669</v>
      </c>
      <c r="AR280" s="8">
        <v>0.50402486436221217</v>
      </c>
      <c r="AS280" s="8">
        <v>66.697736052321886</v>
      </c>
      <c r="AT280" s="8">
        <v>32.429913022802509</v>
      </c>
      <c r="AU280" s="8">
        <v>15.40408343651179</v>
      </c>
      <c r="AV280" s="8">
        <v>15.613201874169031</v>
      </c>
      <c r="AW280" s="8">
        <v>0.52703484186145955</v>
      </c>
      <c r="AX280" s="8">
        <v>55.427513084822557</v>
      </c>
      <c r="AY280" s="8">
        <v>28.015359480247721</v>
      </c>
      <c r="AZ280" s="8">
        <v>18.914154038853621</v>
      </c>
      <c r="BA280" s="8">
        <v>24.31088527652096</v>
      </c>
      <c r="BB280" s="8">
        <v>0.5146603465358448</v>
      </c>
      <c r="BC280" s="8">
        <v>57.659993831920183</v>
      </c>
      <c r="BD280" s="8">
        <v>33.425329028913502</v>
      </c>
      <c r="BE280" s="8">
        <v>17.689643784360069</v>
      </c>
      <c r="BF280" s="8">
        <v>23.122089398294548</v>
      </c>
      <c r="BG280" s="8">
        <v>0.530246449204125</v>
      </c>
      <c r="BH280" s="8">
        <v>57.724514710395681</v>
      </c>
      <c r="BI280" s="8">
        <v>33.459985127568324</v>
      </c>
    </row>
    <row r="281" spans="1:61" x14ac:dyDescent="0.15">
      <c r="A281" s="7">
        <v>2023</v>
      </c>
      <c r="B281" s="7">
        <v>114</v>
      </c>
      <c r="C281" s="9">
        <v>56.178275512972235</v>
      </c>
      <c r="D281" s="7">
        <v>1.2664449351264513</v>
      </c>
      <c r="E281" s="8">
        <v>42.57792148306639</v>
      </c>
      <c r="F281" s="8">
        <v>26.518204872003249</v>
      </c>
      <c r="G281" s="8">
        <v>0.59082154945915366</v>
      </c>
      <c r="H281" s="8">
        <v>75.893652098047397</v>
      </c>
      <c r="I281" s="8">
        <v>69.537701587007447</v>
      </c>
      <c r="J281" s="8">
        <v>36.497221736608331</v>
      </c>
      <c r="K281" s="8">
        <v>30.51441304252096</v>
      </c>
      <c r="L281" s="8">
        <v>0.77315748435051745</v>
      </c>
      <c r="M281" s="8">
        <v>76.412052549679174</v>
      </c>
      <c r="N281" s="8">
        <v>67.510705622379376</v>
      </c>
      <c r="O281" s="7">
        <v>288.44099999999997</v>
      </c>
      <c r="P281" s="7">
        <v>278.69600000000003</v>
      </c>
      <c r="Q281" s="7">
        <v>101.55800000000001</v>
      </c>
      <c r="R281" s="7">
        <v>4.7979899999999999E-2</v>
      </c>
      <c r="S281" s="7">
        <v>0.29095900000000002</v>
      </c>
      <c r="T281" s="7">
        <f>C281-D281</f>
        <v>54.911830577845784</v>
      </c>
      <c r="U281" s="8">
        <f>D281/C281</f>
        <v>2.2543321658814786E-2</v>
      </c>
      <c r="V281" s="8">
        <v>29.891582799831731</v>
      </c>
      <c r="W281" s="8">
        <v>25.675259822201699</v>
      </c>
      <c r="X281" s="8">
        <v>0.61174924338573955</v>
      </c>
      <c r="Y281" s="8">
        <v>78.001104062587871</v>
      </c>
      <c r="Z281" s="8">
        <v>65.473502715143397</v>
      </c>
      <c r="AA281" s="7">
        <v>33.194402268220031</v>
      </c>
      <c r="AB281" s="7">
        <v>28.09483643236133</v>
      </c>
      <c r="AC281" s="7">
        <v>0.6924533638681285</v>
      </c>
      <c r="AD281" s="7">
        <v>77.206578306133522</v>
      </c>
      <c r="AE281" s="7">
        <v>66.492104168761387</v>
      </c>
      <c r="AF281" s="8">
        <v>35.635640268288903</v>
      </c>
      <c r="AG281" s="8">
        <v>29.933034908388962</v>
      </c>
      <c r="AH281" s="8">
        <v>0.80903424199370921</v>
      </c>
      <c r="AI281" s="8">
        <v>76.126395191600366</v>
      </c>
      <c r="AJ281" s="8">
        <v>65.908178332118254</v>
      </c>
      <c r="AK281" s="8">
        <v>36.58924597702331</v>
      </c>
      <c r="AL281" s="8">
        <v>30.57650917986215</v>
      </c>
      <c r="AM281" s="8">
        <v>0.7693255410090396</v>
      </c>
      <c r="AN281" s="8">
        <v>76.442563188966034</v>
      </c>
      <c r="AO281" s="8">
        <v>67.681869188511101</v>
      </c>
      <c r="AP281" s="8">
        <v>31.650181305848029</v>
      </c>
      <c r="AQ281" s="8">
        <v>28.572362713673581</v>
      </c>
      <c r="AR281" s="8">
        <v>0.69431489896917953</v>
      </c>
      <c r="AS281" s="8">
        <v>78.14818482192338</v>
      </c>
      <c r="AT281" s="8">
        <v>65.505251261048087</v>
      </c>
      <c r="AU281" s="8">
        <v>38.93773323956475</v>
      </c>
      <c r="AV281" s="8">
        <v>25.295312662665221</v>
      </c>
      <c r="AW281" s="8">
        <v>0.60085992803475385</v>
      </c>
      <c r="AX281" s="8">
        <v>72.814017556826258</v>
      </c>
      <c r="AY281" s="8">
        <v>59.207817451963813</v>
      </c>
      <c r="AZ281" s="8">
        <v>35.790450383040337</v>
      </c>
      <c r="BA281" s="8">
        <v>28.761924609628</v>
      </c>
      <c r="BB281" s="8">
        <v>0.70455443532365514</v>
      </c>
      <c r="BC281" s="8">
        <v>76.221756358291785</v>
      </c>
      <c r="BD281" s="8">
        <v>68.681822711971847</v>
      </c>
      <c r="BE281" s="8">
        <v>38.083310582757768</v>
      </c>
      <c r="BF281" s="8">
        <v>26.582042331469641</v>
      </c>
      <c r="BG281" s="8">
        <v>0.7507634954931296</v>
      </c>
      <c r="BH281" s="8">
        <v>75.236134224688598</v>
      </c>
      <c r="BI281" s="8">
        <v>71.915522967027698</v>
      </c>
    </row>
    <row r="282" spans="1:61" x14ac:dyDescent="0.15">
      <c r="A282" s="7">
        <v>2021</v>
      </c>
      <c r="B282" s="7">
        <v>147</v>
      </c>
      <c r="C282" s="7">
        <v>14.217145550831766</v>
      </c>
      <c r="D282" s="7">
        <v>2.7895733027265202</v>
      </c>
      <c r="E282" s="8">
        <v>30.022553789089489</v>
      </c>
      <c r="F282" s="8">
        <v>20.223511499267161</v>
      </c>
      <c r="G282" s="8">
        <v>0.59087412874339806</v>
      </c>
      <c r="H282" s="8">
        <v>76.892464867178234</v>
      </c>
      <c r="I282" s="8">
        <v>57.790233944089977</v>
      </c>
      <c r="J282" s="8">
        <v>35.299737837388768</v>
      </c>
      <c r="K282" s="8">
        <v>30.08039366995477</v>
      </c>
      <c r="L282" s="8">
        <v>0.70327769372093929</v>
      </c>
      <c r="M282" s="8">
        <v>56.469258438609877</v>
      </c>
      <c r="N282" s="8">
        <v>64.643170464886012</v>
      </c>
      <c r="O282" s="8">
        <v>283.74099999999999</v>
      </c>
      <c r="P282" s="8">
        <v>274.05700000000002</v>
      </c>
      <c r="Q282" s="8">
        <v>87.363100000000003</v>
      </c>
      <c r="R282" s="8">
        <v>0.44435400000000003</v>
      </c>
      <c r="S282" s="8">
        <v>6.2359299999999999E-2</v>
      </c>
      <c r="T282" s="7">
        <f>C282-D282</f>
        <v>11.427572248105246</v>
      </c>
      <c r="U282" s="8">
        <f>D282/C282</f>
        <v>0.1962119113680536</v>
      </c>
      <c r="V282" s="8">
        <v>33.40628578743901</v>
      </c>
      <c r="W282" s="8">
        <v>20.316207949730771</v>
      </c>
      <c r="X282" s="8">
        <v>0.62089957512448612</v>
      </c>
      <c r="Y282" s="8">
        <v>74.055037828138211</v>
      </c>
      <c r="Z282" s="8">
        <v>56.718666034161714</v>
      </c>
      <c r="AA282" s="7">
        <v>34.353011812413889</v>
      </c>
      <c r="AB282" s="7">
        <v>25.19830080984277</v>
      </c>
      <c r="AC282" s="7">
        <v>0.66208863442271271</v>
      </c>
      <c r="AD282" s="7">
        <v>65.262148133374041</v>
      </c>
      <c r="AE282" s="7">
        <v>60.680918249523863</v>
      </c>
      <c r="AF282" s="8">
        <v>35.213595671349132</v>
      </c>
      <c r="AG282" s="8">
        <v>28.306594947941331</v>
      </c>
      <c r="AH282" s="8">
        <v>0.69998946006526308</v>
      </c>
      <c r="AI282" s="8">
        <v>58.656600855120267</v>
      </c>
      <c r="AJ282" s="8">
        <v>64.5603675012526</v>
      </c>
      <c r="AK282" s="8">
        <v>35.316912599465212</v>
      </c>
      <c r="AL282" s="8">
        <v>30.43404824381415</v>
      </c>
      <c r="AM282" s="8">
        <v>0.70393329170836405</v>
      </c>
      <c r="AN282" s="8">
        <v>56.033152785473838</v>
      </c>
      <c r="AO282" s="8">
        <v>64.659679466981174</v>
      </c>
      <c r="AP282" s="8">
        <v>36.757873917343339</v>
      </c>
      <c r="AQ282" s="8">
        <v>29.88967586837515</v>
      </c>
      <c r="AR282" s="8">
        <v>0.68776642647900377</v>
      </c>
      <c r="AS282" s="8">
        <v>53.812854754330743</v>
      </c>
      <c r="AT282" s="8">
        <v>63.404757216807127</v>
      </c>
      <c r="AU282" s="8">
        <v>37.215220437112613</v>
      </c>
      <c r="AV282" s="8">
        <v>27.957158776691269</v>
      </c>
      <c r="AW282" s="8">
        <v>0.71161376406030918</v>
      </c>
      <c r="AX282" s="8">
        <v>58.8526221789255</v>
      </c>
      <c r="AY282" s="8">
        <v>62.19455284096275</v>
      </c>
      <c r="AZ282" s="8">
        <v>33.741277136136553</v>
      </c>
      <c r="BA282" s="8">
        <v>31.33151674978965</v>
      </c>
      <c r="BB282" s="8">
        <v>0.74743230009116746</v>
      </c>
      <c r="BC282" s="8">
        <v>57.082960942522639</v>
      </c>
      <c r="BD282" s="8">
        <v>71.743844739814847</v>
      </c>
      <c r="BE282" s="8">
        <v>32.856691674580162</v>
      </c>
      <c r="BF282" s="8">
        <v>32.443359025420079</v>
      </c>
      <c r="BG282" s="8">
        <v>0.70466071453686718</v>
      </c>
      <c r="BH282" s="8">
        <v>58.166499334987677</v>
      </c>
      <c r="BI282" s="8">
        <v>80.60564646285782</v>
      </c>
    </row>
    <row r="283" spans="1:61" x14ac:dyDescent="0.15">
      <c r="A283" s="7">
        <v>2021</v>
      </c>
      <c r="B283" s="7">
        <v>74</v>
      </c>
      <c r="C283" s="7">
        <v>19.246013977730424</v>
      </c>
      <c r="D283" s="7">
        <v>14.401156539844854</v>
      </c>
      <c r="E283" s="8">
        <v>21.840929137647048</v>
      </c>
      <c r="F283" s="8">
        <v>11.732694135604881</v>
      </c>
      <c r="G283" s="8">
        <v>0.59093130915462966</v>
      </c>
      <c r="H283" s="8">
        <v>66.339202031797043</v>
      </c>
      <c r="I283" s="8">
        <v>32.536140228374258</v>
      </c>
      <c r="J283" s="8">
        <v>32.55739536141099</v>
      </c>
      <c r="K283" s="8">
        <v>22.038263737620881</v>
      </c>
      <c r="L283" s="8">
        <v>0.65240457418689968</v>
      </c>
      <c r="M283" s="8">
        <v>60.87361595026956</v>
      </c>
      <c r="N283" s="8">
        <v>47.254478583667208</v>
      </c>
      <c r="O283" s="8">
        <v>291.59500000000003</v>
      </c>
      <c r="P283" s="8">
        <v>287.173</v>
      </c>
      <c r="Q283" s="8">
        <v>99.598699999999994</v>
      </c>
      <c r="R283" s="8">
        <v>-0.39352300000000001</v>
      </c>
      <c r="S283" s="8">
        <v>-0.51753899999999997</v>
      </c>
      <c r="T283" s="7">
        <f>C283-D283</f>
        <v>4.8448574378855707</v>
      </c>
      <c r="U283" s="8">
        <f>D283/C283</f>
        <v>0.7482669687608271</v>
      </c>
      <c r="V283" s="8">
        <v>19.255550987868354</v>
      </c>
      <c r="W283" s="8">
        <v>9.1951013885119792</v>
      </c>
      <c r="X283" s="8">
        <v>0.6181019539431688</v>
      </c>
      <c r="Y283" s="8">
        <v>67.715331187006058</v>
      </c>
      <c r="Z283" s="8">
        <v>28.148771409742878</v>
      </c>
      <c r="AA283" s="7">
        <v>25.906473174639672</v>
      </c>
      <c r="AB283" s="7">
        <v>15.61668256306643</v>
      </c>
      <c r="AC283" s="7">
        <v>0.63525326406503424</v>
      </c>
      <c r="AD283" s="7">
        <v>64.294473568637812</v>
      </c>
      <c r="AE283" s="7">
        <v>37.701624996705043</v>
      </c>
      <c r="AF283" s="8">
        <v>31.934134534642869</v>
      </c>
      <c r="AG283" s="8">
        <v>23.70694225146887</v>
      </c>
      <c r="AH283" s="8">
        <v>0.69014361549498771</v>
      </c>
      <c r="AI283" s="8">
        <v>61.009842435189803</v>
      </c>
      <c r="AJ283" s="8">
        <v>46.455218163233482</v>
      </c>
      <c r="AK283" s="8">
        <v>32.6540496818224</v>
      </c>
      <c r="AL283" s="8">
        <v>21.77948766697094</v>
      </c>
      <c r="AM283" s="8">
        <v>0.64655206231073115</v>
      </c>
      <c r="AN283" s="8">
        <v>60.852490158696448</v>
      </c>
      <c r="AO283" s="8">
        <v>47.378426647544948</v>
      </c>
      <c r="AP283" s="8">
        <v>31.418014429911981</v>
      </c>
      <c r="AQ283" s="8">
        <v>20.827084206130301</v>
      </c>
      <c r="AR283" s="8">
        <v>0.66664650311232687</v>
      </c>
      <c r="AS283" s="8">
        <v>61.183266876775868</v>
      </c>
      <c r="AT283" s="8">
        <v>43.211107928537388</v>
      </c>
      <c r="AU283" s="8">
        <v>26.69371534576193</v>
      </c>
      <c r="AV283" s="8">
        <v>20.476720933891141</v>
      </c>
      <c r="AW283" s="8">
        <v>0.59636462680750224</v>
      </c>
      <c r="AX283" s="8">
        <v>65.192775601157535</v>
      </c>
      <c r="AY283" s="8">
        <v>39.743025782575131</v>
      </c>
      <c r="AZ283" s="8">
        <v>32.974055990341732</v>
      </c>
      <c r="BA283" s="8">
        <v>23.3946586173853</v>
      </c>
      <c r="BB283" s="8">
        <v>0.61105983282093546</v>
      </c>
      <c r="BC283" s="8">
        <v>61.577590599450403</v>
      </c>
      <c r="BD283" s="8">
        <v>49.95463655723708</v>
      </c>
      <c r="BE283" s="8">
        <v>24.338996507808989</v>
      </c>
      <c r="BF283" s="8">
        <v>28.42533240433076</v>
      </c>
      <c r="BG283" s="8">
        <v>0.59101286415975784</v>
      </c>
      <c r="BH283" s="8">
        <v>67.742583349514689</v>
      </c>
      <c r="BI283" s="8">
        <v>40.715887462786348</v>
      </c>
    </row>
    <row r="284" spans="1:61" x14ac:dyDescent="0.15">
      <c r="A284" s="7">
        <v>2021</v>
      </c>
      <c r="B284" s="7">
        <v>145</v>
      </c>
      <c r="C284" s="7">
        <v>8.3768642215429825</v>
      </c>
      <c r="D284" s="7">
        <v>1.5435165838885154</v>
      </c>
      <c r="E284" s="8">
        <v>18.172270882422819</v>
      </c>
      <c r="F284" s="8">
        <v>14.4150048950294</v>
      </c>
      <c r="G284" s="8">
        <v>0.59093309781707815</v>
      </c>
      <c r="H284" s="8">
        <v>58.337390645770967</v>
      </c>
      <c r="I284" s="8">
        <v>26.606858878483539</v>
      </c>
      <c r="J284" s="8">
        <v>19.567212351449761</v>
      </c>
      <c r="K284" s="8">
        <v>14.69306600579368</v>
      </c>
      <c r="L284" s="8">
        <v>0.61492738797163071</v>
      </c>
      <c r="M284" s="8">
        <v>64.728397652552047</v>
      </c>
      <c r="N284" s="8">
        <v>29.585762689741429</v>
      </c>
      <c r="O284" s="8">
        <v>295.89100000000002</v>
      </c>
      <c r="P284" s="8">
        <v>290.49599999999998</v>
      </c>
      <c r="Q284" s="8">
        <v>98.715699999999998</v>
      </c>
      <c r="R284" s="8">
        <v>-0.40937600000000002</v>
      </c>
      <c r="S284" s="8">
        <v>-6.4692100000000002E-2</v>
      </c>
      <c r="T284" s="7">
        <f>C284-D284</f>
        <v>6.8333476376544668</v>
      </c>
      <c r="U284" s="8">
        <f>D284/C284</f>
        <v>0.1842594726459833</v>
      </c>
      <c r="V284" s="8">
        <v>18.524917163702916</v>
      </c>
      <c r="W284" s="8">
        <v>15.338893611678818</v>
      </c>
      <c r="X284" s="8">
        <v>0.61298514953309724</v>
      </c>
      <c r="Y284" s="8">
        <v>57.399184585927074</v>
      </c>
      <c r="Z284" s="8">
        <v>26.610033410028628</v>
      </c>
      <c r="AA284" s="7">
        <v>19.046064757576339</v>
      </c>
      <c r="AB284" s="7">
        <v>15.015979808736249</v>
      </c>
      <c r="AC284" s="7">
        <v>0.61395626875236398</v>
      </c>
      <c r="AD284" s="7">
        <v>61.063791119239561</v>
      </c>
      <c r="AE284" s="7">
        <v>28.097898049885028</v>
      </c>
      <c r="AF284" s="8">
        <v>21.142713828046471</v>
      </c>
      <c r="AG284" s="8">
        <v>15.09759299096646</v>
      </c>
      <c r="AH284" s="8">
        <v>0.59197580540516448</v>
      </c>
      <c r="AI284" s="8">
        <v>57.012390206920713</v>
      </c>
      <c r="AJ284" s="8">
        <v>30.319591822539831</v>
      </c>
      <c r="AK284" s="8">
        <v>19.266362645207181</v>
      </c>
      <c r="AL284" s="8">
        <v>14.61581960110016</v>
      </c>
      <c r="AM284" s="8">
        <v>0.61931010482432403</v>
      </c>
      <c r="AN284" s="8">
        <v>66.201806981496759</v>
      </c>
      <c r="AO284" s="8">
        <v>29.44563443069876</v>
      </c>
      <c r="AP284" s="8">
        <v>20.348291811762941</v>
      </c>
      <c r="AQ284" s="8">
        <v>15.55309940711529</v>
      </c>
      <c r="AR284" s="8">
        <v>0.62634778705182548</v>
      </c>
      <c r="AS284" s="8">
        <v>62.462276550190367</v>
      </c>
      <c r="AT284" s="8">
        <v>29.066001136381189</v>
      </c>
      <c r="AU284" s="8">
        <v>17.876565720251069</v>
      </c>
      <c r="AV284" s="8">
        <v>14.217213455893379</v>
      </c>
      <c r="AW284" s="8">
        <v>0.57670898849739438</v>
      </c>
      <c r="AX284" s="8">
        <v>70.508984433936376</v>
      </c>
      <c r="AY284" s="8">
        <v>29.3135411132386</v>
      </c>
      <c r="AZ284" s="8">
        <v>18.396876558242852</v>
      </c>
      <c r="BA284" s="8">
        <v>13.369410044089831</v>
      </c>
      <c r="BB284" s="8">
        <v>0.62885856538210261</v>
      </c>
      <c r="BC284" s="8">
        <v>71.276527963446497</v>
      </c>
      <c r="BD284" s="8">
        <v>29.922524056779221</v>
      </c>
      <c r="BE284" s="8">
        <v>18.432352797522618</v>
      </c>
      <c r="BF284" s="8">
        <v>15.640458031090491</v>
      </c>
      <c r="BG284" s="8">
        <v>0.58893271763415711</v>
      </c>
      <c r="BH284" s="8">
        <v>70.288458687546935</v>
      </c>
      <c r="BI284" s="8">
        <v>30.99588406077045</v>
      </c>
    </row>
    <row r="285" spans="1:61" x14ac:dyDescent="0.15">
      <c r="A285" s="7">
        <v>2021</v>
      </c>
      <c r="B285" s="7">
        <v>115</v>
      </c>
      <c r="C285" s="7">
        <v>25.072308388487418</v>
      </c>
      <c r="D285" s="7">
        <v>6.8239270317022456</v>
      </c>
      <c r="E285" s="8">
        <v>18.331039756483129</v>
      </c>
      <c r="F285" s="8">
        <v>11.72736862740941</v>
      </c>
      <c r="G285" s="8">
        <v>0.5913789535845192</v>
      </c>
      <c r="H285" s="8">
        <v>54.967922576569499</v>
      </c>
      <c r="I285" s="8">
        <v>29.321816218041509</v>
      </c>
      <c r="J285" s="8">
        <v>22.103067751416461</v>
      </c>
      <c r="K285" s="8">
        <v>13.48974513786065</v>
      </c>
      <c r="L285" s="8">
        <v>0.57800729974624365</v>
      </c>
      <c r="M285" s="8">
        <v>53.877394147424233</v>
      </c>
      <c r="N285" s="8">
        <v>36.252174200852181</v>
      </c>
      <c r="O285" s="8">
        <v>291.35899999999998</v>
      </c>
      <c r="P285" s="8">
        <v>286.23399999999998</v>
      </c>
      <c r="Q285" s="8">
        <v>84.147499999999994</v>
      </c>
      <c r="R285" s="8">
        <v>0.122658</v>
      </c>
      <c r="S285" s="8">
        <v>1.0331399999999999</v>
      </c>
      <c r="T285" s="7">
        <f>C285-D285</f>
        <v>18.248381356785174</v>
      </c>
      <c r="U285" s="8">
        <f>D285/C285</f>
        <v>0.27216987466681064</v>
      </c>
      <c r="V285" s="8">
        <v>18.05918098675194</v>
      </c>
      <c r="W285" s="8">
        <v>10.871651926951051</v>
      </c>
      <c r="X285" s="8">
        <v>0.55568165932760361</v>
      </c>
      <c r="Y285" s="8">
        <v>53.791675428266153</v>
      </c>
      <c r="Z285" s="8">
        <v>29.608887324930194</v>
      </c>
      <c r="AA285" s="7">
        <v>20.081124369084201</v>
      </c>
      <c r="AB285" s="7">
        <v>12.180698532405851</v>
      </c>
      <c r="AC285" s="7">
        <v>0.56684447953692363</v>
      </c>
      <c r="AD285" s="7">
        <v>53.834534787845193</v>
      </c>
      <c r="AE285" s="7">
        <v>32.930530762891188</v>
      </c>
      <c r="AF285" s="8">
        <v>24.371971779660932</v>
      </c>
      <c r="AG285" s="8">
        <v>14.091304465429371</v>
      </c>
      <c r="AH285" s="8">
        <v>0.59542701814001242</v>
      </c>
      <c r="AI285" s="8">
        <v>55.222218310107323</v>
      </c>
      <c r="AJ285" s="8">
        <v>39.141469230543137</v>
      </c>
      <c r="AK285" s="8">
        <v>21.79792444166705</v>
      </c>
      <c r="AL285" s="8">
        <v>13.40884184625382</v>
      </c>
      <c r="AM285" s="8">
        <v>0.57566453404993978</v>
      </c>
      <c r="AN285" s="8">
        <v>53.696529689992929</v>
      </c>
      <c r="AO285" s="8">
        <v>35.863594940897933</v>
      </c>
      <c r="AP285" s="8">
        <v>22.954561887930009</v>
      </c>
      <c r="AQ285" s="8">
        <v>12.897214054421269</v>
      </c>
      <c r="AR285" s="8">
        <v>0.5293627667340991</v>
      </c>
      <c r="AS285" s="8">
        <v>52.01212543774021</v>
      </c>
      <c r="AT285" s="8">
        <v>38.69770481032787</v>
      </c>
      <c r="AU285" s="8">
        <v>22.183857033628239</v>
      </c>
      <c r="AV285" s="8">
        <v>12.17818007839624</v>
      </c>
      <c r="AW285" s="8">
        <v>0.48024008620427772</v>
      </c>
      <c r="AX285" s="8">
        <v>53.626686618977438</v>
      </c>
      <c r="AY285" s="8">
        <v>38.083061849997947</v>
      </c>
      <c r="AZ285" s="8">
        <v>23.003453621750591</v>
      </c>
      <c r="BA285" s="8">
        <v>15.41845482305917</v>
      </c>
      <c r="BB285" s="8">
        <v>0.55327260294181624</v>
      </c>
      <c r="BC285" s="8">
        <v>55.958685985578448</v>
      </c>
      <c r="BD285" s="8">
        <v>38.33562687070318</v>
      </c>
      <c r="BE285" s="8">
        <v>21.493640967732809</v>
      </c>
      <c r="BF285" s="8">
        <v>23.625206908504929</v>
      </c>
      <c r="BG285" s="8">
        <v>0.67029413515786573</v>
      </c>
      <c r="BH285" s="8">
        <v>52.592831156727513</v>
      </c>
      <c r="BI285" s="8">
        <v>39.482843985842017</v>
      </c>
    </row>
    <row r="286" spans="1:61" x14ac:dyDescent="0.15">
      <c r="A286" s="7">
        <v>2017</v>
      </c>
      <c r="B286" s="7">
        <v>30</v>
      </c>
      <c r="C286" s="7">
        <v>102.02181486022521</v>
      </c>
      <c r="D286" s="7">
        <v>100.75237276082481</v>
      </c>
      <c r="E286" s="8">
        <v>25.659354949488161</v>
      </c>
      <c r="F286" s="8">
        <v>21.155953663658281</v>
      </c>
      <c r="G286" s="8">
        <v>0.59161808551575534</v>
      </c>
      <c r="H286" s="8">
        <v>63.021531595668542</v>
      </c>
      <c r="I286" s="8">
        <v>40.081656491905562</v>
      </c>
      <c r="J286" s="8">
        <v>29.037379325271949</v>
      </c>
      <c r="K286" s="8">
        <v>24.01824806662043</v>
      </c>
      <c r="L286" s="8">
        <v>0.64502796598882317</v>
      </c>
      <c r="M286" s="8">
        <v>65.623270767321856</v>
      </c>
      <c r="N286" s="8">
        <v>48.093193791361777</v>
      </c>
      <c r="O286" s="8">
        <v>291.46800000000002</v>
      </c>
      <c r="P286" s="8">
        <v>287.26</v>
      </c>
      <c r="Q286" s="8">
        <v>97.721399999999988</v>
      </c>
      <c r="R286" s="8">
        <v>-0.58043999999999996</v>
      </c>
      <c r="S286" s="8">
        <v>-0.70918700000000001</v>
      </c>
      <c r="T286" s="7">
        <f>C286-D286</f>
        <v>1.2694420994003934</v>
      </c>
      <c r="U286" s="8">
        <f>D286/C286</f>
        <v>0.98755715038847736</v>
      </c>
      <c r="V286" s="8">
        <v>25.464078553530349</v>
      </c>
      <c r="W286" s="8">
        <v>19.498238849935269</v>
      </c>
      <c r="X286" s="8">
        <v>0.63214924989510979</v>
      </c>
      <c r="Y286" s="8">
        <v>62.307488142967927</v>
      </c>
      <c r="Z286" s="8">
        <v>37.524096827239767</v>
      </c>
      <c r="AA286" s="7">
        <v>27.250728939401149</v>
      </c>
      <c r="AB286" s="7">
        <v>21.75824345827785</v>
      </c>
      <c r="AC286" s="7">
        <v>0.63858860794196648</v>
      </c>
      <c r="AD286" s="7">
        <v>63.965379455144891</v>
      </c>
      <c r="AE286" s="7">
        <v>42.808645309300772</v>
      </c>
      <c r="AF286" s="8">
        <v>28.923546973926179</v>
      </c>
      <c r="AG286" s="8">
        <v>24.3386391366491</v>
      </c>
      <c r="AH286" s="8">
        <v>0.6520482786206665</v>
      </c>
      <c r="AI286" s="8">
        <v>63.476514297668707</v>
      </c>
      <c r="AJ286" s="8">
        <v>48.173413206615272</v>
      </c>
      <c r="AK286" s="8">
        <v>29.047407951317521</v>
      </c>
      <c r="AL286" s="8">
        <v>23.990021624913201</v>
      </c>
      <c r="AM286" s="8">
        <v>0.64440947669930715</v>
      </c>
      <c r="AN286" s="8">
        <v>65.812399934826033</v>
      </c>
      <c r="AO286" s="8">
        <v>48.086126463772921</v>
      </c>
      <c r="AP286" s="8">
        <v>28.500257733782451</v>
      </c>
      <c r="AQ286" s="8">
        <v>22.07817526425719</v>
      </c>
      <c r="AR286" s="8">
        <v>0.60550520784158157</v>
      </c>
      <c r="AS286" s="8">
        <v>65.441796675516073</v>
      </c>
      <c r="AT286" s="8">
        <v>44.554877559196719</v>
      </c>
      <c r="AU286" s="8">
        <v>26.961763475941321</v>
      </c>
      <c r="AV286" s="8">
        <v>20.31151019159444</v>
      </c>
      <c r="AW286" s="8">
        <v>0.60285136545216433</v>
      </c>
      <c r="AX286" s="8">
        <v>63.879201275559844</v>
      </c>
      <c r="AY286" s="8">
        <v>41.227165405834491</v>
      </c>
      <c r="AZ286" s="8">
        <v>30.057208732189789</v>
      </c>
      <c r="BA286" s="8">
        <v>25.790858184674232</v>
      </c>
      <c r="BB286" s="8">
        <v>0.67061383685731257</v>
      </c>
      <c r="BC286" s="8">
        <v>67.283490403843288</v>
      </c>
      <c r="BD286" s="8">
        <v>52.992143757208289</v>
      </c>
      <c r="BE286" s="8">
        <v>30.796033123279539</v>
      </c>
      <c r="BF286" s="8">
        <v>25.050626265510669</v>
      </c>
      <c r="BG286" s="8">
        <v>0.6674474040948325</v>
      </c>
      <c r="BH286" s="8">
        <v>67.022331550946831</v>
      </c>
      <c r="BI286" s="8">
        <v>45.525066189079133</v>
      </c>
    </row>
    <row r="287" spans="1:61" x14ac:dyDescent="0.15">
      <c r="A287" s="7">
        <v>2020</v>
      </c>
      <c r="B287" s="7">
        <v>60</v>
      </c>
      <c r="C287" s="7">
        <v>28.530537639430445</v>
      </c>
      <c r="D287" s="7">
        <v>24.994495912698216</v>
      </c>
      <c r="E287" s="8">
        <v>24.064277184123728</v>
      </c>
      <c r="F287" s="8">
        <v>11.02884410737952</v>
      </c>
      <c r="G287" s="8">
        <v>0.59237227249905589</v>
      </c>
      <c r="H287" s="8">
        <v>69.081478354842858</v>
      </c>
      <c r="I287" s="8">
        <v>39.07361639135523</v>
      </c>
      <c r="J287" s="8">
        <v>36.767308903961549</v>
      </c>
      <c r="K287" s="8">
        <v>18.84099403802092</v>
      </c>
      <c r="L287" s="8">
        <v>0.72542123500293532</v>
      </c>
      <c r="M287" s="8">
        <v>64.571545673068059</v>
      </c>
      <c r="N287" s="8">
        <v>48.798965816162287</v>
      </c>
      <c r="O287" s="8">
        <v>290.83800000000002</v>
      </c>
      <c r="P287" s="8">
        <v>287.166</v>
      </c>
      <c r="Q287" s="8">
        <v>100.322</v>
      </c>
      <c r="R287" s="8">
        <v>-0.34366400000000003</v>
      </c>
      <c r="S287" s="8">
        <v>-0.74362600000000001</v>
      </c>
      <c r="T287" s="7">
        <f>C287-D287</f>
        <v>3.5360417267322291</v>
      </c>
      <c r="U287" s="8">
        <f>D287/C287</f>
        <v>0.87606116045127502</v>
      </c>
      <c r="V287" s="8">
        <v>25.924222936521709</v>
      </c>
      <c r="W287" s="8">
        <v>11.386851417153999</v>
      </c>
      <c r="X287" s="8">
        <v>0.63836357376864827</v>
      </c>
      <c r="Y287" s="8">
        <v>67.79100590040467</v>
      </c>
      <c r="Z287" s="8">
        <v>41.477097360081366</v>
      </c>
      <c r="AA287" s="7">
        <v>31.345765920241629</v>
      </c>
      <c r="AB287" s="7">
        <v>15.113922727587459</v>
      </c>
      <c r="AC287" s="7">
        <v>0.68189240438579179</v>
      </c>
      <c r="AD287" s="7">
        <v>66.181275786736364</v>
      </c>
      <c r="AE287" s="7">
        <v>45.138031588121827</v>
      </c>
      <c r="AF287" s="8">
        <v>37.5480297051081</v>
      </c>
      <c r="AG287" s="8">
        <v>19.43338644829522</v>
      </c>
      <c r="AH287" s="8">
        <v>0.73603034795533673</v>
      </c>
      <c r="AI287" s="8">
        <v>65.479468314320016</v>
      </c>
      <c r="AJ287" s="8">
        <v>49.649532268305542</v>
      </c>
      <c r="AK287" s="8">
        <v>36.655927442689752</v>
      </c>
      <c r="AL287" s="8">
        <v>18.75648042930731</v>
      </c>
      <c r="AM287" s="8">
        <v>0.72390768687958496</v>
      </c>
      <c r="AN287" s="8">
        <v>64.442016972979786</v>
      </c>
      <c r="AO287" s="8">
        <v>48.677619831516623</v>
      </c>
      <c r="AP287" s="8">
        <v>35.8520091895913</v>
      </c>
      <c r="AQ287" s="8">
        <v>17.50485992477229</v>
      </c>
      <c r="AR287" s="8">
        <v>0.71082007057029295</v>
      </c>
      <c r="AS287" s="8">
        <v>64.495239033559429</v>
      </c>
      <c r="AT287" s="8">
        <v>48.149468726232357</v>
      </c>
      <c r="AU287" s="8">
        <v>29.436837289855141</v>
      </c>
      <c r="AV287" s="8">
        <v>17.317870212857251</v>
      </c>
      <c r="AW287" s="8">
        <v>0.67521932602990686</v>
      </c>
      <c r="AX287" s="8">
        <v>65.717948582102693</v>
      </c>
      <c r="AY287" s="8">
        <v>43.298005100787428</v>
      </c>
      <c r="AZ287" s="8">
        <v>36.522942021817698</v>
      </c>
      <c r="BA287" s="8">
        <v>19.47317303072505</v>
      </c>
      <c r="BB287" s="8">
        <v>0.75754723618253272</v>
      </c>
      <c r="BC287" s="8">
        <v>65.714969418186001</v>
      </c>
      <c r="BD287" s="8">
        <v>49.167917281902049</v>
      </c>
      <c r="BE287" s="8">
        <v>33.770004236715778</v>
      </c>
      <c r="BF287" s="8">
        <v>25.06238308582644</v>
      </c>
      <c r="BG287" s="8">
        <v>0.65148880766695549</v>
      </c>
      <c r="BH287" s="8">
        <v>61.243982503104448</v>
      </c>
      <c r="BI287" s="8">
        <v>57.609854394994748</v>
      </c>
    </row>
    <row r="288" spans="1:61" x14ac:dyDescent="0.15">
      <c r="A288" s="7">
        <v>2021</v>
      </c>
      <c r="B288" s="7">
        <v>85</v>
      </c>
      <c r="C288" s="7">
        <v>51.153745657465507</v>
      </c>
      <c r="D288" s="7">
        <v>2.6761921630351244</v>
      </c>
      <c r="E288" s="8">
        <v>20.301103145535318</v>
      </c>
      <c r="F288" s="8">
        <v>19.198085993739209</v>
      </c>
      <c r="G288" s="8">
        <v>0.59283406737137045</v>
      </c>
      <c r="H288" s="8">
        <v>53.667448764556667</v>
      </c>
      <c r="I288" s="8">
        <v>30.632778717878551</v>
      </c>
      <c r="J288" s="8">
        <v>23.164309144757521</v>
      </c>
      <c r="K288" s="8">
        <v>29.266789346991601</v>
      </c>
      <c r="L288" s="8">
        <v>0.69242894754680762</v>
      </c>
      <c r="M288" s="8">
        <v>56.945756577914914</v>
      </c>
      <c r="N288" s="8">
        <v>39.177479469086983</v>
      </c>
      <c r="O288" s="8">
        <v>297.279</v>
      </c>
      <c r="P288" s="8">
        <v>292.33699999999999</v>
      </c>
      <c r="Q288" s="8">
        <v>101.117</v>
      </c>
      <c r="R288" s="8">
        <v>-0.71073200000000003</v>
      </c>
      <c r="S288" s="8">
        <v>-0.12565399999999999</v>
      </c>
      <c r="T288" s="7">
        <f>C288-D288</f>
        <v>48.477553494430381</v>
      </c>
      <c r="U288" s="8">
        <f>D288/C288</f>
        <v>5.2316641306296097E-2</v>
      </c>
      <c r="V288" s="8">
        <v>22.496345566987916</v>
      </c>
      <c r="W288" s="8">
        <v>20.571561280950057</v>
      </c>
      <c r="X288" s="8">
        <v>0.69841856768759591</v>
      </c>
      <c r="Y288" s="8">
        <v>56.265946112219787</v>
      </c>
      <c r="Z288" s="8">
        <v>34.918021345433935</v>
      </c>
      <c r="AA288" s="7">
        <v>22.830327355872718</v>
      </c>
      <c r="AB288" s="7">
        <v>24.919175313970829</v>
      </c>
      <c r="AC288" s="7">
        <v>0.69542375761720177</v>
      </c>
      <c r="AD288" s="7">
        <v>56.60585134506735</v>
      </c>
      <c r="AE288" s="7">
        <v>37.047750407260459</v>
      </c>
      <c r="AF288" s="8">
        <v>22.22730906961435</v>
      </c>
      <c r="AG288" s="8">
        <v>26.63842896053611</v>
      </c>
      <c r="AH288" s="8">
        <v>0.68536848904552006</v>
      </c>
      <c r="AI288" s="8">
        <v>56.414100954864033</v>
      </c>
      <c r="AJ288" s="8">
        <v>38.010484543468372</v>
      </c>
      <c r="AK288" s="8">
        <v>23.246379610094799</v>
      </c>
      <c r="AL288" s="8">
        <v>29.497003586790331</v>
      </c>
      <c r="AM288" s="8">
        <v>0.6930473627743694</v>
      </c>
      <c r="AN288" s="8">
        <v>56.992323515891208</v>
      </c>
      <c r="AO288" s="8">
        <v>39.27969484679344</v>
      </c>
      <c r="AP288" s="8">
        <v>22.438327465042601</v>
      </c>
      <c r="AQ288" s="8">
        <v>24.717620602027459</v>
      </c>
      <c r="AR288" s="8">
        <v>0.65196886009284227</v>
      </c>
      <c r="AS288" s="8">
        <v>56.680580866582837</v>
      </c>
      <c r="AT288" s="8">
        <v>36.271191489696669</v>
      </c>
      <c r="AU288" s="8">
        <v>22.855932557096789</v>
      </c>
      <c r="AV288" s="8">
        <v>25.183380255924369</v>
      </c>
      <c r="AW288" s="8">
        <v>0.67983281518373384</v>
      </c>
      <c r="AX288" s="8">
        <v>57.936719385795847</v>
      </c>
      <c r="AY288" s="8">
        <v>36.03233865691076</v>
      </c>
      <c r="AZ288" s="8">
        <v>23.826962806437031</v>
      </c>
      <c r="BA288" s="8">
        <v>29.317714025038001</v>
      </c>
      <c r="BB288" s="8">
        <v>0.71562271869486727</v>
      </c>
      <c r="BC288" s="8">
        <v>57.039542720042249</v>
      </c>
      <c r="BD288" s="8">
        <v>40.056684475358097</v>
      </c>
      <c r="BE288" s="8">
        <v>24.858326736853009</v>
      </c>
      <c r="BF288" s="8">
        <v>22.605321139422919</v>
      </c>
      <c r="BG288" s="8">
        <v>0.73334385285127868</v>
      </c>
      <c r="BH288" s="8">
        <v>55.199391769132887</v>
      </c>
      <c r="BI288" s="8">
        <v>37.483559982711533</v>
      </c>
    </row>
    <row r="289" spans="1:61" x14ac:dyDescent="0.15">
      <c r="A289" s="7">
        <v>2021</v>
      </c>
      <c r="B289" s="7">
        <v>24</v>
      </c>
      <c r="C289" s="7">
        <v>234.03652055162712</v>
      </c>
      <c r="D289" s="7">
        <v>87.535260497731073</v>
      </c>
      <c r="E289" s="8">
        <v>19.997415610304031</v>
      </c>
      <c r="F289" s="8">
        <v>18.675471249334691</v>
      </c>
      <c r="G289" s="8">
        <v>0.59309191564375008</v>
      </c>
      <c r="H289" s="8">
        <v>54.04345974669215</v>
      </c>
      <c r="I289" s="8">
        <v>31.076805653717951</v>
      </c>
      <c r="J289" s="8">
        <v>22.64555423736682</v>
      </c>
      <c r="K289" s="8">
        <v>28.199675012169848</v>
      </c>
      <c r="L289" s="8">
        <v>0.66940425048939833</v>
      </c>
      <c r="M289" s="8">
        <v>55.264362837973707</v>
      </c>
      <c r="N289" s="8">
        <v>39.593094682778371</v>
      </c>
      <c r="O289" s="8">
        <v>296.89499999999998</v>
      </c>
      <c r="P289" s="8">
        <v>291.63099999999997</v>
      </c>
      <c r="Q289" s="8">
        <v>100.64700000000001</v>
      </c>
      <c r="R289" s="8">
        <v>-0.60820200000000002</v>
      </c>
      <c r="S289" s="8">
        <v>-0.17537900000000001</v>
      </c>
      <c r="T289" s="7">
        <f>C289-D289</f>
        <v>146.50126005389603</v>
      </c>
      <c r="U289" s="8">
        <f>D289/C289</f>
        <v>0.37402393562940234</v>
      </c>
      <c r="V289" s="8">
        <v>22.205998760512418</v>
      </c>
      <c r="W289" s="8">
        <v>20.82251383506599</v>
      </c>
      <c r="X289" s="8">
        <v>0.65442534210635317</v>
      </c>
      <c r="Y289" s="8">
        <v>56.019998546266208</v>
      </c>
      <c r="Z289" s="8">
        <v>33.509538406321965</v>
      </c>
      <c r="AA289" s="7">
        <v>22.425776498939619</v>
      </c>
      <c r="AB289" s="7">
        <v>24.511094423617919</v>
      </c>
      <c r="AC289" s="7">
        <v>0.66191479629787575</v>
      </c>
      <c r="AD289" s="7">
        <v>55.642180692119958</v>
      </c>
      <c r="AE289" s="7">
        <v>36.551316544550168</v>
      </c>
      <c r="AF289" s="8">
        <v>21.8554326948991</v>
      </c>
      <c r="AG289" s="8">
        <v>25.100080426180689</v>
      </c>
      <c r="AH289" s="8">
        <v>0.65150603867781476</v>
      </c>
      <c r="AI289" s="8">
        <v>54.788901019915762</v>
      </c>
      <c r="AJ289" s="8">
        <v>37.602744687413853</v>
      </c>
      <c r="AK289" s="8">
        <v>22.73583398354458</v>
      </c>
      <c r="AL289" s="8">
        <v>28.55383648915365</v>
      </c>
      <c r="AM289" s="8">
        <v>0.67144931056248425</v>
      </c>
      <c r="AN289" s="8">
        <v>55.31868938135262</v>
      </c>
      <c r="AO289" s="8">
        <v>39.820513228822861</v>
      </c>
      <c r="AP289" s="8">
        <v>22.400029312529831</v>
      </c>
      <c r="AQ289" s="8">
        <v>23.428637413368641</v>
      </c>
      <c r="AR289" s="8">
        <v>0.63322913438281025</v>
      </c>
      <c r="AS289" s="8">
        <v>55.712206894543058</v>
      </c>
      <c r="AT289" s="8">
        <v>34.440889615075363</v>
      </c>
      <c r="AU289" s="8">
        <v>23.78027155449583</v>
      </c>
      <c r="AV289" s="8">
        <v>25.825203889665922</v>
      </c>
      <c r="AW289" s="8">
        <v>0.66764564655855696</v>
      </c>
      <c r="AX289" s="8">
        <v>58.108339848269154</v>
      </c>
      <c r="AY289" s="8">
        <v>37.009855938845163</v>
      </c>
      <c r="AZ289" s="8">
        <v>23.20570224999453</v>
      </c>
      <c r="BA289" s="8">
        <v>28.31688566775523</v>
      </c>
      <c r="BB289" s="8">
        <v>0.68286573592473887</v>
      </c>
      <c r="BC289" s="8">
        <v>56.103336577096151</v>
      </c>
      <c r="BD289" s="8">
        <v>40.150596934064538</v>
      </c>
      <c r="BE289" s="8">
        <v>25.109215439606029</v>
      </c>
      <c r="BF289" s="8">
        <v>26.180565554331089</v>
      </c>
      <c r="BG289" s="8">
        <v>0.74370675006520282</v>
      </c>
      <c r="BH289" s="8">
        <v>54.755411852951653</v>
      </c>
      <c r="BI289" s="8">
        <v>39.368477713589847</v>
      </c>
    </row>
    <row r="290" spans="1:61" x14ac:dyDescent="0.15">
      <c r="A290" s="7">
        <v>2023</v>
      </c>
      <c r="B290" s="7">
        <v>105</v>
      </c>
      <c r="C290" s="9">
        <v>89.392579704966082</v>
      </c>
      <c r="D290" s="7">
        <v>85.17969922677986</v>
      </c>
      <c r="E290" s="8">
        <v>32.768063954369239</v>
      </c>
      <c r="F290" s="8">
        <v>20.086306505159751</v>
      </c>
      <c r="G290" s="8">
        <v>0.59396165678170576</v>
      </c>
      <c r="H290" s="8">
        <v>73.817395934690182</v>
      </c>
      <c r="I290" s="8">
        <v>60.816448668190631</v>
      </c>
      <c r="J290" s="8">
        <v>34.252601476901681</v>
      </c>
      <c r="K290" s="8">
        <v>19.95742335950284</v>
      </c>
      <c r="L290" s="8">
        <v>0.55841856308976046</v>
      </c>
      <c r="M290" s="8">
        <v>76.825929439973365</v>
      </c>
      <c r="N290" s="8">
        <v>68.077909188188798</v>
      </c>
      <c r="O290" s="7">
        <v>289.98200000000003</v>
      </c>
      <c r="P290" s="7">
        <v>284.101</v>
      </c>
      <c r="Q290" s="7">
        <v>100.367</v>
      </c>
      <c r="R290" s="7">
        <v>-0.40595999999999999</v>
      </c>
      <c r="S290" s="7">
        <v>-0.25149500000000002</v>
      </c>
      <c r="T290" s="7">
        <f>C290-D290</f>
        <v>4.2128804781862215</v>
      </c>
      <c r="U290" s="8">
        <f>D290/C290</f>
        <v>0.95287214562897127</v>
      </c>
      <c r="V290" s="8">
        <v>33.09751496047128</v>
      </c>
      <c r="W290" s="8">
        <v>19.92940249621568</v>
      </c>
      <c r="X290" s="8">
        <v>0.59991812607723216</v>
      </c>
      <c r="Y290" s="8">
        <v>76.980004187837679</v>
      </c>
      <c r="Z290" s="8">
        <v>63.090840307566609</v>
      </c>
      <c r="AA290" s="7">
        <v>33.67505821868648</v>
      </c>
      <c r="AB290" s="7">
        <v>19.94341292785926</v>
      </c>
      <c r="AC290" s="7">
        <v>0.57916834458349631</v>
      </c>
      <c r="AD290" s="7">
        <v>76.902966813905522</v>
      </c>
      <c r="AE290" s="7">
        <v>65.584374747877703</v>
      </c>
      <c r="AF290" s="8">
        <v>36.890888158908879</v>
      </c>
      <c r="AG290" s="8">
        <v>20.641873565900081</v>
      </c>
      <c r="AH290" s="8">
        <v>0.56560807518326428</v>
      </c>
      <c r="AI290" s="8">
        <v>75.482609946931987</v>
      </c>
      <c r="AJ290" s="8">
        <v>68.9475202592931</v>
      </c>
      <c r="AK290" s="8">
        <v>33.956854397630551</v>
      </c>
      <c r="AL290" s="8">
        <v>19.88069775161912</v>
      </c>
      <c r="AM290" s="8">
        <v>0.55761263202186762</v>
      </c>
      <c r="AN290" s="8">
        <v>76.976513081737693</v>
      </c>
      <c r="AO290" s="8">
        <v>67.980427388301422</v>
      </c>
      <c r="AP290" s="8">
        <v>34.053651376043703</v>
      </c>
      <c r="AQ290" s="8">
        <v>19.794097322914681</v>
      </c>
      <c r="AR290" s="8">
        <v>0.57407741952591718</v>
      </c>
      <c r="AS290" s="8">
        <v>78.20344180481716</v>
      </c>
      <c r="AT290" s="8">
        <v>67.057264306946962</v>
      </c>
      <c r="AU290" s="8">
        <v>32.025238291201433</v>
      </c>
      <c r="AV290" s="8">
        <v>20.657162008012691</v>
      </c>
      <c r="AW290" s="8">
        <v>0.56415561992319552</v>
      </c>
      <c r="AX290" s="8">
        <v>71.970509504211947</v>
      </c>
      <c r="AY290" s="8">
        <v>62.046147461430706</v>
      </c>
      <c r="AZ290" s="8">
        <v>33.99792931395509</v>
      </c>
      <c r="BA290" s="8">
        <v>19.85015694128726</v>
      </c>
      <c r="BB290" s="8">
        <v>0.56584533919329028</v>
      </c>
      <c r="BC290" s="8">
        <v>76.924340869956609</v>
      </c>
      <c r="BD290" s="8">
        <v>67.939329373361048</v>
      </c>
      <c r="BE290" s="8">
        <v>34.745590641643673</v>
      </c>
      <c r="BF290" s="8">
        <v>27.677011854186219</v>
      </c>
      <c r="BG290" s="8">
        <v>0.6082076417296518</v>
      </c>
      <c r="BH290" s="8">
        <v>67.004050015121109</v>
      </c>
      <c r="BI290" s="8">
        <v>61.342526320425939</v>
      </c>
    </row>
    <row r="291" spans="1:61" x14ac:dyDescent="0.15">
      <c r="A291" s="7">
        <v>2021</v>
      </c>
      <c r="B291" s="7">
        <v>34</v>
      </c>
      <c r="C291" s="7">
        <v>72.032562868895539</v>
      </c>
      <c r="D291" s="7">
        <v>63.1177104881086</v>
      </c>
      <c r="E291" s="8">
        <v>17.75083459899589</v>
      </c>
      <c r="F291" s="8">
        <v>18.097125564583351</v>
      </c>
      <c r="G291" s="8">
        <v>0.59484103119501741</v>
      </c>
      <c r="H291" s="8">
        <v>68.358039030048303</v>
      </c>
      <c r="I291" s="8">
        <v>24.506110252722301</v>
      </c>
      <c r="J291" s="8">
        <v>23.766386224225911</v>
      </c>
      <c r="K291" s="8">
        <v>26.612152727403259</v>
      </c>
      <c r="L291" s="8">
        <v>0.69543083417353768</v>
      </c>
      <c r="M291" s="8">
        <v>66.134277772815139</v>
      </c>
      <c r="N291" s="8">
        <v>36.878864505282941</v>
      </c>
      <c r="O291" s="8">
        <v>291.74799999999999</v>
      </c>
      <c r="P291" s="8">
        <v>286.75200000000001</v>
      </c>
      <c r="Q291" s="8">
        <v>99.865100000000012</v>
      </c>
      <c r="R291" s="8">
        <v>-0.391316</v>
      </c>
      <c r="S291" s="8">
        <v>-0.296898</v>
      </c>
      <c r="T291" s="7">
        <f>C291-D291</f>
        <v>8.9148523807869395</v>
      </c>
      <c r="U291" s="8">
        <f>D291/C291</f>
        <v>0.87623857841886577</v>
      </c>
      <c r="V291" s="8">
        <v>17.975361923628149</v>
      </c>
      <c r="W291" s="8">
        <v>17.068574563881658</v>
      </c>
      <c r="X291" s="8">
        <v>0.60161549144817872</v>
      </c>
      <c r="Y291" s="8">
        <v>69.60715580727809</v>
      </c>
      <c r="Z291" s="8">
        <v>24.08293007826186</v>
      </c>
      <c r="AA291" s="7">
        <v>20.87087407392703</v>
      </c>
      <c r="AB291" s="7">
        <v>21.840363645642459</v>
      </c>
      <c r="AC291" s="7">
        <v>0.6485231628108582</v>
      </c>
      <c r="AD291" s="7">
        <v>67.870716790046615</v>
      </c>
      <c r="AE291" s="7">
        <v>30.480897291772401</v>
      </c>
      <c r="AF291" s="8">
        <v>23.67208665003626</v>
      </c>
      <c r="AG291" s="8">
        <v>27.173246775533851</v>
      </c>
      <c r="AH291" s="8">
        <v>0.68607875369588689</v>
      </c>
      <c r="AI291" s="8">
        <v>65.735786899811416</v>
      </c>
      <c r="AJ291" s="8">
        <v>36.300212235411088</v>
      </c>
      <c r="AK291" s="8">
        <v>23.77832500234458</v>
      </c>
      <c r="AL291" s="8">
        <v>26.541115531298171</v>
      </c>
      <c r="AM291" s="8">
        <v>0.69661485239133025</v>
      </c>
      <c r="AN291" s="8">
        <v>66.184728627508676</v>
      </c>
      <c r="AO291" s="8">
        <v>36.952124656426037</v>
      </c>
      <c r="AP291" s="8">
        <v>24.5688789544574</v>
      </c>
      <c r="AQ291" s="8">
        <v>26.530385995602359</v>
      </c>
      <c r="AR291" s="8">
        <v>0.71492621321937078</v>
      </c>
      <c r="AS291" s="8">
        <v>67.451374459675364</v>
      </c>
      <c r="AT291" s="8">
        <v>36.309018855989883</v>
      </c>
      <c r="AU291" s="8">
        <v>22.955335561898998</v>
      </c>
      <c r="AV291" s="8">
        <v>22.529372168853168</v>
      </c>
      <c r="AW291" s="8">
        <v>0.69969034550854414</v>
      </c>
      <c r="AX291" s="8">
        <v>65.683597475406302</v>
      </c>
      <c r="AY291" s="8">
        <v>31.74009538028298</v>
      </c>
      <c r="AZ291" s="8">
        <v>25.020754258191889</v>
      </c>
      <c r="BA291" s="8">
        <v>27.013691701056711</v>
      </c>
      <c r="BB291" s="8">
        <v>0.68620122529122762</v>
      </c>
      <c r="BC291" s="8">
        <v>66.775280718032604</v>
      </c>
      <c r="BD291" s="8">
        <v>41.584164038132698</v>
      </c>
      <c r="BE291" s="8">
        <v>33.990283553346089</v>
      </c>
      <c r="BF291" s="8">
        <v>30.834479117610609</v>
      </c>
      <c r="BG291" s="8">
        <v>0.53449336451038054</v>
      </c>
      <c r="BH291" s="8">
        <v>60.20399330820959</v>
      </c>
      <c r="BI291" s="8">
        <v>52.635885545743982</v>
      </c>
    </row>
    <row r="292" spans="1:61" x14ac:dyDescent="0.15">
      <c r="A292" s="7">
        <v>2021</v>
      </c>
      <c r="B292" s="7">
        <v>15</v>
      </c>
      <c r="C292" s="7">
        <v>214.56853264919451</v>
      </c>
      <c r="D292" s="7">
        <v>94.081382110683322</v>
      </c>
      <c r="E292" s="8">
        <v>20.272464044507089</v>
      </c>
      <c r="F292" s="8">
        <v>10.19060647479909</v>
      </c>
      <c r="G292" s="8">
        <v>0.59510162807827816</v>
      </c>
      <c r="H292" s="8">
        <v>64.795908847836756</v>
      </c>
      <c r="I292" s="8">
        <v>32.476592393772933</v>
      </c>
      <c r="J292" s="8">
        <v>33.476084089321432</v>
      </c>
      <c r="K292" s="8">
        <v>19.238463641171752</v>
      </c>
      <c r="L292" s="8">
        <v>0.69739603288718721</v>
      </c>
      <c r="M292" s="8">
        <v>58.097607217392728</v>
      </c>
      <c r="N292" s="8">
        <v>43.680137696595857</v>
      </c>
      <c r="O292" s="8">
        <v>291.84399999999999</v>
      </c>
      <c r="P292" s="8">
        <v>287.47399999999999</v>
      </c>
      <c r="Q292" s="8">
        <v>99.62769999999999</v>
      </c>
      <c r="R292" s="8">
        <v>-5.1579699999999999E-2</v>
      </c>
      <c r="S292" s="8">
        <v>-0.72388300000000005</v>
      </c>
      <c r="T292" s="7">
        <f>C292-D292</f>
        <v>120.48715053851119</v>
      </c>
      <c r="U292" s="8">
        <f>D292/C292</f>
        <v>0.43846775176721842</v>
      </c>
      <c r="V292" s="8">
        <v>17.06425248058585</v>
      </c>
      <c r="W292" s="8">
        <v>6.8109211646063876</v>
      </c>
      <c r="X292" s="8">
        <v>0.54546369557299113</v>
      </c>
      <c r="Y292" s="8">
        <v>65.715594377459524</v>
      </c>
      <c r="Z292" s="8">
        <v>28.242007193656569</v>
      </c>
      <c r="AA292" s="7">
        <v>25.270168284953641</v>
      </c>
      <c r="AB292" s="7">
        <v>13.02469240288907</v>
      </c>
      <c r="AC292" s="7">
        <v>0.62142986423008917</v>
      </c>
      <c r="AD292" s="7">
        <v>61.90660079742613</v>
      </c>
      <c r="AE292" s="7">
        <v>35.961072445126213</v>
      </c>
      <c r="AF292" s="8">
        <v>33.246257866593652</v>
      </c>
      <c r="AG292" s="8">
        <v>19.043213132418732</v>
      </c>
      <c r="AH292" s="8">
        <v>0.71039779789866631</v>
      </c>
      <c r="AI292" s="8">
        <v>59.445068359153161</v>
      </c>
      <c r="AJ292" s="8">
        <v>44.153970146780047</v>
      </c>
      <c r="AK292" s="8">
        <v>33.505422451521582</v>
      </c>
      <c r="AL292" s="8">
        <v>19.263388256289961</v>
      </c>
      <c r="AM292" s="8">
        <v>0.6957362984729818</v>
      </c>
      <c r="AN292" s="8">
        <v>57.92559767662577</v>
      </c>
      <c r="AO292" s="8">
        <v>43.619650830124748</v>
      </c>
      <c r="AP292" s="8">
        <v>30.255517371862169</v>
      </c>
      <c r="AQ292" s="8">
        <v>15.460634167776529</v>
      </c>
      <c r="AR292" s="8">
        <v>0.63295544374030177</v>
      </c>
      <c r="AS292" s="8">
        <v>58.709982256598202</v>
      </c>
      <c r="AT292" s="8">
        <v>38.855961876850472</v>
      </c>
      <c r="AU292" s="8">
        <v>30.071268998389371</v>
      </c>
      <c r="AV292" s="8">
        <v>21.44327699269931</v>
      </c>
      <c r="AW292" s="8">
        <v>0.64684589607619458</v>
      </c>
      <c r="AX292" s="8">
        <v>62.014050088706433</v>
      </c>
      <c r="AY292" s="8">
        <v>48.509898562408758</v>
      </c>
      <c r="AZ292" s="8">
        <v>33.645268719964271</v>
      </c>
      <c r="BA292" s="8">
        <v>20.67738912509558</v>
      </c>
      <c r="BB292" s="8">
        <v>0.71980408820893682</v>
      </c>
      <c r="BC292" s="8">
        <v>58.44719579533416</v>
      </c>
      <c r="BD292" s="8">
        <v>44.682469148800223</v>
      </c>
      <c r="BE292" s="8">
        <v>34.277035390145777</v>
      </c>
      <c r="BF292" s="8">
        <v>28.03731247066731</v>
      </c>
      <c r="BG292" s="8">
        <v>0.60940062770205539</v>
      </c>
      <c r="BH292" s="8">
        <v>59.529079903964607</v>
      </c>
      <c r="BI292" s="8">
        <v>61.547200128665722</v>
      </c>
    </row>
    <row r="293" spans="1:61" x14ac:dyDescent="0.15">
      <c r="A293" s="7">
        <v>2021</v>
      </c>
      <c r="B293" s="7">
        <v>33</v>
      </c>
      <c r="C293" s="7">
        <v>212.71718059773605</v>
      </c>
      <c r="D293" s="7">
        <v>152.1477774456217</v>
      </c>
      <c r="E293" s="8">
        <v>18.83621146156548</v>
      </c>
      <c r="F293" s="8">
        <v>10.42624193884104</v>
      </c>
      <c r="G293" s="8">
        <v>0.59516930726896955</v>
      </c>
      <c r="H293" s="8">
        <v>62.646029741697738</v>
      </c>
      <c r="I293" s="8">
        <v>27.625007484640541</v>
      </c>
      <c r="J293" s="8">
        <v>22.22745893335647</v>
      </c>
      <c r="K293" s="8">
        <v>13.75785263349292</v>
      </c>
      <c r="L293" s="8">
        <v>0.63426932792526525</v>
      </c>
      <c r="M293" s="8">
        <v>57.235095525878023</v>
      </c>
      <c r="N293" s="8">
        <v>36.005270664554338</v>
      </c>
      <c r="O293" s="8">
        <v>289.12400000000002</v>
      </c>
      <c r="P293" s="8">
        <v>282.04199999999997</v>
      </c>
      <c r="Q293" s="8">
        <v>79.0334</v>
      </c>
      <c r="R293" s="8">
        <v>0.50631999999999999</v>
      </c>
      <c r="S293" s="8">
        <v>1.2395499999999999</v>
      </c>
      <c r="T293" s="7">
        <f>C293-D293</f>
        <v>60.569403152114347</v>
      </c>
      <c r="U293" s="8">
        <f>D293/C293</f>
        <v>0.71525852786355049</v>
      </c>
      <c r="V293" s="8">
        <v>17.504015414287291</v>
      </c>
      <c r="W293" s="8">
        <v>8.0289714204910609</v>
      </c>
      <c r="X293" s="8">
        <v>0.56047804684417535</v>
      </c>
      <c r="Y293" s="8">
        <v>61.42597947333492</v>
      </c>
      <c r="Z293" s="8">
        <v>26.1814863689657</v>
      </c>
      <c r="AA293" s="7">
        <v>19.865737173821881</v>
      </c>
      <c r="AB293" s="7">
        <v>10.893412026991991</v>
      </c>
      <c r="AC293" s="7">
        <v>0.5973736873847203</v>
      </c>
      <c r="AD293" s="7">
        <v>59.330537499606471</v>
      </c>
      <c r="AE293" s="7">
        <v>31.093378516760019</v>
      </c>
      <c r="AF293" s="8">
        <v>22.869889365045111</v>
      </c>
      <c r="AG293" s="8">
        <v>14.846269264907979</v>
      </c>
      <c r="AH293" s="8">
        <v>0.64524112177988036</v>
      </c>
      <c r="AI293" s="8">
        <v>57.552683348996197</v>
      </c>
      <c r="AJ293" s="8">
        <v>36.143339675081187</v>
      </c>
      <c r="AK293" s="8">
        <v>22.103074512307138</v>
      </c>
      <c r="AL293" s="8">
        <v>13.5471184187342</v>
      </c>
      <c r="AM293" s="8">
        <v>0.63214501973691939</v>
      </c>
      <c r="AN293" s="8">
        <v>57.173605634424661</v>
      </c>
      <c r="AO293" s="8">
        <v>35.978538378703419</v>
      </c>
      <c r="AP293" s="8">
        <v>20.981239848491189</v>
      </c>
      <c r="AQ293" s="8">
        <v>10.83034721415304</v>
      </c>
      <c r="AR293" s="8">
        <v>0.59646321584912143</v>
      </c>
      <c r="AS293" s="8">
        <v>55.486807577608133</v>
      </c>
      <c r="AT293" s="8">
        <v>34.970621457655973</v>
      </c>
      <c r="AU293" s="8">
        <v>19.773909686780719</v>
      </c>
      <c r="AV293" s="8">
        <v>11.398095273159569</v>
      </c>
      <c r="AW293" s="8">
        <v>0.56107637418148582</v>
      </c>
      <c r="AX293" s="8">
        <v>57.619602203183817</v>
      </c>
      <c r="AY293" s="8">
        <v>32.520682747970092</v>
      </c>
      <c r="AZ293" s="8">
        <v>25.521337241532262</v>
      </c>
      <c r="BA293" s="8">
        <v>18.27808354461666</v>
      </c>
      <c r="BB293" s="8">
        <v>0.6971299194644992</v>
      </c>
      <c r="BC293" s="8">
        <v>56.012334022718292</v>
      </c>
      <c r="BD293" s="8">
        <v>42.033987756860149</v>
      </c>
      <c r="BE293" s="8">
        <v>20.930651898167579</v>
      </c>
      <c r="BF293" s="8">
        <v>24.81108658144619</v>
      </c>
      <c r="BG293" s="8">
        <v>0.67855851015698776</v>
      </c>
      <c r="BH293" s="8">
        <v>57.74564968519514</v>
      </c>
      <c r="BI293" s="8">
        <v>40.536514416310652</v>
      </c>
    </row>
    <row r="294" spans="1:61" x14ac:dyDescent="0.15">
      <c r="A294" s="7">
        <v>2023</v>
      </c>
      <c r="B294" s="7">
        <v>71</v>
      </c>
      <c r="C294" s="9">
        <v>17.215531866259195</v>
      </c>
      <c r="D294" s="7">
        <v>16.60529991680664</v>
      </c>
      <c r="E294" s="8">
        <v>30.803728162696309</v>
      </c>
      <c r="F294" s="8">
        <v>22.26259242708851</v>
      </c>
      <c r="G294" s="8">
        <v>0.59528139648121148</v>
      </c>
      <c r="H294" s="8">
        <v>69.068658763113618</v>
      </c>
      <c r="I294" s="8">
        <v>61.207827755782283</v>
      </c>
      <c r="J294" s="8">
        <v>31.61302454385487</v>
      </c>
      <c r="K294" s="8">
        <v>24.180331868951271</v>
      </c>
      <c r="L294" s="8">
        <v>0.53085329822155758</v>
      </c>
      <c r="M294" s="8">
        <v>78.324346641984349</v>
      </c>
      <c r="N294" s="8">
        <v>64.431372578109404</v>
      </c>
      <c r="O294" s="7">
        <v>289.17</v>
      </c>
      <c r="P294" s="7">
        <v>282.88099999999997</v>
      </c>
      <c r="Q294" s="7">
        <v>101.477</v>
      </c>
      <c r="R294" s="7">
        <v>-0.60995699999999997</v>
      </c>
      <c r="S294" s="7">
        <v>3.8131100000000001E-2</v>
      </c>
      <c r="T294" s="7">
        <f>C294-D294</f>
        <v>0.61023194945255455</v>
      </c>
      <c r="U294" s="8">
        <f>D294/C294</f>
        <v>0.96455340710974191</v>
      </c>
      <c r="V294" s="8">
        <v>30.315878228483413</v>
      </c>
      <c r="W294" s="8">
        <v>21.636072742887627</v>
      </c>
      <c r="X294" s="8">
        <v>0.53178296321210705</v>
      </c>
      <c r="Y294" s="8">
        <v>79.241394278853775</v>
      </c>
      <c r="Z294" s="8">
        <v>55.943849858360011</v>
      </c>
      <c r="AA294" s="7">
        <v>30.964451386169142</v>
      </c>
      <c r="AB294" s="7">
        <v>22.908202305919449</v>
      </c>
      <c r="AC294" s="7">
        <v>0.53131813071683232</v>
      </c>
      <c r="AD294" s="7">
        <v>78.782870460419062</v>
      </c>
      <c r="AE294" s="7">
        <v>60.187611218234707</v>
      </c>
      <c r="AF294" s="8">
        <v>32.13823486438546</v>
      </c>
      <c r="AG294" s="8">
        <v>23.81798598470175</v>
      </c>
      <c r="AH294" s="8">
        <v>0.53547691170512857</v>
      </c>
      <c r="AI294" s="8">
        <v>76.933344240659338</v>
      </c>
      <c r="AJ294" s="8">
        <v>65.38880108256194</v>
      </c>
      <c r="AK294" s="8">
        <v>31.58994063876218</v>
      </c>
      <c r="AL294" s="8">
        <v>24.196257599417301</v>
      </c>
      <c r="AM294" s="8">
        <v>0.53065008238464828</v>
      </c>
      <c r="AN294" s="8">
        <v>78.385483611614859</v>
      </c>
      <c r="AO294" s="8">
        <v>64.389291933716336</v>
      </c>
      <c r="AP294" s="8">
        <v>31.39763839622081</v>
      </c>
      <c r="AQ294" s="8">
        <v>23.895315392406172</v>
      </c>
      <c r="AR294" s="8">
        <v>0.53371769088313492</v>
      </c>
      <c r="AS294" s="8">
        <v>80.063275213261363</v>
      </c>
      <c r="AT294" s="8">
        <v>60.967840043159867</v>
      </c>
      <c r="AU294" s="8">
        <v>29.583380889298709</v>
      </c>
      <c r="AV294" s="8">
        <v>31.295124346165121</v>
      </c>
      <c r="AW294" s="8">
        <v>0.6657168595862214</v>
      </c>
      <c r="AX294" s="8">
        <v>66.233808052195016</v>
      </c>
      <c r="AY294" s="8">
        <v>65.742579107895821</v>
      </c>
      <c r="AZ294" s="8">
        <v>31.562254535355049</v>
      </c>
      <c r="BA294" s="8">
        <v>24.092926010010629</v>
      </c>
      <c r="BB294" s="8">
        <v>0.54355289475709923</v>
      </c>
      <c r="BC294" s="8">
        <v>78.405682992420807</v>
      </c>
      <c r="BD294" s="8">
        <v>64.223991159604111</v>
      </c>
      <c r="BE294" s="8">
        <v>26.78864674790913</v>
      </c>
      <c r="BF294" s="8">
        <v>28.68401494254908</v>
      </c>
      <c r="BG294" s="8">
        <v>0.64715288263708137</v>
      </c>
      <c r="BH294" s="8">
        <v>69.065222121026764</v>
      </c>
      <c r="BI294" s="8">
        <v>60.94262277886169</v>
      </c>
    </row>
    <row r="295" spans="1:61" x14ac:dyDescent="0.15">
      <c r="A295" s="7">
        <v>2020</v>
      </c>
      <c r="B295" s="7">
        <v>68</v>
      </c>
      <c r="C295" s="7">
        <v>15.986513011242739</v>
      </c>
      <c r="D295" s="7">
        <v>8.776787910123792</v>
      </c>
      <c r="E295" s="8">
        <v>24.30870390956855</v>
      </c>
      <c r="F295" s="8">
        <v>11.377561315082991</v>
      </c>
      <c r="G295" s="8">
        <v>0.59543197927092484</v>
      </c>
      <c r="H295" s="8">
        <v>67.956235590035902</v>
      </c>
      <c r="I295" s="8">
        <v>38.989198997083598</v>
      </c>
      <c r="J295" s="8">
        <v>34.067255752289377</v>
      </c>
      <c r="K295" s="8">
        <v>16.829011789813681</v>
      </c>
      <c r="L295" s="8">
        <v>0.6759264602538102</v>
      </c>
      <c r="M295" s="8">
        <v>62.121354262351538</v>
      </c>
      <c r="N295" s="8">
        <v>45.865607474411647</v>
      </c>
      <c r="O295" s="8">
        <v>289.38200000000001</v>
      </c>
      <c r="P295" s="8">
        <v>285.791</v>
      </c>
      <c r="Q295" s="8">
        <v>97.702399999999997</v>
      </c>
      <c r="R295" s="8">
        <v>-0.360184</v>
      </c>
      <c r="S295" s="8">
        <v>-0.625722</v>
      </c>
      <c r="T295" s="7">
        <f>C295-D295</f>
        <v>7.2097251011189467</v>
      </c>
      <c r="U295" s="8">
        <f>D295/C295</f>
        <v>0.54901202682232164</v>
      </c>
      <c r="V295" s="8">
        <v>25.1743332122007</v>
      </c>
      <c r="W295" s="8">
        <v>11.262463397992338</v>
      </c>
      <c r="X295" s="8">
        <v>0.61276989001040705</v>
      </c>
      <c r="Y295" s="8">
        <v>68.276639318565628</v>
      </c>
      <c r="Z295" s="8">
        <v>41.959139416652135</v>
      </c>
      <c r="AA295" s="7">
        <v>29.620794482245039</v>
      </c>
      <c r="AB295" s="7">
        <v>14.045737593903009</v>
      </c>
      <c r="AC295" s="7">
        <v>0.64434817513210862</v>
      </c>
      <c r="AD295" s="7">
        <v>65.19899679045858</v>
      </c>
      <c r="AE295" s="7">
        <v>43.912373445531891</v>
      </c>
      <c r="AF295" s="8">
        <v>35.033797032836667</v>
      </c>
      <c r="AG295" s="8">
        <v>16.36870174880627</v>
      </c>
      <c r="AH295" s="8">
        <v>0.67356230332209588</v>
      </c>
      <c r="AI295" s="8">
        <v>64.726344636784233</v>
      </c>
      <c r="AJ295" s="8">
        <v>47.747560473273019</v>
      </c>
      <c r="AK295" s="8">
        <v>33.975263269042642</v>
      </c>
      <c r="AL295" s="8">
        <v>16.872822710865801</v>
      </c>
      <c r="AM295" s="8">
        <v>0.67615147357844563</v>
      </c>
      <c r="AN295" s="8">
        <v>61.873419137177983</v>
      </c>
      <c r="AO295" s="8">
        <v>45.686488865405238</v>
      </c>
      <c r="AP295" s="8">
        <v>32.788925623521948</v>
      </c>
      <c r="AQ295" s="8">
        <v>15.6986935888761</v>
      </c>
      <c r="AR295" s="8">
        <v>0.65143270888935145</v>
      </c>
      <c r="AS295" s="8">
        <v>63.114370155897532</v>
      </c>
      <c r="AT295" s="8">
        <v>46.600227875060909</v>
      </c>
      <c r="AU295" s="8">
        <v>30.900837340344879</v>
      </c>
      <c r="AV295" s="8">
        <v>22.74575382267254</v>
      </c>
      <c r="AW295" s="8">
        <v>0.7406930500522888</v>
      </c>
      <c r="AX295" s="8">
        <v>57.249466135095929</v>
      </c>
      <c r="AY295" s="8">
        <v>52.712610098966088</v>
      </c>
      <c r="AZ295" s="8">
        <v>35.113448245131039</v>
      </c>
      <c r="BA295" s="8">
        <v>17.706429826336691</v>
      </c>
      <c r="BB295" s="8">
        <v>0.74232722317027788</v>
      </c>
      <c r="BC295" s="8">
        <v>63.279067195751018</v>
      </c>
      <c r="BD295" s="8">
        <v>46.254106867773011</v>
      </c>
      <c r="BE295" s="8">
        <v>38.269531769002313</v>
      </c>
      <c r="BF295" s="8">
        <v>28.686548393125161</v>
      </c>
      <c r="BG295" s="8">
        <v>0.64571019211013436</v>
      </c>
      <c r="BH295" s="8">
        <v>60.538429433280427</v>
      </c>
      <c r="BI295" s="8">
        <v>66.596283903388752</v>
      </c>
    </row>
    <row r="296" spans="1:61" x14ac:dyDescent="0.15">
      <c r="A296" s="7">
        <v>2020</v>
      </c>
      <c r="B296" s="7">
        <v>45</v>
      </c>
      <c r="C296" s="7">
        <v>82.106285014041717</v>
      </c>
      <c r="D296" s="7">
        <v>51.133909713532461</v>
      </c>
      <c r="E296" s="8">
        <v>29.126686339972931</v>
      </c>
      <c r="F296" s="8">
        <v>15.94883935596935</v>
      </c>
      <c r="G296" s="8">
        <v>0.59605111477601014</v>
      </c>
      <c r="H296" s="8">
        <v>70.870640771812418</v>
      </c>
      <c r="I296" s="8">
        <v>45.222839041491483</v>
      </c>
      <c r="J296" s="8">
        <v>35.63440562586284</v>
      </c>
      <c r="K296" s="8">
        <v>19.613360927454259</v>
      </c>
      <c r="L296" s="8">
        <v>0.69923845758522896</v>
      </c>
      <c r="M296" s="8">
        <v>68.647108155459108</v>
      </c>
      <c r="N296" s="8">
        <v>51.792803140754401</v>
      </c>
      <c r="O296" s="8">
        <v>288.66000000000003</v>
      </c>
      <c r="P296" s="8">
        <v>283.62400000000002</v>
      </c>
      <c r="Q296" s="8">
        <v>97.121899999999997</v>
      </c>
      <c r="R296" s="8">
        <v>-0.29474800000000001</v>
      </c>
      <c r="S296" s="8">
        <v>-0.13959199999999999</v>
      </c>
      <c r="T296" s="7">
        <f>C296-D296</f>
        <v>30.972375300509256</v>
      </c>
      <c r="U296" s="8">
        <f>D296/C296</f>
        <v>0.62277704690679403</v>
      </c>
      <c r="V296" s="8">
        <v>31.103976431345174</v>
      </c>
      <c r="W296" s="8">
        <v>19.112391477282742</v>
      </c>
      <c r="X296" s="8">
        <v>0.68650442213813079</v>
      </c>
      <c r="Y296" s="8">
        <v>66.373628565584397</v>
      </c>
      <c r="Z296" s="8">
        <v>48.382121782061077</v>
      </c>
      <c r="AA296" s="7">
        <v>33.369191028604007</v>
      </c>
      <c r="AB296" s="7">
        <v>19.362876202368501</v>
      </c>
      <c r="AC296" s="7">
        <v>0.69287143986167987</v>
      </c>
      <c r="AD296" s="7">
        <v>67.510368360521753</v>
      </c>
      <c r="AE296" s="7">
        <v>50.087462461407739</v>
      </c>
      <c r="AF296" s="8">
        <v>36.059465191882978</v>
      </c>
      <c r="AG296" s="8">
        <v>19.488698984622911</v>
      </c>
      <c r="AH296" s="8">
        <v>0.68356032495347518</v>
      </c>
      <c r="AI296" s="8">
        <v>69.192601263863665</v>
      </c>
      <c r="AJ296" s="8">
        <v>51.292196702885953</v>
      </c>
      <c r="AK296" s="8">
        <v>35.563269783438983</v>
      </c>
      <c r="AL296" s="8">
        <v>19.634223726530951</v>
      </c>
      <c r="AM296" s="8">
        <v>0.70186227142580471</v>
      </c>
      <c r="AN296" s="8">
        <v>68.55581715790295</v>
      </c>
      <c r="AO296" s="8">
        <v>51.876582129694732</v>
      </c>
      <c r="AP296" s="8">
        <v>36.297079012125018</v>
      </c>
      <c r="AQ296" s="8">
        <v>21.9674751686318</v>
      </c>
      <c r="AR296" s="8">
        <v>0.76406722677696326</v>
      </c>
      <c r="AS296" s="8">
        <v>64.394559446226438</v>
      </c>
      <c r="AT296" s="8">
        <v>53.377667106772577</v>
      </c>
      <c r="AU296" s="8">
        <v>31.549925564901638</v>
      </c>
      <c r="AV296" s="8">
        <v>19.33519902026482</v>
      </c>
      <c r="AW296" s="8">
        <v>0.68003055891364161</v>
      </c>
      <c r="AX296" s="8">
        <v>67.855181412548831</v>
      </c>
      <c r="AY296" s="8">
        <v>49.057093261265749</v>
      </c>
      <c r="AZ296" s="8">
        <v>35.78076097305923</v>
      </c>
      <c r="BA296" s="8">
        <v>20.808218896513171</v>
      </c>
      <c r="BB296" s="8">
        <v>0.73251669123956087</v>
      </c>
      <c r="BC296" s="8">
        <v>67.681434408661204</v>
      </c>
      <c r="BD296" s="8">
        <v>53.44363676926028</v>
      </c>
      <c r="BE296" s="8">
        <v>41.403782048034209</v>
      </c>
      <c r="BF296" s="8">
        <v>32.136463135327922</v>
      </c>
      <c r="BG296" s="8">
        <v>0.80079859841323742</v>
      </c>
      <c r="BH296" s="8">
        <v>62.41832055455702</v>
      </c>
      <c r="BI296" s="8">
        <v>82.676612396153615</v>
      </c>
    </row>
    <row r="297" spans="1:61" x14ac:dyDescent="0.15">
      <c r="A297" s="7">
        <v>2023</v>
      </c>
      <c r="B297" s="7">
        <v>51</v>
      </c>
      <c r="C297" s="9">
        <v>288.25985689631688</v>
      </c>
      <c r="D297" s="7">
        <v>91.082484088704845</v>
      </c>
      <c r="E297" s="8">
        <v>17.250560922993522</v>
      </c>
      <c r="F297" s="8">
        <v>13.34310018258669</v>
      </c>
      <c r="G297" s="8">
        <v>0.59607536459803556</v>
      </c>
      <c r="H297" s="8">
        <v>59.527836212679993</v>
      </c>
      <c r="I297" s="8">
        <v>29.112953471097828</v>
      </c>
      <c r="J297" s="8">
        <v>20.069683526314869</v>
      </c>
      <c r="K297" s="8">
        <v>25.24416425689893</v>
      </c>
      <c r="L297" s="8">
        <v>0.55015985648103971</v>
      </c>
      <c r="M297" s="8">
        <v>63.249769901736762</v>
      </c>
      <c r="N297" s="8">
        <v>37.663547447423753</v>
      </c>
      <c r="O297" s="7">
        <v>291.81299999999999</v>
      </c>
      <c r="P297" s="7">
        <v>285.69799999999998</v>
      </c>
      <c r="Q297" s="7">
        <v>98.229600000000005</v>
      </c>
      <c r="R297" s="7">
        <v>-0.48721799999999998</v>
      </c>
      <c r="S297" s="7">
        <v>-0.35939300000000002</v>
      </c>
      <c r="T297" s="7">
        <f>C297-D297</f>
        <v>197.17737280761202</v>
      </c>
      <c r="U297" s="8">
        <f>D297/C297</f>
        <v>0.31597352843155668</v>
      </c>
      <c r="V297" s="8">
        <v>16.218737050058529</v>
      </c>
      <c r="W297" s="8">
        <v>9.0088174842432274</v>
      </c>
      <c r="X297" s="8">
        <v>0.59580837409770071</v>
      </c>
      <c r="Y297" s="8">
        <v>60.736324665659957</v>
      </c>
      <c r="Z297" s="8">
        <v>27.111642809313523</v>
      </c>
      <c r="AA297" s="7">
        <v>18.144210288186699</v>
      </c>
      <c r="AB297" s="7">
        <v>17.126490870571079</v>
      </c>
      <c r="AC297" s="7">
        <v>0.57298411528937021</v>
      </c>
      <c r="AD297" s="7">
        <v>61.99304728369836</v>
      </c>
      <c r="AE297" s="7">
        <v>32.387595128368638</v>
      </c>
      <c r="AF297" s="8">
        <v>20.015247575445269</v>
      </c>
      <c r="AG297" s="8">
        <v>26.014127055901419</v>
      </c>
      <c r="AH297" s="8">
        <v>0.55871778112966342</v>
      </c>
      <c r="AI297" s="8">
        <v>60.823835201447928</v>
      </c>
      <c r="AJ297" s="8">
        <v>37.879910267716483</v>
      </c>
      <c r="AK297" s="8">
        <v>20.073245060259541</v>
      </c>
      <c r="AL297" s="8">
        <v>25.193788565816469</v>
      </c>
      <c r="AM297" s="8">
        <v>0.54959994453598926</v>
      </c>
      <c r="AN297" s="8">
        <v>63.40848943624713</v>
      </c>
      <c r="AO297" s="8">
        <v>37.649391664039257</v>
      </c>
      <c r="AP297" s="8">
        <v>19.664550332087721</v>
      </c>
      <c r="AQ297" s="8">
        <v>22.96959035783625</v>
      </c>
      <c r="AR297" s="8">
        <v>0.52315837973617441</v>
      </c>
      <c r="AS297" s="8">
        <v>69.999271885389533</v>
      </c>
      <c r="AT297" s="8">
        <v>38.558238324903691</v>
      </c>
      <c r="AU297" s="8">
        <v>15.054817621314999</v>
      </c>
      <c r="AV297" s="8">
        <v>11.72937973184745</v>
      </c>
      <c r="AW297" s="8">
        <v>0.47628838111811339</v>
      </c>
      <c r="AX297" s="8">
        <v>57.988054595420252</v>
      </c>
      <c r="AY297" s="8">
        <v>27.43004483513316</v>
      </c>
      <c r="AZ297" s="8">
        <v>19.66357083801168</v>
      </c>
      <c r="BA297" s="8">
        <v>25.036774713384851</v>
      </c>
      <c r="BB297" s="8">
        <v>0.54343666309634608</v>
      </c>
      <c r="BC297" s="8">
        <v>58.116297453403078</v>
      </c>
      <c r="BD297" s="8">
        <v>36.831942265743471</v>
      </c>
      <c r="BE297" s="8">
        <v>18.736046030783271</v>
      </c>
      <c r="BF297" s="8">
        <v>28.51750737508041</v>
      </c>
      <c r="BG297" s="8">
        <v>0.55932921087591758</v>
      </c>
      <c r="BH297" s="8">
        <v>61.689531884936621</v>
      </c>
      <c r="BI297" s="8">
        <v>40.287108068382032</v>
      </c>
    </row>
    <row r="298" spans="1:61" x14ac:dyDescent="0.15">
      <c r="A298" s="7">
        <v>2020</v>
      </c>
      <c r="B298" s="7">
        <v>137</v>
      </c>
      <c r="C298" s="7">
        <v>24.842085417619305</v>
      </c>
      <c r="D298" s="7">
        <v>22.23886413739416</v>
      </c>
      <c r="E298" s="8">
        <v>20.908129537899349</v>
      </c>
      <c r="F298" s="8">
        <v>12.07532158310096</v>
      </c>
      <c r="G298" s="8">
        <v>0.59661377848582375</v>
      </c>
      <c r="H298" s="8">
        <v>59.10513747450203</v>
      </c>
      <c r="I298" s="8">
        <v>30.13233921329325</v>
      </c>
      <c r="J298" s="8">
        <v>24.67253651910849</v>
      </c>
      <c r="K298" s="8">
        <v>14.74400346831337</v>
      </c>
      <c r="L298" s="8">
        <v>0.64358272194862054</v>
      </c>
      <c r="M298" s="8">
        <v>55.356637439208299</v>
      </c>
      <c r="N298" s="8">
        <v>37.990840290680623</v>
      </c>
      <c r="O298" s="8">
        <v>291.41000000000003</v>
      </c>
      <c r="P298" s="8">
        <v>287.90800000000002</v>
      </c>
      <c r="Q298" s="8">
        <v>95.662499999999994</v>
      </c>
      <c r="R298" s="8">
        <v>-0.47199099999999999</v>
      </c>
      <c r="S298" s="8">
        <v>-0.23103599999999999</v>
      </c>
      <c r="T298" s="7">
        <f>C298-D298</f>
        <v>2.6032212802251458</v>
      </c>
      <c r="U298" s="8">
        <f>D298/C298</f>
        <v>0.89520922915840206</v>
      </c>
      <c r="V298" s="8">
        <v>19.174565450249609</v>
      </c>
      <c r="W298" s="8">
        <v>10.056647155687532</v>
      </c>
      <c r="X298" s="8">
        <v>0.56738750409736571</v>
      </c>
      <c r="Y298" s="8">
        <v>61.148053290407205</v>
      </c>
      <c r="Z298" s="8">
        <v>26.132723548744252</v>
      </c>
      <c r="AA298" s="7">
        <v>21.92355098467905</v>
      </c>
      <c r="AB298" s="7">
        <v>12.400325312000451</v>
      </c>
      <c r="AC298" s="7">
        <v>0.60548511302299313</v>
      </c>
      <c r="AD298" s="7">
        <v>58.252345364807752</v>
      </c>
      <c r="AE298" s="7">
        <v>32.061781919712438</v>
      </c>
      <c r="AF298" s="8">
        <v>24.731799337764549</v>
      </c>
      <c r="AG298" s="8">
        <v>15.22881955602986</v>
      </c>
      <c r="AH298" s="8">
        <v>0.6453269075895236</v>
      </c>
      <c r="AI298" s="8">
        <v>53.911693045805947</v>
      </c>
      <c r="AJ298" s="8">
        <v>40.05251231203799</v>
      </c>
      <c r="AK298" s="8">
        <v>24.663409160357919</v>
      </c>
      <c r="AL298" s="8">
        <v>14.669334553452639</v>
      </c>
      <c r="AM298" s="8">
        <v>0.64331409132265394</v>
      </c>
      <c r="AN298" s="8">
        <v>55.579180445975297</v>
      </c>
      <c r="AO298" s="8">
        <v>37.673312022675823</v>
      </c>
      <c r="AP298" s="8">
        <v>25.274607220439272</v>
      </c>
      <c r="AQ298" s="8">
        <v>13.25610117190231</v>
      </c>
      <c r="AR298" s="8">
        <v>0.62531308473246316</v>
      </c>
      <c r="AS298" s="8">
        <v>55.236250285910558</v>
      </c>
      <c r="AT298" s="8">
        <v>38.416959426526233</v>
      </c>
      <c r="AU298" s="8">
        <v>22.33646405149544</v>
      </c>
      <c r="AV298" s="8">
        <v>11.887798066802469</v>
      </c>
      <c r="AW298" s="8">
        <v>0.61676532046877719</v>
      </c>
      <c r="AX298" s="8">
        <v>61.005884251743588</v>
      </c>
      <c r="AY298" s="8">
        <v>32.537633382770068</v>
      </c>
      <c r="AZ298" s="8">
        <v>25.237135705762469</v>
      </c>
      <c r="BA298" s="8">
        <v>17.427199641601661</v>
      </c>
      <c r="BB298" s="8">
        <v>0.70057885436216827</v>
      </c>
      <c r="BC298" s="8">
        <v>56.11215090155607</v>
      </c>
      <c r="BD298" s="8">
        <v>39.232562991964109</v>
      </c>
      <c r="BE298" s="8">
        <v>26.099759643838489</v>
      </c>
      <c r="BF298" s="8">
        <v>19.166919727057628</v>
      </c>
      <c r="BG298" s="8">
        <v>0.594157883360102</v>
      </c>
      <c r="BH298" s="8">
        <v>57.927065393917182</v>
      </c>
      <c r="BI298" s="8">
        <v>46.386646903741941</v>
      </c>
    </row>
    <row r="299" spans="1:61" x14ac:dyDescent="0.15">
      <c r="A299" s="7">
        <v>2023</v>
      </c>
      <c r="B299" s="7">
        <v>101</v>
      </c>
      <c r="C299" s="9">
        <v>56.986393875655374</v>
      </c>
      <c r="D299" s="7">
        <v>11.090150436939824</v>
      </c>
      <c r="E299" s="8">
        <v>37.909108823363312</v>
      </c>
      <c r="F299" s="8">
        <v>20.895136410643079</v>
      </c>
      <c r="G299" s="8">
        <v>0.5970788842886765</v>
      </c>
      <c r="H299" s="8">
        <v>75.904275610522831</v>
      </c>
      <c r="I299" s="8">
        <v>72.413109657803815</v>
      </c>
      <c r="J299" s="8">
        <v>35.730048234359693</v>
      </c>
      <c r="K299" s="8">
        <v>22.252414439093389</v>
      </c>
      <c r="L299" s="8">
        <v>0.5941187368548454</v>
      </c>
      <c r="M299" s="8">
        <v>81.561968910368037</v>
      </c>
      <c r="N299" s="8">
        <v>71.839892969466504</v>
      </c>
      <c r="O299" s="7">
        <v>289.60899999999998</v>
      </c>
      <c r="P299" s="7">
        <v>282.06400000000002</v>
      </c>
      <c r="Q299" s="7">
        <v>101.07</v>
      </c>
      <c r="R299" s="7">
        <v>-0.365782</v>
      </c>
      <c r="S299" s="7">
        <v>0.178204</v>
      </c>
      <c r="T299" s="7">
        <f>C299-D299</f>
        <v>45.896243438715551</v>
      </c>
      <c r="U299" s="8">
        <f>D299/C299</f>
        <v>0.19461049704493663</v>
      </c>
      <c r="V299" s="8">
        <v>34.900986900784893</v>
      </c>
      <c r="W299" s="8">
        <v>20.260190445702793</v>
      </c>
      <c r="X299" s="8">
        <v>0.59048821452998401</v>
      </c>
      <c r="Y299" s="8">
        <v>80.850761457865374</v>
      </c>
      <c r="Z299" s="8">
        <v>64.342575078861145</v>
      </c>
      <c r="AA299" s="7">
        <v>35.315517567572293</v>
      </c>
      <c r="AB299" s="7">
        <v>21.256302442398091</v>
      </c>
      <c r="AC299" s="7">
        <v>0.5923034756924147</v>
      </c>
      <c r="AD299" s="7">
        <v>81.206365184116706</v>
      </c>
      <c r="AE299" s="7">
        <v>68.091234024163825</v>
      </c>
      <c r="AF299" s="8">
        <v>36.239669479455152</v>
      </c>
      <c r="AG299" s="8">
        <v>22.267970886956409</v>
      </c>
      <c r="AH299" s="8">
        <v>0.5943889348338528</v>
      </c>
      <c r="AI299" s="8">
        <v>82.049070020497822</v>
      </c>
      <c r="AJ299" s="8">
        <v>72.255030180335837</v>
      </c>
      <c r="AK299" s="8">
        <v>35.66563532418067</v>
      </c>
      <c r="AL299" s="8">
        <v>22.250448202229151</v>
      </c>
      <c r="AM299" s="8">
        <v>0.59408458553497834</v>
      </c>
      <c r="AN299" s="8">
        <v>81.500402403169119</v>
      </c>
      <c r="AO299" s="8">
        <v>71.787422245113774</v>
      </c>
      <c r="AP299" s="8">
        <v>35.352628845371662</v>
      </c>
      <c r="AQ299" s="8">
        <v>21.44012023069326</v>
      </c>
      <c r="AR299" s="8">
        <v>0.59337373404048677</v>
      </c>
      <c r="AS299" s="8">
        <v>81.054404389153845</v>
      </c>
      <c r="AT299" s="8">
        <v>67.569895324890496</v>
      </c>
      <c r="AU299" s="8">
        <v>33.056358876208648</v>
      </c>
      <c r="AV299" s="8">
        <v>28.15831555821077</v>
      </c>
      <c r="AW299" s="8">
        <v>0.66005280396603239</v>
      </c>
      <c r="AX299" s="8">
        <v>67.442238222797272</v>
      </c>
      <c r="AY299" s="8">
        <v>60.319363299313167</v>
      </c>
      <c r="AZ299" s="8">
        <v>35.120960286677267</v>
      </c>
      <c r="BA299" s="8">
        <v>20.508058266548421</v>
      </c>
      <c r="BB299" s="8">
        <v>0.58735128622775878</v>
      </c>
      <c r="BC299" s="8">
        <v>82.04819366531396</v>
      </c>
      <c r="BD299" s="8">
        <v>70.02651270084344</v>
      </c>
      <c r="BE299" s="8">
        <v>33.827012621765618</v>
      </c>
      <c r="BF299" s="8">
        <v>34.320820353026583</v>
      </c>
      <c r="BG299" s="8">
        <v>0.7002997409040983</v>
      </c>
      <c r="BH299" s="8">
        <v>70.512375688400539</v>
      </c>
      <c r="BI299" s="8">
        <v>69.279993667066918</v>
      </c>
    </row>
    <row r="300" spans="1:61" x14ac:dyDescent="0.15">
      <c r="A300" s="7">
        <v>2023</v>
      </c>
      <c r="B300" s="7">
        <v>123</v>
      </c>
      <c r="C300" s="9">
        <v>43.65753638975248</v>
      </c>
      <c r="D300" s="7">
        <v>33.240002823371917</v>
      </c>
      <c r="E300" s="8">
        <v>27.79707574078606</v>
      </c>
      <c r="F300" s="8">
        <v>19.408840481992812</v>
      </c>
      <c r="G300" s="8">
        <v>0.59764799245745459</v>
      </c>
      <c r="H300" s="8">
        <v>70.265855879930768</v>
      </c>
      <c r="I300" s="8">
        <v>49.727204731172428</v>
      </c>
      <c r="J300" s="8">
        <v>28.028233740194061</v>
      </c>
      <c r="K300" s="8">
        <v>17.56219695642125</v>
      </c>
      <c r="L300" s="8">
        <v>0.51881933483334985</v>
      </c>
      <c r="M300" s="8">
        <v>72.026791829056151</v>
      </c>
      <c r="N300" s="8">
        <v>52.662943233066443</v>
      </c>
      <c r="O300" s="7">
        <v>290.56799999999998</v>
      </c>
      <c r="P300" s="7">
        <v>285.40199999999999</v>
      </c>
      <c r="Q300" s="7">
        <v>99.236399999999989</v>
      </c>
      <c r="R300" s="7">
        <v>-0.60098799999999997</v>
      </c>
      <c r="S300" s="7">
        <v>-0.27951399999999998</v>
      </c>
      <c r="T300" s="7">
        <f>C300-D300</f>
        <v>10.417533566380563</v>
      </c>
      <c r="U300" s="8">
        <f>D300/C300</f>
        <v>0.761380636017157</v>
      </c>
      <c r="V300" s="8">
        <v>26.571897114565836</v>
      </c>
      <c r="W300" s="8">
        <v>18.657608243521128</v>
      </c>
      <c r="X300" s="8">
        <v>0.58591059779248589</v>
      </c>
      <c r="Y300" s="8">
        <v>70.891218421435099</v>
      </c>
      <c r="Z300" s="8">
        <v>47.707545864831474</v>
      </c>
      <c r="AA300" s="7">
        <v>27.300065427379948</v>
      </c>
      <c r="AB300" s="7">
        <v>18.109902599971189</v>
      </c>
      <c r="AC300" s="7">
        <v>0.55236496631291787</v>
      </c>
      <c r="AD300" s="7">
        <v>71.459005125245625</v>
      </c>
      <c r="AE300" s="7">
        <v>50.185244548948958</v>
      </c>
      <c r="AF300" s="8">
        <v>28.940268146839468</v>
      </c>
      <c r="AG300" s="8">
        <v>18.64901141407309</v>
      </c>
      <c r="AH300" s="8">
        <v>0.55805995153847099</v>
      </c>
      <c r="AI300" s="8">
        <v>73.116827514358988</v>
      </c>
      <c r="AJ300" s="8">
        <v>52.156769150683587</v>
      </c>
      <c r="AK300" s="8">
        <v>27.884256437171459</v>
      </c>
      <c r="AL300" s="8">
        <v>17.390628193928801</v>
      </c>
      <c r="AM300" s="8">
        <v>0.5126246582718289</v>
      </c>
      <c r="AN300" s="8">
        <v>71.854714551022823</v>
      </c>
      <c r="AO300" s="8">
        <v>52.742849844824093</v>
      </c>
      <c r="AP300" s="8">
        <v>27.162404937346501</v>
      </c>
      <c r="AQ300" s="8">
        <v>16.352916284153359</v>
      </c>
      <c r="AR300" s="8">
        <v>0.50811287639413172</v>
      </c>
      <c r="AS300" s="8">
        <v>73.857498763716791</v>
      </c>
      <c r="AT300" s="8">
        <v>51.245359127336151</v>
      </c>
      <c r="AU300" s="8">
        <v>27.407024200734309</v>
      </c>
      <c r="AV300" s="8">
        <v>18.73409535082892</v>
      </c>
      <c r="AW300" s="8">
        <v>0.53990933569786526</v>
      </c>
      <c r="AX300" s="8">
        <v>68.066672352974464</v>
      </c>
      <c r="AY300" s="8">
        <v>50.048954852029233</v>
      </c>
      <c r="AZ300" s="8">
        <v>27.209394850016231</v>
      </c>
      <c r="BA300" s="8">
        <v>19.30734905941792</v>
      </c>
      <c r="BB300" s="8">
        <v>0.53010105411022657</v>
      </c>
      <c r="BC300" s="8">
        <v>66.700166355523834</v>
      </c>
      <c r="BD300" s="8">
        <v>51.264954456284237</v>
      </c>
      <c r="BE300" s="8">
        <v>29.350209694382858</v>
      </c>
      <c r="BF300" s="8">
        <v>27.358821524284409</v>
      </c>
      <c r="BG300" s="8">
        <v>0.61794427929891838</v>
      </c>
      <c r="BH300" s="8">
        <v>65.266337972658377</v>
      </c>
      <c r="BI300" s="8">
        <v>56.14222341910331</v>
      </c>
    </row>
    <row r="301" spans="1:61" x14ac:dyDescent="0.15">
      <c r="A301" s="7">
        <v>2023</v>
      </c>
      <c r="B301" s="7">
        <v>145</v>
      </c>
      <c r="C301" s="9">
        <v>80.584836683023951</v>
      </c>
      <c r="D301" s="7">
        <v>32.496735266967306</v>
      </c>
      <c r="E301" s="8">
        <v>18.904615728827171</v>
      </c>
      <c r="F301" s="8">
        <v>18.540571705802421</v>
      </c>
      <c r="G301" s="8">
        <v>0.59916550615235609</v>
      </c>
      <c r="H301" s="8">
        <v>69.111771094961085</v>
      </c>
      <c r="I301" s="8">
        <v>32.925961670501778</v>
      </c>
      <c r="J301" s="8">
        <v>18.88297766456769</v>
      </c>
      <c r="K301" s="8">
        <v>17.243320616980881</v>
      </c>
      <c r="L301" s="8">
        <v>0.51806071078742866</v>
      </c>
      <c r="M301" s="8">
        <v>68.981138001287363</v>
      </c>
      <c r="N301" s="8">
        <v>34.008139630514442</v>
      </c>
      <c r="O301" s="7">
        <v>295.45299999999997</v>
      </c>
      <c r="P301" s="7">
        <v>290.88499999999999</v>
      </c>
      <c r="Q301" s="7">
        <v>98.750600000000006</v>
      </c>
      <c r="R301" s="7">
        <v>-0.48832399999999998</v>
      </c>
      <c r="S301" s="7">
        <v>-0.28074700000000002</v>
      </c>
      <c r="T301" s="7">
        <f>C301-D301</f>
        <v>48.088101416056645</v>
      </c>
      <c r="U301" s="8">
        <f>D301/C301</f>
        <v>0.40326116679731494</v>
      </c>
      <c r="V301" s="8">
        <v>18.578190071062792</v>
      </c>
      <c r="W301" s="8">
        <v>18.072726636924678</v>
      </c>
      <c r="X301" s="8">
        <v>0.62583223387955211</v>
      </c>
      <c r="Y301" s="8">
        <v>69.388296561013121</v>
      </c>
      <c r="Z301" s="8">
        <v>32.583031591177182</v>
      </c>
      <c r="AA301" s="7">
        <v>18.730583867815241</v>
      </c>
      <c r="AB301" s="7">
        <v>17.658023626952779</v>
      </c>
      <c r="AC301" s="7">
        <v>0.57194647233349039</v>
      </c>
      <c r="AD301" s="7">
        <v>69.184717281150242</v>
      </c>
      <c r="AE301" s="7">
        <v>33.295585610845812</v>
      </c>
      <c r="AF301" s="8">
        <v>19.285149687458141</v>
      </c>
      <c r="AG301" s="8">
        <v>18.365548366896569</v>
      </c>
      <c r="AH301" s="8">
        <v>0.532719694595577</v>
      </c>
      <c r="AI301" s="8">
        <v>66.695885735903246</v>
      </c>
      <c r="AJ301" s="8">
        <v>34.252180387493567</v>
      </c>
      <c r="AK301" s="8">
        <v>18.823466666179971</v>
      </c>
      <c r="AL301" s="8">
        <v>17.077260100548401</v>
      </c>
      <c r="AM301" s="8">
        <v>0.51589156248242607</v>
      </c>
      <c r="AN301" s="8">
        <v>69.319295894278923</v>
      </c>
      <c r="AO301" s="8">
        <v>33.972027946288513</v>
      </c>
      <c r="AP301" s="8">
        <v>18.93524291443692</v>
      </c>
      <c r="AQ301" s="8">
        <v>17.516147294681129</v>
      </c>
      <c r="AR301" s="8">
        <v>0.55930939766344423</v>
      </c>
      <c r="AS301" s="8">
        <v>70.171012123091288</v>
      </c>
      <c r="AT301" s="8">
        <v>34.427543704633173</v>
      </c>
      <c r="AU301" s="8">
        <v>17.35823026911628</v>
      </c>
      <c r="AV301" s="8">
        <v>15.343878999375731</v>
      </c>
      <c r="AW301" s="8">
        <v>0.50282439118021605</v>
      </c>
      <c r="AX301" s="8">
        <v>68.88864627316768</v>
      </c>
      <c r="AY301" s="8">
        <v>31.676743478462619</v>
      </c>
      <c r="AZ301" s="8">
        <v>17.967391572512661</v>
      </c>
      <c r="BA301" s="8">
        <v>15.162112414948011</v>
      </c>
      <c r="BB301" s="8">
        <v>0.49425931146694851</v>
      </c>
      <c r="BC301" s="8">
        <v>69.871148470602918</v>
      </c>
      <c r="BD301" s="8">
        <v>32.792425550821299</v>
      </c>
      <c r="BE301" s="8">
        <v>17.724003352305392</v>
      </c>
      <c r="BF301" s="8">
        <v>16.375880706486619</v>
      </c>
      <c r="BG301" s="8">
        <v>0.48414479303281238</v>
      </c>
      <c r="BH301" s="8">
        <v>68.837961462600532</v>
      </c>
      <c r="BI301" s="8">
        <v>32.602704678940761</v>
      </c>
    </row>
    <row r="302" spans="1:61" x14ac:dyDescent="0.15">
      <c r="A302" s="7">
        <v>2021</v>
      </c>
      <c r="B302" s="7">
        <v>116</v>
      </c>
      <c r="C302" s="7">
        <v>28.208775876222553</v>
      </c>
      <c r="D302" s="7">
        <v>1.80763723486873</v>
      </c>
      <c r="E302" s="8">
        <v>31.898918588994881</v>
      </c>
      <c r="F302" s="8">
        <v>18.18702375626949</v>
      </c>
      <c r="G302" s="8">
        <v>0.59949092128258308</v>
      </c>
      <c r="H302" s="8">
        <v>74.743232869266365</v>
      </c>
      <c r="I302" s="8">
        <v>47.232584490397898</v>
      </c>
      <c r="J302" s="8">
        <v>36.592830684598837</v>
      </c>
      <c r="K302" s="8">
        <v>22.016729787976921</v>
      </c>
      <c r="L302" s="8">
        <v>0.70625043247490182</v>
      </c>
      <c r="M302" s="8">
        <v>71.248920221011502</v>
      </c>
      <c r="N302" s="8">
        <v>60.974628710215867</v>
      </c>
      <c r="O302" s="8">
        <v>288.77600000000001</v>
      </c>
      <c r="P302" s="8">
        <v>281.31200000000001</v>
      </c>
      <c r="Q302" s="8">
        <v>97.746300000000005</v>
      </c>
      <c r="R302" s="8">
        <v>0.23738799999999999</v>
      </c>
      <c r="S302" s="8">
        <v>-0.30230000000000001</v>
      </c>
      <c r="T302" s="7">
        <f>C302-D302</f>
        <v>26.401138641353825</v>
      </c>
      <c r="U302" s="8">
        <f>D302/C302</f>
        <v>6.4080669178998462E-2</v>
      </c>
      <c r="V302" s="8">
        <v>31.369144804714665</v>
      </c>
      <c r="W302" s="8">
        <v>21.601152665650176</v>
      </c>
      <c r="X302" s="8">
        <v>0.6509315607642564</v>
      </c>
      <c r="Y302" s="8">
        <v>64.736722352842492</v>
      </c>
      <c r="Z302" s="8">
        <v>53.738183836597628</v>
      </c>
      <c r="AA302" s="7">
        <v>33.980987744656751</v>
      </c>
      <c r="AB302" s="7">
        <v>21.808941226813548</v>
      </c>
      <c r="AC302" s="7">
        <v>0.67859099661957911</v>
      </c>
      <c r="AD302" s="7">
        <v>67.992821286926997</v>
      </c>
      <c r="AE302" s="7">
        <v>57.356406273406748</v>
      </c>
      <c r="AF302" s="8">
        <v>35.925287496512233</v>
      </c>
      <c r="AG302" s="8">
        <v>20.751755298022211</v>
      </c>
      <c r="AH302" s="8">
        <v>0.68781628287056573</v>
      </c>
      <c r="AI302" s="8">
        <v>71.764237014462097</v>
      </c>
      <c r="AJ302" s="8">
        <v>55.394939661620917</v>
      </c>
      <c r="AK302" s="8">
        <v>36.705099262342522</v>
      </c>
      <c r="AL302" s="8">
        <v>22.22947540414642</v>
      </c>
      <c r="AM302" s="8">
        <v>0.70935071990937471</v>
      </c>
      <c r="AN302" s="8">
        <v>71.162253343840689</v>
      </c>
      <c r="AO302" s="8">
        <v>61.913030546856938</v>
      </c>
      <c r="AP302" s="8">
        <v>33.381159534527747</v>
      </c>
      <c r="AQ302" s="8">
        <v>22.413987144853969</v>
      </c>
      <c r="AR302" s="8">
        <v>0.69304509721547147</v>
      </c>
      <c r="AS302" s="8">
        <v>64.782989384887955</v>
      </c>
      <c r="AT302" s="8">
        <v>58.493475992668387</v>
      </c>
      <c r="AU302" s="8">
        <v>30.127011805055261</v>
      </c>
      <c r="AV302" s="8">
        <v>19.919927651245249</v>
      </c>
      <c r="AW302" s="8">
        <v>0.67026102335067517</v>
      </c>
      <c r="AX302" s="8">
        <v>71.091420517577461</v>
      </c>
      <c r="AY302" s="8">
        <v>53.398661763768452</v>
      </c>
      <c r="AZ302" s="8">
        <v>37.123145041019612</v>
      </c>
      <c r="BA302" s="8">
        <v>22.623808261208332</v>
      </c>
      <c r="BB302" s="8">
        <v>0.71017901189199617</v>
      </c>
      <c r="BC302" s="8">
        <v>72.337763919101718</v>
      </c>
      <c r="BD302" s="8">
        <v>64.070863996242153</v>
      </c>
      <c r="BE302" s="8">
        <v>38.215700141770427</v>
      </c>
      <c r="BF302" s="8">
        <v>28.526976155335561</v>
      </c>
      <c r="BG302" s="8">
        <v>0.59015347840023158</v>
      </c>
      <c r="BH302" s="8">
        <v>60.095747256488352</v>
      </c>
      <c r="BI302" s="8">
        <v>74.194527866879469</v>
      </c>
    </row>
    <row r="303" spans="1:61" x14ac:dyDescent="0.15">
      <c r="A303" s="7">
        <v>2021</v>
      </c>
      <c r="B303" s="7">
        <v>10</v>
      </c>
      <c r="C303" s="7">
        <v>9.7375259147654347</v>
      </c>
      <c r="D303" s="7">
        <v>9.5952401125751212</v>
      </c>
      <c r="E303" s="8">
        <v>27.9125235144177</v>
      </c>
      <c r="F303" s="8">
        <v>28.672224504137599</v>
      </c>
      <c r="G303" s="8">
        <v>0.59998357303717942</v>
      </c>
      <c r="H303" s="8">
        <v>71.579963705372833</v>
      </c>
      <c r="I303" s="8">
        <v>38.713192909230557</v>
      </c>
      <c r="J303" s="8">
        <v>31.99276986899428</v>
      </c>
      <c r="K303" s="8">
        <v>33.276381924587881</v>
      </c>
      <c r="L303" s="8">
        <v>0.69326579336241678</v>
      </c>
      <c r="M303" s="8">
        <v>65.646022343642855</v>
      </c>
      <c r="N303" s="8">
        <v>53.418987526988701</v>
      </c>
      <c r="O303" s="8">
        <v>290.48500000000001</v>
      </c>
      <c r="P303" s="8">
        <v>285.41399999999999</v>
      </c>
      <c r="Q303" s="8">
        <v>101.25700000000001</v>
      </c>
      <c r="R303" s="8">
        <v>-0.81240000000000001</v>
      </c>
      <c r="S303" s="8">
        <v>-0.16686300000000001</v>
      </c>
      <c r="T303" s="7">
        <f>C303-D303</f>
        <v>0.1422858021903135</v>
      </c>
      <c r="U303" s="8">
        <f>D303/C303</f>
        <v>0.98538788975395086</v>
      </c>
      <c r="V303" s="8">
        <v>31.732103665255458</v>
      </c>
      <c r="W303" s="8">
        <v>28.891494130550001</v>
      </c>
      <c r="X303" s="8">
        <v>0.67481905697502109</v>
      </c>
      <c r="Y303" s="8">
        <v>69.376522332934215</v>
      </c>
      <c r="Z303" s="8">
        <v>48.396165531567533</v>
      </c>
      <c r="AA303" s="7">
        <v>31.862436767124869</v>
      </c>
      <c r="AB303" s="7">
        <v>31.083938027568941</v>
      </c>
      <c r="AC303" s="7">
        <v>0.68404242516871894</v>
      </c>
      <c r="AD303" s="7">
        <v>67.511272338288535</v>
      </c>
      <c r="AE303" s="7">
        <v>50.907576529278117</v>
      </c>
      <c r="AF303" s="8">
        <v>30.456106455274089</v>
      </c>
      <c r="AG303" s="8">
        <v>34.452122222404313</v>
      </c>
      <c r="AH303" s="8">
        <v>0.69573641657390228</v>
      </c>
      <c r="AI303" s="8">
        <v>66.250308824174098</v>
      </c>
      <c r="AJ303" s="8">
        <v>50.806578722070697</v>
      </c>
      <c r="AK303" s="8">
        <v>32.149212274619892</v>
      </c>
      <c r="AL303" s="8">
        <v>33.156683857373487</v>
      </c>
      <c r="AM303" s="8">
        <v>0.69301426772892549</v>
      </c>
      <c r="AN303" s="8">
        <v>65.584502019896448</v>
      </c>
      <c r="AO303" s="8">
        <v>53.684947863045309</v>
      </c>
      <c r="AP303" s="8">
        <v>31.21237425861889</v>
      </c>
      <c r="AQ303" s="8">
        <v>31.007945492735821</v>
      </c>
      <c r="AR303" s="8">
        <v>0.65890700428377214</v>
      </c>
      <c r="AS303" s="8">
        <v>67.724164370424063</v>
      </c>
      <c r="AT303" s="8">
        <v>50.192597421127033</v>
      </c>
      <c r="AU303" s="8">
        <v>38.486057860339002</v>
      </c>
      <c r="AV303" s="8">
        <v>28.649674658764649</v>
      </c>
      <c r="AW303" s="8">
        <v>0.59728697840865574</v>
      </c>
      <c r="AX303" s="8">
        <v>68.539646423901559</v>
      </c>
      <c r="AY303" s="8">
        <v>58.829324709756982</v>
      </c>
      <c r="AZ303" s="8">
        <v>33.434879028080339</v>
      </c>
      <c r="BA303" s="8">
        <v>32.123345550603688</v>
      </c>
      <c r="BB303" s="8">
        <v>0.69536575293092096</v>
      </c>
      <c r="BC303" s="8">
        <v>65.998576494284578</v>
      </c>
      <c r="BD303" s="8">
        <v>55.203069470215127</v>
      </c>
      <c r="BE303" s="8">
        <v>36.826384488728067</v>
      </c>
      <c r="BF303" s="8">
        <v>30.26802137182564</v>
      </c>
      <c r="BG303" s="8">
        <v>0.57627727583249122</v>
      </c>
      <c r="BH303" s="8">
        <v>64.578519446616241</v>
      </c>
      <c r="BI303" s="8">
        <v>56.482273049506908</v>
      </c>
    </row>
    <row r="304" spans="1:61" x14ac:dyDescent="0.15">
      <c r="A304" s="7">
        <v>2023</v>
      </c>
      <c r="B304" s="7">
        <v>8</v>
      </c>
      <c r="C304" s="9">
        <v>436.08908078291478</v>
      </c>
      <c r="D304" s="7">
        <v>282.75036254324766</v>
      </c>
      <c r="E304" s="8">
        <v>31.419694251888789</v>
      </c>
      <c r="F304" s="8">
        <v>19.91350670473005</v>
      </c>
      <c r="G304" s="8">
        <v>0.60029757607688627</v>
      </c>
      <c r="H304" s="8">
        <v>70.148352551393756</v>
      </c>
      <c r="I304" s="8">
        <v>53.06891764171278</v>
      </c>
      <c r="J304" s="8">
        <v>32.926322775273412</v>
      </c>
      <c r="K304" s="8">
        <v>21.922720004305742</v>
      </c>
      <c r="L304" s="8">
        <v>0.55709582336272268</v>
      </c>
      <c r="M304" s="8">
        <v>71.282762797599375</v>
      </c>
      <c r="N304" s="8">
        <v>57.759741892231787</v>
      </c>
      <c r="O304" s="7">
        <v>291.24200000000002</v>
      </c>
      <c r="P304" s="7">
        <v>286.024</v>
      </c>
      <c r="Q304" s="7">
        <v>101.006</v>
      </c>
      <c r="R304" s="7">
        <v>-0.58840599999999998</v>
      </c>
      <c r="S304" s="7">
        <v>-0.61279399999999995</v>
      </c>
      <c r="T304" s="7">
        <f>C304-D304</f>
        <v>153.33871823966712</v>
      </c>
      <c r="U304" s="8">
        <f>D304/C304</f>
        <v>0.64837753340584292</v>
      </c>
      <c r="V304" s="8">
        <v>27.704756945762369</v>
      </c>
      <c r="W304" s="8">
        <v>17.272858061481681</v>
      </c>
      <c r="X304" s="8">
        <v>0.53243252505008953</v>
      </c>
      <c r="Y304" s="8">
        <v>72.423999364494776</v>
      </c>
      <c r="Z304" s="8">
        <v>49.864838900814448</v>
      </c>
      <c r="AA304" s="7">
        <v>30.315539860517891</v>
      </c>
      <c r="AB304" s="7">
        <v>19.597789032893711</v>
      </c>
      <c r="AC304" s="7">
        <v>0.5447641742064061</v>
      </c>
      <c r="AD304" s="7">
        <v>71.853381081047075</v>
      </c>
      <c r="AE304" s="7">
        <v>53.812290396523117</v>
      </c>
      <c r="AF304" s="8">
        <v>33.945592541705359</v>
      </c>
      <c r="AG304" s="8">
        <v>22.00063184560652</v>
      </c>
      <c r="AH304" s="8">
        <v>0.57274918549471909</v>
      </c>
      <c r="AI304" s="8">
        <v>72.540286312401605</v>
      </c>
      <c r="AJ304" s="8">
        <v>57.240748935164923</v>
      </c>
      <c r="AK304" s="8">
        <v>32.78514821098441</v>
      </c>
      <c r="AL304" s="8">
        <v>21.911928778458741</v>
      </c>
      <c r="AM304" s="8">
        <v>0.55492774514494292</v>
      </c>
      <c r="AN304" s="8">
        <v>71.10858875640632</v>
      </c>
      <c r="AO304" s="8">
        <v>57.831625319952281</v>
      </c>
      <c r="AP304" s="8">
        <v>30.76713166564619</v>
      </c>
      <c r="AQ304" s="8">
        <v>17.850659085122331</v>
      </c>
      <c r="AR304" s="8">
        <v>0.52587928701318021</v>
      </c>
      <c r="AS304" s="8">
        <v>74.968574112322244</v>
      </c>
      <c r="AT304" s="8">
        <v>55.312476614118701</v>
      </c>
      <c r="AU304" s="8">
        <v>27.079792603937062</v>
      </c>
      <c r="AV304" s="8">
        <v>26.311210618315791</v>
      </c>
      <c r="AW304" s="8">
        <v>0.53607806215394715</v>
      </c>
      <c r="AX304" s="8">
        <v>65.904026456950689</v>
      </c>
      <c r="AY304" s="8">
        <v>49.79869037939072</v>
      </c>
      <c r="AZ304" s="8">
        <v>32.511820304562818</v>
      </c>
      <c r="BA304" s="8">
        <v>23.785475302260991</v>
      </c>
      <c r="BB304" s="8">
        <v>0.56559433293421957</v>
      </c>
      <c r="BC304" s="8">
        <v>68.423712358030087</v>
      </c>
      <c r="BD304" s="8">
        <v>57.497930141936862</v>
      </c>
      <c r="BE304" s="8">
        <v>26.634541276359439</v>
      </c>
      <c r="BF304" s="8">
        <v>28.437694929657852</v>
      </c>
      <c r="BG304" s="8">
        <v>0.53284214075079706</v>
      </c>
      <c r="BH304" s="8">
        <v>62.471208531387873</v>
      </c>
      <c r="BI304" s="8">
        <v>50.659584022150938</v>
      </c>
    </row>
    <row r="305" spans="1:61" x14ac:dyDescent="0.15">
      <c r="A305" s="7">
        <v>2023</v>
      </c>
      <c r="B305" s="7">
        <v>11</v>
      </c>
      <c r="C305" s="9">
        <v>35.948356118177095</v>
      </c>
      <c r="D305" s="7">
        <v>4.8252986644590958</v>
      </c>
      <c r="E305" s="8">
        <v>36.473556660922718</v>
      </c>
      <c r="F305" s="8">
        <v>25.21390983073973</v>
      </c>
      <c r="G305" s="8">
        <v>0.60052346933371381</v>
      </c>
      <c r="H305" s="8">
        <v>72.365666473615349</v>
      </c>
      <c r="I305" s="8">
        <v>65.283869139943164</v>
      </c>
      <c r="J305" s="8">
        <v>38.127222431622322</v>
      </c>
      <c r="K305" s="8">
        <v>31.35867289334044</v>
      </c>
      <c r="L305" s="8">
        <v>0.71739356869863447</v>
      </c>
      <c r="M305" s="8">
        <v>71.316535428705322</v>
      </c>
      <c r="N305" s="8">
        <v>66.535810632480803</v>
      </c>
      <c r="O305" s="7">
        <v>286.97699999999998</v>
      </c>
      <c r="P305" s="7">
        <v>277.012</v>
      </c>
      <c r="Q305" s="7">
        <v>101.003</v>
      </c>
      <c r="R305" s="7">
        <v>0.23461599999999999</v>
      </c>
      <c r="S305" s="7">
        <v>0.104675</v>
      </c>
      <c r="T305" s="7">
        <f>C305-D305</f>
        <v>31.123057453717998</v>
      </c>
      <c r="U305" s="8">
        <f>D305/C305</f>
        <v>0.13422863200187363</v>
      </c>
      <c r="V305" s="8">
        <v>32.545370838762231</v>
      </c>
      <c r="W305" s="8">
        <v>26.5845755052299</v>
      </c>
      <c r="X305" s="8">
        <v>0.68189937099580356</v>
      </c>
      <c r="Y305" s="8">
        <v>70.428475608094118</v>
      </c>
      <c r="Z305" s="8">
        <v>66.179022017792732</v>
      </c>
      <c r="AA305" s="7">
        <v>35.336296635192276</v>
      </c>
      <c r="AB305" s="7">
        <v>28.97162419928517</v>
      </c>
      <c r="AC305" s="7">
        <v>0.69964646984721901</v>
      </c>
      <c r="AD305" s="7">
        <v>70.87250551839972</v>
      </c>
      <c r="AE305" s="7">
        <v>66.357416325136768</v>
      </c>
      <c r="AF305" s="8">
        <v>40.094770226296937</v>
      </c>
      <c r="AG305" s="8">
        <v>32.117381437517899</v>
      </c>
      <c r="AH305" s="8">
        <v>0.72040710844458022</v>
      </c>
      <c r="AI305" s="8">
        <v>71.481254989212474</v>
      </c>
      <c r="AJ305" s="8">
        <v>67.144489931456675</v>
      </c>
      <c r="AK305" s="8">
        <v>37.843794088059333</v>
      </c>
      <c r="AL305" s="8">
        <v>31.249379738426821</v>
      </c>
      <c r="AM305" s="8">
        <v>0.71695946357510643</v>
      </c>
      <c r="AN305" s="8">
        <v>71.292807317849082</v>
      </c>
      <c r="AO305" s="8">
        <v>66.448129425479507</v>
      </c>
      <c r="AP305" s="8">
        <v>34.084156735307708</v>
      </c>
      <c r="AQ305" s="8">
        <v>29.27204057875063</v>
      </c>
      <c r="AR305" s="8">
        <v>0.71230767714442522</v>
      </c>
      <c r="AS305" s="8">
        <v>70.602986299265481</v>
      </c>
      <c r="AT305" s="8">
        <v>66.161444610259935</v>
      </c>
      <c r="AU305" s="8">
        <v>33.504954205845898</v>
      </c>
      <c r="AV305" s="8">
        <v>24.571255641582511</v>
      </c>
      <c r="AW305" s="8">
        <v>0.59328885127582931</v>
      </c>
      <c r="AX305" s="8">
        <v>69.805324212781926</v>
      </c>
      <c r="AY305" s="8">
        <v>64.26401886165975</v>
      </c>
      <c r="AZ305" s="8">
        <v>35.761691444844942</v>
      </c>
      <c r="BA305" s="8">
        <v>29.576871840545191</v>
      </c>
      <c r="BB305" s="8">
        <v>0.69652101816258249</v>
      </c>
      <c r="BC305" s="8">
        <v>70.862286086485085</v>
      </c>
      <c r="BD305" s="8">
        <v>65.315746971278458</v>
      </c>
      <c r="BE305" s="8">
        <v>33.09388605058534</v>
      </c>
      <c r="BF305" s="8">
        <v>29.546225108138351</v>
      </c>
      <c r="BG305" s="8">
        <v>0.72354291890063238</v>
      </c>
      <c r="BH305" s="8">
        <v>71.096201169240743</v>
      </c>
      <c r="BI305" s="8">
        <v>68.713076688634416</v>
      </c>
    </row>
    <row r="306" spans="1:61" x14ac:dyDescent="0.15">
      <c r="A306" s="7">
        <v>2023</v>
      </c>
      <c r="B306" s="7">
        <v>120</v>
      </c>
      <c r="C306" s="9">
        <v>5.4274810981944119</v>
      </c>
      <c r="D306" s="7">
        <v>4.433380686793071</v>
      </c>
      <c r="E306" s="8">
        <v>33.10182382971783</v>
      </c>
      <c r="F306" s="8">
        <v>19.89629284551085</v>
      </c>
      <c r="G306" s="8">
        <v>0.60095634119447849</v>
      </c>
      <c r="H306" s="8">
        <v>72.989823342861754</v>
      </c>
      <c r="I306" s="8">
        <v>59.566183421028413</v>
      </c>
      <c r="J306" s="8">
        <v>33.22674432576752</v>
      </c>
      <c r="K306" s="8">
        <v>18.322440225047831</v>
      </c>
      <c r="L306" s="8">
        <v>0.53671018606785559</v>
      </c>
      <c r="M306" s="8">
        <v>75.197038229532453</v>
      </c>
      <c r="N306" s="8">
        <v>61.008802395046281</v>
      </c>
      <c r="O306" s="7">
        <v>290.53199999999998</v>
      </c>
      <c r="P306" s="7">
        <v>285.04599999999999</v>
      </c>
      <c r="Q306" s="7">
        <v>100.417</v>
      </c>
      <c r="R306" s="7">
        <v>-0.54875399999999996</v>
      </c>
      <c r="S306" s="7">
        <v>-0.66490700000000003</v>
      </c>
      <c r="T306" s="7">
        <f>C306-D306</f>
        <v>0.99410041140134098</v>
      </c>
      <c r="U306" s="8">
        <f>D306/C306</f>
        <v>0.81683945214805931</v>
      </c>
      <c r="V306" s="8">
        <v>31.44864961133252</v>
      </c>
      <c r="W306" s="8">
        <v>18.71302723563171</v>
      </c>
      <c r="X306" s="8">
        <v>0.56653375897612412</v>
      </c>
      <c r="Y306" s="8">
        <v>75.176344175241596</v>
      </c>
      <c r="Z306" s="8">
        <v>58.541451847635052</v>
      </c>
      <c r="AA306" s="7">
        <v>32.33769696855002</v>
      </c>
      <c r="AB306" s="7">
        <v>18.517733730339771</v>
      </c>
      <c r="AC306" s="7">
        <v>0.55162197252198986</v>
      </c>
      <c r="AD306" s="7">
        <v>75.186691202387024</v>
      </c>
      <c r="AE306" s="7">
        <v>59.775127121340667</v>
      </c>
      <c r="AF306" s="8">
        <v>34.777891359281277</v>
      </c>
      <c r="AG306" s="8">
        <v>18.71625466328803</v>
      </c>
      <c r="AH306" s="8">
        <v>0.54871192237227939</v>
      </c>
      <c r="AI306" s="8">
        <v>75.12065676254835</v>
      </c>
      <c r="AJ306" s="8">
        <v>61.391152672464948</v>
      </c>
      <c r="AK306" s="8">
        <v>33.007174797847988</v>
      </c>
      <c r="AL306" s="8">
        <v>18.26669460685428</v>
      </c>
      <c r="AM306" s="8">
        <v>0.53501130419680054</v>
      </c>
      <c r="AN306" s="8">
        <v>75.207850255913655</v>
      </c>
      <c r="AO306" s="8">
        <v>60.954679563297347</v>
      </c>
      <c r="AP306" s="8">
        <v>32.41715199818119</v>
      </c>
      <c r="AQ306" s="8">
        <v>17.919750690435851</v>
      </c>
      <c r="AR306" s="8">
        <v>0.53961640975528791</v>
      </c>
      <c r="AS306" s="8">
        <v>76.563278149971097</v>
      </c>
      <c r="AT306" s="8">
        <v>60.394624768425047</v>
      </c>
      <c r="AU306" s="8">
        <v>30.575075343113369</v>
      </c>
      <c r="AV306" s="8">
        <v>15.69558803873629</v>
      </c>
      <c r="AW306" s="8">
        <v>0.50673622666292717</v>
      </c>
      <c r="AX306" s="8">
        <v>75.604527994639994</v>
      </c>
      <c r="AY306" s="8">
        <v>58.801724465019447</v>
      </c>
      <c r="AZ306" s="8">
        <v>31.934125257179801</v>
      </c>
      <c r="BA306" s="8">
        <v>18.965142975013549</v>
      </c>
      <c r="BB306" s="8">
        <v>0.53820763558067575</v>
      </c>
      <c r="BC306" s="8">
        <v>72.00209024977724</v>
      </c>
      <c r="BD306" s="8">
        <v>59.306710279842832</v>
      </c>
      <c r="BE306" s="8">
        <v>31.274039391772199</v>
      </c>
      <c r="BF306" s="8">
        <v>27.387972735159249</v>
      </c>
      <c r="BG306" s="8">
        <v>0.63229653658707419</v>
      </c>
      <c r="BH306" s="8">
        <v>62.917862701580361</v>
      </c>
      <c r="BI306" s="8">
        <v>59.645221730682707</v>
      </c>
    </row>
    <row r="307" spans="1:61" x14ac:dyDescent="0.15">
      <c r="A307" s="7">
        <v>2022</v>
      </c>
      <c r="B307" s="7">
        <v>103</v>
      </c>
      <c r="C307" s="7">
        <v>122.52146652575108</v>
      </c>
      <c r="D307" s="7">
        <v>83.527871222207025</v>
      </c>
      <c r="E307" s="8">
        <v>31.044020798194062</v>
      </c>
      <c r="F307" s="8">
        <v>23.630312055596509</v>
      </c>
      <c r="G307" s="8">
        <v>0.60105192755720183</v>
      </c>
      <c r="H307" s="8">
        <v>68.041684586815251</v>
      </c>
      <c r="I307" s="8">
        <v>42.647178707101403</v>
      </c>
      <c r="J307" s="8">
        <v>34.003169278063481</v>
      </c>
      <c r="K307" s="8">
        <v>18.537748175726321</v>
      </c>
      <c r="L307" s="8">
        <v>0.51429847657526451</v>
      </c>
      <c r="M307" s="8">
        <v>73.779843713718648</v>
      </c>
      <c r="N307" s="8">
        <v>44.784786102351802</v>
      </c>
      <c r="O307" s="8">
        <v>289.99299999999999</v>
      </c>
      <c r="P307" s="8">
        <v>283.31200000000001</v>
      </c>
      <c r="Q307" s="8">
        <v>101.271</v>
      </c>
      <c r="R307" s="8">
        <v>-0.709121</v>
      </c>
      <c r="S307" s="8">
        <v>5.5256899999999998E-2</v>
      </c>
      <c r="T307" s="7">
        <f>C307-D307</f>
        <v>38.993595303544055</v>
      </c>
      <c r="U307" s="8">
        <f>D307/C307</f>
        <v>0.68174070708377843</v>
      </c>
      <c r="V307" s="8">
        <v>27.134472840971597</v>
      </c>
      <c r="W307" s="8">
        <v>22.695755797501199</v>
      </c>
      <c r="X307" s="8">
        <v>0.55895994660616743</v>
      </c>
      <c r="Y307" s="8">
        <v>59.559512274407425</v>
      </c>
      <c r="Z307" s="8">
        <v>41.227712605811192</v>
      </c>
      <c r="AA307" s="7">
        <v>30.568821059517539</v>
      </c>
      <c r="AB307" s="7">
        <v>20.61675198661376</v>
      </c>
      <c r="AC307" s="7">
        <v>0.53662921159071597</v>
      </c>
      <c r="AD307" s="7">
        <v>66.669677994063036</v>
      </c>
      <c r="AE307" s="7">
        <v>43.006249354081497</v>
      </c>
      <c r="AF307" s="8">
        <v>34.888815894198252</v>
      </c>
      <c r="AG307" s="8">
        <v>18.612499300639328</v>
      </c>
      <c r="AH307" s="8">
        <v>0.50625407056136218</v>
      </c>
      <c r="AI307" s="8">
        <v>74.56011385536921</v>
      </c>
      <c r="AJ307" s="8">
        <v>44.484115313362963</v>
      </c>
      <c r="AK307" s="8">
        <v>33.958874834921438</v>
      </c>
      <c r="AL307" s="8">
        <v>18.534009597164701</v>
      </c>
      <c r="AM307" s="8">
        <v>0.51470080689336517</v>
      </c>
      <c r="AN307" s="8">
        <v>73.740819535457106</v>
      </c>
      <c r="AO307" s="8">
        <v>44.799823753853779</v>
      </c>
      <c r="AP307" s="8">
        <v>29.892571695500809</v>
      </c>
      <c r="AQ307" s="8">
        <v>20.919677282528252</v>
      </c>
      <c r="AR307" s="8">
        <v>0.53710007605274013</v>
      </c>
      <c r="AS307" s="8">
        <v>65.233427707549652</v>
      </c>
      <c r="AT307" s="8">
        <v>42.504663857755247</v>
      </c>
      <c r="AU307" s="8">
        <v>34.50765484054709</v>
      </c>
      <c r="AV307" s="8">
        <v>24.479946801692549</v>
      </c>
      <c r="AW307" s="8">
        <v>0.61633835590590202</v>
      </c>
      <c r="AX307" s="8">
        <v>69.464824554965162</v>
      </c>
      <c r="AY307" s="8">
        <v>59.121689504685868</v>
      </c>
      <c r="AZ307" s="8">
        <v>33.063870210432121</v>
      </c>
      <c r="BA307" s="8">
        <v>18.76865831101815</v>
      </c>
      <c r="BB307" s="8">
        <v>0.51109738068140476</v>
      </c>
      <c r="BC307" s="8">
        <v>73.390001174363633</v>
      </c>
      <c r="BD307" s="8">
        <v>44.187020976893592</v>
      </c>
      <c r="BE307" s="8">
        <v>41.979889344656378</v>
      </c>
      <c r="BF307" s="8">
        <v>24.487165341784259</v>
      </c>
      <c r="BG307" s="8">
        <v>0.66994875245204266</v>
      </c>
      <c r="BH307" s="8">
        <v>67.579376295189007</v>
      </c>
      <c r="BI307" s="8">
        <v>65.523203665723202</v>
      </c>
    </row>
    <row r="308" spans="1:61" x14ac:dyDescent="0.15">
      <c r="A308" s="7">
        <v>2021</v>
      </c>
      <c r="B308" s="7">
        <v>75</v>
      </c>
      <c r="C308" s="7">
        <v>60.542546630541175</v>
      </c>
      <c r="D308" s="7">
        <v>29.853678900608625</v>
      </c>
      <c r="E308" s="8">
        <v>30.92136304864357</v>
      </c>
      <c r="F308" s="8">
        <v>25.546519958232849</v>
      </c>
      <c r="G308" s="8">
        <v>0.60123086222720379</v>
      </c>
      <c r="H308" s="8">
        <v>75.572442522599957</v>
      </c>
      <c r="I308" s="8">
        <v>46.589288601763307</v>
      </c>
      <c r="J308" s="8">
        <v>35.793111497868672</v>
      </c>
      <c r="K308" s="8">
        <v>23.8595050503443</v>
      </c>
      <c r="L308" s="8">
        <v>0.62268246846063735</v>
      </c>
      <c r="M308" s="8">
        <v>76.317638063841414</v>
      </c>
      <c r="N308" s="8">
        <v>58.828659608619283</v>
      </c>
      <c r="O308" s="8">
        <v>288.61799999999999</v>
      </c>
      <c r="P308" s="8">
        <v>283.05</v>
      </c>
      <c r="Q308" s="8">
        <v>101.39</v>
      </c>
      <c r="R308" s="8">
        <v>-0.62322999999999995</v>
      </c>
      <c r="S308" s="8">
        <v>-6.30772E-2</v>
      </c>
      <c r="T308" s="7">
        <f>C308-D308</f>
        <v>30.68886772993255</v>
      </c>
      <c r="U308" s="8">
        <f>D308/C308</f>
        <v>0.49310246367384714</v>
      </c>
      <c r="V308" s="8">
        <v>31.923620177475222</v>
      </c>
      <c r="W308" s="8">
        <v>27.190270432548584</v>
      </c>
      <c r="X308" s="8">
        <v>0.61692871015805006</v>
      </c>
      <c r="Y308" s="8">
        <v>72.120828402200871</v>
      </c>
      <c r="Z308" s="8">
        <v>49.934498326769535</v>
      </c>
      <c r="AA308" s="7">
        <v>33.858365837671947</v>
      </c>
      <c r="AB308" s="7">
        <v>25.524887741446442</v>
      </c>
      <c r="AC308" s="7">
        <v>0.61980558930934371</v>
      </c>
      <c r="AD308" s="7">
        <v>74.219233233021143</v>
      </c>
      <c r="AE308" s="7">
        <v>54.381578967694409</v>
      </c>
      <c r="AF308" s="8">
        <v>35.975387594916747</v>
      </c>
      <c r="AG308" s="8">
        <v>23.282398538956119</v>
      </c>
      <c r="AH308" s="8">
        <v>0.62406218464795071</v>
      </c>
      <c r="AI308" s="8">
        <v>76.521064930459715</v>
      </c>
      <c r="AJ308" s="8">
        <v>54.081457514113033</v>
      </c>
      <c r="AK308" s="8">
        <v>35.777093203815362</v>
      </c>
      <c r="AL308" s="8">
        <v>23.910220761011811</v>
      </c>
      <c r="AM308" s="8">
        <v>0.62256121998123481</v>
      </c>
      <c r="AN308" s="8">
        <v>76.299761055168275</v>
      </c>
      <c r="AO308" s="8">
        <v>59.245840359753132</v>
      </c>
      <c r="AP308" s="8">
        <v>32.867141498192133</v>
      </c>
      <c r="AQ308" s="8">
        <v>25.080873237224651</v>
      </c>
      <c r="AR308" s="8">
        <v>0.60016638235693742</v>
      </c>
      <c r="AS308" s="8">
        <v>74.526347035949172</v>
      </c>
      <c r="AT308" s="8">
        <v>51.900934196304021</v>
      </c>
      <c r="AU308" s="8">
        <v>35.827952427210889</v>
      </c>
      <c r="AV308" s="8">
        <v>25.27057264048333</v>
      </c>
      <c r="AW308" s="8">
        <v>0.55417298187447561</v>
      </c>
      <c r="AX308" s="8">
        <v>71.360772349361085</v>
      </c>
      <c r="AY308" s="8">
        <v>64.207588212494372</v>
      </c>
      <c r="AZ308" s="8">
        <v>35.66899381379632</v>
      </c>
      <c r="BA308" s="8">
        <v>24.09640283935785</v>
      </c>
      <c r="BB308" s="8">
        <v>0.61843680862409922</v>
      </c>
      <c r="BC308" s="8">
        <v>75.912648838198436</v>
      </c>
      <c r="BD308" s="8">
        <v>61.017990707603147</v>
      </c>
      <c r="BE308" s="8">
        <v>42.554958741423597</v>
      </c>
      <c r="BF308" s="8">
        <v>29.679896030378529</v>
      </c>
      <c r="BG308" s="8">
        <v>0.62130725845126233</v>
      </c>
      <c r="BH308" s="8">
        <v>66.536896269549871</v>
      </c>
      <c r="BI308" s="8">
        <v>73.47964787746966</v>
      </c>
    </row>
    <row r="309" spans="1:61" x14ac:dyDescent="0.15">
      <c r="A309" s="7">
        <v>2022</v>
      </c>
      <c r="B309" s="7">
        <v>5</v>
      </c>
      <c r="C309" s="7">
        <v>49.100356215524691</v>
      </c>
      <c r="D309" s="7">
        <v>12.466613075932646</v>
      </c>
      <c r="E309" s="8">
        <v>18.00375122038335</v>
      </c>
      <c r="F309" s="8">
        <v>15.275203602139189</v>
      </c>
      <c r="G309" s="8">
        <v>0.60127849912067033</v>
      </c>
      <c r="H309" s="8">
        <v>52.651428861270531</v>
      </c>
      <c r="I309" s="8">
        <v>29.27021080126045</v>
      </c>
      <c r="J309" s="8">
        <v>20.276238888732831</v>
      </c>
      <c r="K309" s="8">
        <v>23.014815040761121</v>
      </c>
      <c r="L309" s="8">
        <v>0.62430711441917253</v>
      </c>
      <c r="M309" s="8">
        <v>52.070139887410598</v>
      </c>
      <c r="N309" s="8">
        <v>34.704619839854971</v>
      </c>
      <c r="O309" s="8">
        <v>295.64800000000002</v>
      </c>
      <c r="P309" s="8">
        <v>290.92899999999997</v>
      </c>
      <c r="Q309" s="8">
        <v>100.16</v>
      </c>
      <c r="R309" s="8">
        <v>-0.69098700000000002</v>
      </c>
      <c r="S309" s="8">
        <v>-0.60964600000000002</v>
      </c>
      <c r="T309" s="7">
        <f>C309-D309</f>
        <v>36.633743139592042</v>
      </c>
      <c r="U309" s="8">
        <f>D309/C309</f>
        <v>0.25390066461454541</v>
      </c>
      <c r="V309" s="8">
        <v>19.063089783900811</v>
      </c>
      <c r="W309" s="8">
        <v>14.871853071445976</v>
      </c>
      <c r="X309" s="8">
        <v>0.62516115971158848</v>
      </c>
      <c r="Y309" s="8">
        <v>53.613435835368925</v>
      </c>
      <c r="Z309" s="8">
        <v>29.077508552557866</v>
      </c>
      <c r="AA309" s="7">
        <v>19.669664336316821</v>
      </c>
      <c r="AB309" s="7">
        <v>18.943334056103549</v>
      </c>
      <c r="AC309" s="7">
        <v>0.6247341370653805</v>
      </c>
      <c r="AD309" s="7">
        <v>52.841787861389761</v>
      </c>
      <c r="AE309" s="7">
        <v>31.891064196206418</v>
      </c>
      <c r="AF309" s="8">
        <v>20.072077191430239</v>
      </c>
      <c r="AG309" s="8">
        <v>21.213221168049429</v>
      </c>
      <c r="AH309" s="8">
        <v>0.61056189117668669</v>
      </c>
      <c r="AI309" s="8">
        <v>51.609184056350969</v>
      </c>
      <c r="AJ309" s="8">
        <v>34.082414579941528</v>
      </c>
      <c r="AK309" s="8">
        <v>20.318433496262891</v>
      </c>
      <c r="AL309" s="8">
        <v>23.38715494286798</v>
      </c>
      <c r="AM309" s="8">
        <v>0.62714787401214367</v>
      </c>
      <c r="AN309" s="8">
        <v>52.165406779473251</v>
      </c>
      <c r="AO309" s="8">
        <v>34.833212553826527</v>
      </c>
      <c r="AP309" s="8">
        <v>21.355975753166948</v>
      </c>
      <c r="AQ309" s="8">
        <v>20.50619600420049</v>
      </c>
      <c r="AR309" s="8">
        <v>0.61172872159846992</v>
      </c>
      <c r="AS309" s="8">
        <v>52.709181931161858</v>
      </c>
      <c r="AT309" s="8">
        <v>32.732432021111713</v>
      </c>
      <c r="AU309" s="8">
        <v>22.109290756336161</v>
      </c>
      <c r="AV309" s="8">
        <v>22.252618297503989</v>
      </c>
      <c r="AW309" s="8">
        <v>0.67708741638962044</v>
      </c>
      <c r="AX309" s="8">
        <v>56.930075830967027</v>
      </c>
      <c r="AY309" s="8">
        <v>34.47771811547517</v>
      </c>
      <c r="AZ309" s="8">
        <v>20.421088901786469</v>
      </c>
      <c r="BA309" s="8">
        <v>24.65199598831574</v>
      </c>
      <c r="BB309" s="8">
        <v>0.64974107094974598</v>
      </c>
      <c r="BC309" s="8">
        <v>53.500259947972758</v>
      </c>
      <c r="BD309" s="8">
        <v>35.949530787632277</v>
      </c>
      <c r="BE309" s="8">
        <v>23.00700700411495</v>
      </c>
      <c r="BF309" s="8">
        <v>21.583455745159739</v>
      </c>
      <c r="BG309" s="8">
        <v>0.7362329620846596</v>
      </c>
      <c r="BH309" s="8">
        <v>55.473488980115647</v>
      </c>
      <c r="BI309" s="8">
        <v>35.443514863082939</v>
      </c>
    </row>
    <row r="310" spans="1:61" x14ac:dyDescent="0.15">
      <c r="A310" s="7">
        <v>2022</v>
      </c>
      <c r="B310" s="7">
        <v>125</v>
      </c>
      <c r="C310" s="7">
        <v>73.216892730136465</v>
      </c>
      <c r="D310" s="7">
        <v>16.869655594824621</v>
      </c>
      <c r="E310" s="8">
        <v>18.45111004863087</v>
      </c>
      <c r="F310" s="8">
        <v>13.57922252581043</v>
      </c>
      <c r="G310" s="8">
        <v>0.60164133827971045</v>
      </c>
      <c r="H310" s="8">
        <v>51.247448893990423</v>
      </c>
      <c r="I310" s="8">
        <v>29.1700929910653</v>
      </c>
      <c r="J310" s="8">
        <v>21.665126516076029</v>
      </c>
      <c r="K310" s="8">
        <v>18.891113589106212</v>
      </c>
      <c r="L310" s="8">
        <v>0.63755079034184925</v>
      </c>
      <c r="M310" s="8">
        <v>52.825287293412799</v>
      </c>
      <c r="N310" s="8">
        <v>34.265436849125287</v>
      </c>
      <c r="O310" s="8">
        <v>294.09199999999998</v>
      </c>
      <c r="P310" s="8">
        <v>289.78100000000001</v>
      </c>
      <c r="Q310" s="8">
        <v>98.134699999999995</v>
      </c>
      <c r="R310" s="8">
        <v>-0.58981399999999995</v>
      </c>
      <c r="S310" s="8">
        <v>-0.46340500000000001</v>
      </c>
      <c r="T310" s="7">
        <f>C310-D310</f>
        <v>56.347237135311843</v>
      </c>
      <c r="U310" s="8">
        <f>D310/C310</f>
        <v>0.23040660380116051</v>
      </c>
      <c r="V310" s="8">
        <v>17.04450974045163</v>
      </c>
      <c r="W310" s="8">
        <v>10.122453613795088</v>
      </c>
      <c r="X310" s="8">
        <v>0.59132995358566565</v>
      </c>
      <c r="Y310" s="8">
        <v>50.399478945164887</v>
      </c>
      <c r="Z310" s="8">
        <v>26.090549207733751</v>
      </c>
      <c r="AA310" s="7">
        <v>19.35481812826383</v>
      </c>
      <c r="AB310" s="7">
        <v>14.50678360145065</v>
      </c>
      <c r="AC310" s="7">
        <v>0.61444037196375745</v>
      </c>
      <c r="AD310" s="7">
        <v>51.612383119288843</v>
      </c>
      <c r="AE310" s="7">
        <v>30.177993028429519</v>
      </c>
      <c r="AF310" s="8">
        <v>21.325609575245519</v>
      </c>
      <c r="AG310" s="8">
        <v>17.5072967580099</v>
      </c>
      <c r="AH310" s="8">
        <v>0.61433021948765754</v>
      </c>
      <c r="AI310" s="8">
        <v>51.464382639552227</v>
      </c>
      <c r="AJ310" s="8">
        <v>34.260840874536846</v>
      </c>
      <c r="AK310" s="8">
        <v>21.72935492873712</v>
      </c>
      <c r="AL310" s="8">
        <v>19.152898342048449</v>
      </c>
      <c r="AM310" s="8">
        <v>0.64194356203506986</v>
      </c>
      <c r="AN310" s="8">
        <v>53.082737615292892</v>
      </c>
      <c r="AO310" s="8">
        <v>34.266306296616541</v>
      </c>
      <c r="AP310" s="8">
        <v>23.102550873325601</v>
      </c>
      <c r="AQ310" s="8">
        <v>17.579268021103289</v>
      </c>
      <c r="AR310" s="8">
        <v>0.64339061759562732</v>
      </c>
      <c r="AS310" s="8">
        <v>53.072962766782361</v>
      </c>
      <c r="AT310" s="8">
        <v>34.005264458244511</v>
      </c>
      <c r="AU310" s="8">
        <v>23.004078085699721</v>
      </c>
      <c r="AV310" s="8">
        <v>21.166719879587731</v>
      </c>
      <c r="AW310" s="8">
        <v>0.68988802789651915</v>
      </c>
      <c r="AX310" s="8">
        <v>57.484364244120513</v>
      </c>
      <c r="AY310" s="8">
        <v>36.002302209745828</v>
      </c>
      <c r="AZ310" s="8">
        <v>21.29674953827368</v>
      </c>
      <c r="BA310" s="8">
        <v>21.979565185132589</v>
      </c>
      <c r="BB310" s="8">
        <v>0.67675635475777118</v>
      </c>
      <c r="BC310" s="8">
        <v>54.945178895803288</v>
      </c>
      <c r="BD310" s="8">
        <v>36.034555708787053</v>
      </c>
      <c r="BE310" s="8">
        <v>21.096177483365331</v>
      </c>
      <c r="BF310" s="8">
        <v>18.57433384467987</v>
      </c>
      <c r="BG310" s="8">
        <v>0.66847107709747677</v>
      </c>
      <c r="BH310" s="8">
        <v>53.839146549194091</v>
      </c>
      <c r="BI310" s="8">
        <v>33.427467295440593</v>
      </c>
    </row>
    <row r="311" spans="1:61" x14ac:dyDescent="0.15">
      <c r="A311" s="7">
        <v>2020</v>
      </c>
      <c r="B311" s="7">
        <v>51</v>
      </c>
      <c r="C311" s="7">
        <v>24.169543475411363</v>
      </c>
      <c r="D311" s="7">
        <v>21.015947973872787</v>
      </c>
      <c r="E311" s="8">
        <v>19.51721099678857</v>
      </c>
      <c r="F311" s="8">
        <v>18.138210724304429</v>
      </c>
      <c r="G311" s="8">
        <v>0.60288592374233441</v>
      </c>
      <c r="H311" s="8">
        <v>65.435750961830848</v>
      </c>
      <c r="I311" s="8">
        <v>27.4691684799492</v>
      </c>
      <c r="J311" s="8">
        <v>26.373540355238131</v>
      </c>
      <c r="K311" s="8">
        <v>24.429738345715091</v>
      </c>
      <c r="L311" s="8">
        <v>0.67526015950410012</v>
      </c>
      <c r="M311" s="8">
        <v>61.590544866730461</v>
      </c>
      <c r="N311" s="8">
        <v>43.694298185412649</v>
      </c>
      <c r="O311" s="8">
        <v>291.38200000000001</v>
      </c>
      <c r="P311" s="8">
        <v>286.39800000000002</v>
      </c>
      <c r="Q311" s="8">
        <v>98.261099999999999</v>
      </c>
      <c r="R311" s="8">
        <v>-0.454042</v>
      </c>
      <c r="S311" s="8">
        <v>-0.32563700000000001</v>
      </c>
      <c r="T311" s="7">
        <f>C311-D311</f>
        <v>3.1535955015385753</v>
      </c>
      <c r="U311" s="8">
        <f>D311/C311</f>
        <v>0.86952192519702109</v>
      </c>
      <c r="V311" s="8">
        <v>18.065217367973947</v>
      </c>
      <c r="W311" s="8">
        <v>15.468271371190529</v>
      </c>
      <c r="X311" s="8">
        <v>0.58135187646199116</v>
      </c>
      <c r="Y311" s="8">
        <v>66.97512491404828</v>
      </c>
      <c r="Z311" s="8">
        <v>23.199944545390196</v>
      </c>
      <c r="AA311" s="7">
        <v>22.219378861606039</v>
      </c>
      <c r="AB311" s="7">
        <v>19.94900485845281</v>
      </c>
      <c r="AC311" s="7">
        <v>0.62830601798304564</v>
      </c>
      <c r="AD311" s="7">
        <v>64.282834890389367</v>
      </c>
      <c r="AE311" s="7">
        <v>33.447121365401422</v>
      </c>
      <c r="AF311" s="8">
        <v>26.263900752073059</v>
      </c>
      <c r="AG311" s="8">
        <v>25.188330304437159</v>
      </c>
      <c r="AH311" s="8">
        <v>0.67041168719751631</v>
      </c>
      <c r="AI311" s="8">
        <v>62.169299711033773</v>
      </c>
      <c r="AJ311" s="8">
        <v>41.141966822353467</v>
      </c>
      <c r="AK311" s="8">
        <v>26.381270205675609</v>
      </c>
      <c r="AL311" s="8">
        <v>24.376255824666831</v>
      </c>
      <c r="AM311" s="8">
        <v>0.67560198822928907</v>
      </c>
      <c r="AN311" s="8">
        <v>61.549741286114617</v>
      </c>
      <c r="AO311" s="8">
        <v>43.87424356220901</v>
      </c>
      <c r="AP311" s="8">
        <v>26.86207357636415</v>
      </c>
      <c r="AQ311" s="8">
        <v>22.419306824504119</v>
      </c>
      <c r="AR311" s="8">
        <v>0.67000913322978994</v>
      </c>
      <c r="AS311" s="8">
        <v>62.864828097380261</v>
      </c>
      <c r="AT311" s="8">
        <v>41.664840070177092</v>
      </c>
      <c r="AU311" s="8">
        <v>20.81299577135692</v>
      </c>
      <c r="AV311" s="8">
        <v>16.73153527889621</v>
      </c>
      <c r="AW311" s="8">
        <v>0.60146483267916051</v>
      </c>
      <c r="AX311" s="8">
        <v>63.746169467676019</v>
      </c>
      <c r="AY311" s="8">
        <v>32.876388755841418</v>
      </c>
      <c r="AZ311" s="8">
        <v>26.617101996803221</v>
      </c>
      <c r="BA311" s="8">
        <v>24.598874764301758</v>
      </c>
      <c r="BB311" s="8">
        <v>0.65467464609257131</v>
      </c>
      <c r="BC311" s="8">
        <v>60.303815819202988</v>
      </c>
      <c r="BD311" s="8">
        <v>48.851758142341538</v>
      </c>
      <c r="BE311" s="8">
        <v>35.195311676595537</v>
      </c>
      <c r="BF311" s="8">
        <v>31.690664572682461</v>
      </c>
      <c r="BG311" s="8">
        <v>0.58131000112920228</v>
      </c>
      <c r="BH311" s="8">
        <v>60.960938914896623</v>
      </c>
      <c r="BI311" s="8">
        <v>59.875382114015643</v>
      </c>
    </row>
    <row r="312" spans="1:61" x14ac:dyDescent="0.15">
      <c r="A312" s="7">
        <v>2022</v>
      </c>
      <c r="B312" s="7">
        <v>141</v>
      </c>
      <c r="C312" s="7">
        <v>60.956954225530566</v>
      </c>
      <c r="D312" s="7">
        <v>30.746801733091992</v>
      </c>
      <c r="E312" s="8">
        <v>29.026174694518801</v>
      </c>
      <c r="F312" s="8">
        <v>25.796077835008251</v>
      </c>
      <c r="G312" s="8">
        <v>0.60363607531156727</v>
      </c>
      <c r="H312" s="8">
        <v>67.707131143296792</v>
      </c>
      <c r="I312" s="8">
        <v>44.872799891773212</v>
      </c>
      <c r="J312" s="8">
        <v>32.806424758767982</v>
      </c>
      <c r="K312" s="8">
        <v>21.65906427046535</v>
      </c>
      <c r="L312" s="8">
        <v>0.61299018891627077</v>
      </c>
      <c r="M312" s="8">
        <v>79.536505659723943</v>
      </c>
      <c r="N312" s="8">
        <v>56.054032842320559</v>
      </c>
      <c r="O312" s="8">
        <v>287.255</v>
      </c>
      <c r="P312" s="8">
        <v>280.44</v>
      </c>
      <c r="Q312" s="8">
        <v>100.098</v>
      </c>
      <c r="R312" s="8">
        <v>-4.9068300000000002E-2</v>
      </c>
      <c r="S312" s="8">
        <v>-8.1007599999999999E-2</v>
      </c>
      <c r="T312" s="7">
        <f>C312-D312</f>
        <v>30.210152492438574</v>
      </c>
      <c r="U312" s="8">
        <f>D312/C312</f>
        <v>0.50440187052873331</v>
      </c>
      <c r="V312" s="8">
        <v>30.845887746714418</v>
      </c>
      <c r="W312" s="8">
        <v>24.657248194446531</v>
      </c>
      <c r="X312" s="8">
        <v>0.6140018018480875</v>
      </c>
      <c r="Y312" s="8">
        <v>70.260360121801838</v>
      </c>
      <c r="Z312" s="8">
        <v>61.18980717577012</v>
      </c>
      <c r="AA312" s="7">
        <v>31.8261562527412</v>
      </c>
      <c r="AB312" s="7">
        <v>23.158156232455941</v>
      </c>
      <c r="AC312" s="7">
        <v>0.61349599538217914</v>
      </c>
      <c r="AD312" s="7">
        <v>74.898432890762891</v>
      </c>
      <c r="AE312" s="7">
        <v>58.62192000904534</v>
      </c>
      <c r="AF312" s="8">
        <v>32.018184782918127</v>
      </c>
      <c r="AG312" s="8">
        <v>20.602788023422601</v>
      </c>
      <c r="AH312" s="8">
        <v>0.5887170671229931</v>
      </c>
      <c r="AI312" s="8">
        <v>80.789363859768784</v>
      </c>
      <c r="AJ312" s="8">
        <v>47.813592474863782</v>
      </c>
      <c r="AK312" s="8">
        <v>32.859777834319267</v>
      </c>
      <c r="AL312" s="8">
        <v>21.73055973902586</v>
      </c>
      <c r="AM312" s="8">
        <v>0.61463314758441778</v>
      </c>
      <c r="AN312" s="8">
        <v>79.451704279116498</v>
      </c>
      <c r="AO312" s="8">
        <v>56.611798054655637</v>
      </c>
      <c r="AP312" s="8">
        <v>31.49532469034126</v>
      </c>
      <c r="AQ312" s="8">
        <v>22.39680897385535</v>
      </c>
      <c r="AR312" s="8">
        <v>0.60015978110762791</v>
      </c>
      <c r="AS312" s="8">
        <v>75.293963808107691</v>
      </c>
      <c r="AT312" s="8">
        <v>57.968750106182263</v>
      </c>
      <c r="AU312" s="8">
        <v>29.790608311643211</v>
      </c>
      <c r="AV312" s="8">
        <v>23.09909183601992</v>
      </c>
      <c r="AW312" s="8">
        <v>0.61283032561906892</v>
      </c>
      <c r="AX312" s="8">
        <v>71.474847527946267</v>
      </c>
      <c r="AY312" s="8">
        <v>60.330742139436957</v>
      </c>
      <c r="AZ312" s="8">
        <v>34.494860337856302</v>
      </c>
      <c r="BA312" s="8">
        <v>22.64936259072018</v>
      </c>
      <c r="BB312" s="8">
        <v>0.62875597173541908</v>
      </c>
      <c r="BC312" s="8">
        <v>78.971234373485061</v>
      </c>
      <c r="BD312" s="8">
        <v>67.643567504716557</v>
      </c>
      <c r="BE312" s="8">
        <v>41.244313215116208</v>
      </c>
      <c r="BF312" s="8">
        <v>27.71332841992913</v>
      </c>
      <c r="BG312" s="8">
        <v>0.67403786010562772</v>
      </c>
      <c r="BH312" s="8">
        <v>72.915024765920165</v>
      </c>
      <c r="BI312" s="8">
        <v>93.057514841557889</v>
      </c>
    </row>
    <row r="313" spans="1:61" x14ac:dyDescent="0.15">
      <c r="A313" s="7">
        <v>2021</v>
      </c>
      <c r="B313" s="7">
        <v>78</v>
      </c>
      <c r="C313" s="7">
        <v>89.338389832791847</v>
      </c>
      <c r="D313" s="7">
        <v>88.935731084316544</v>
      </c>
      <c r="E313" s="8">
        <v>22.03410901670814</v>
      </c>
      <c r="F313" s="8">
        <v>20.875403350505959</v>
      </c>
      <c r="G313" s="8">
        <v>0.60390638437379118</v>
      </c>
      <c r="H313" s="8">
        <v>75.096760030286376</v>
      </c>
      <c r="I313" s="8">
        <v>30.707591737761319</v>
      </c>
      <c r="J313" s="8">
        <v>28.220389344434739</v>
      </c>
      <c r="K313" s="8">
        <v>31.03046027741253</v>
      </c>
      <c r="L313" s="8">
        <v>0.7407871276748067</v>
      </c>
      <c r="M313" s="8">
        <v>67.408230668709621</v>
      </c>
      <c r="N313" s="8">
        <v>44.918762320927257</v>
      </c>
      <c r="O313" s="8">
        <v>290.92899999999997</v>
      </c>
      <c r="P313" s="8">
        <v>286.28699999999998</v>
      </c>
      <c r="Q313" s="8">
        <v>100.431</v>
      </c>
      <c r="R313" s="8">
        <v>-0.62866900000000003</v>
      </c>
      <c r="S313" s="8">
        <v>-4.94647E-2</v>
      </c>
      <c r="T313" s="7">
        <f>C313-D313</f>
        <v>0.4026587484753037</v>
      </c>
      <c r="U313" s="8">
        <f>D313/C313</f>
        <v>0.99549288106458012</v>
      </c>
      <c r="V313" s="8">
        <v>23.994818251674079</v>
      </c>
      <c r="W313" s="8">
        <v>21.98738466851227</v>
      </c>
      <c r="X313" s="8">
        <v>0.6418014505448385</v>
      </c>
      <c r="Y313" s="8">
        <v>74.437307851637456</v>
      </c>
      <c r="Z313" s="8">
        <v>32.796397456317962</v>
      </c>
      <c r="AA313" s="7">
        <v>26.107603798054409</v>
      </c>
      <c r="AB313" s="7">
        <v>26.5089224729624</v>
      </c>
      <c r="AC313" s="7">
        <v>0.6912942891098226</v>
      </c>
      <c r="AD313" s="7">
        <v>70.922769260173538</v>
      </c>
      <c r="AE313" s="7">
        <v>38.85757988862261</v>
      </c>
      <c r="AF313" s="8">
        <v>27.919615374702548</v>
      </c>
      <c r="AG313" s="8">
        <v>32.132542868834371</v>
      </c>
      <c r="AH313" s="8">
        <v>0.7329760902885476</v>
      </c>
      <c r="AI313" s="8">
        <v>67.385804915606926</v>
      </c>
      <c r="AJ313" s="8">
        <v>45.20785009689007</v>
      </c>
      <c r="AK313" s="8">
        <v>28.259321599397339</v>
      </c>
      <c r="AL313" s="8">
        <v>30.887806441785429</v>
      </c>
      <c r="AM313" s="8">
        <v>0.7417981902322317</v>
      </c>
      <c r="AN313" s="8">
        <v>67.411133463583454</v>
      </c>
      <c r="AO313" s="8">
        <v>44.881342729696073</v>
      </c>
      <c r="AP313" s="8">
        <v>28.31489509619427</v>
      </c>
      <c r="AQ313" s="8">
        <v>29.58846372225624</v>
      </c>
      <c r="AR313" s="8">
        <v>0.73822907201312216</v>
      </c>
      <c r="AS313" s="8">
        <v>68.833275780200978</v>
      </c>
      <c r="AT313" s="8">
        <v>42.730007300890179</v>
      </c>
      <c r="AU313" s="8">
        <v>29.41189654869094</v>
      </c>
      <c r="AV313" s="8">
        <v>26.113088677822951</v>
      </c>
      <c r="AW313" s="8">
        <v>0.68119640374847656</v>
      </c>
      <c r="AX313" s="8">
        <v>67.571439285082974</v>
      </c>
      <c r="AY313" s="8">
        <v>41.123615400302363</v>
      </c>
      <c r="AZ313" s="8">
        <v>29.87245199170712</v>
      </c>
      <c r="BA313" s="8">
        <v>31.560045635719909</v>
      </c>
      <c r="BB313" s="8">
        <v>0.74778386508207662</v>
      </c>
      <c r="BC313" s="8">
        <v>66.894401077197656</v>
      </c>
      <c r="BD313" s="8">
        <v>48.46224525379963</v>
      </c>
      <c r="BE313" s="8">
        <v>36.954096157888401</v>
      </c>
      <c r="BF313" s="8">
        <v>31.58041010569552</v>
      </c>
      <c r="BG313" s="8">
        <v>0.60228308042827794</v>
      </c>
      <c r="BH313" s="8">
        <v>64.267776450295315</v>
      </c>
      <c r="BI313" s="8">
        <v>53.072740757115938</v>
      </c>
    </row>
    <row r="314" spans="1:61" x14ac:dyDescent="0.15">
      <c r="A314" s="7">
        <v>2019</v>
      </c>
      <c r="B314" s="7">
        <v>111</v>
      </c>
      <c r="C314" s="7">
        <v>35.083177015050964</v>
      </c>
      <c r="D314" s="7">
        <v>1.8848135601920832</v>
      </c>
      <c r="E314" s="8">
        <v>35.026077207964143</v>
      </c>
      <c r="F314" s="8">
        <v>19.98765101306553</v>
      </c>
      <c r="G314" s="8">
        <v>0.60392981644147425</v>
      </c>
      <c r="H314" s="8">
        <v>58.214470072309631</v>
      </c>
      <c r="I314" s="8">
        <v>45.313444483953567</v>
      </c>
      <c r="J314" s="8">
        <v>25.157035891071491</v>
      </c>
      <c r="K314" s="8">
        <v>13.66388162367155</v>
      </c>
      <c r="L314" s="8">
        <v>0.51473302004590749</v>
      </c>
      <c r="M314" s="8">
        <v>64.266261455360436</v>
      </c>
      <c r="N314" s="8">
        <v>49.965617537876398</v>
      </c>
      <c r="O314" s="8">
        <v>278.75</v>
      </c>
      <c r="P314" s="8">
        <v>269.928</v>
      </c>
      <c r="Q314" s="8">
        <v>99.602999999999994</v>
      </c>
      <c r="R314" s="8">
        <v>1.1697</v>
      </c>
      <c r="S314" s="8">
        <v>-0.15112300000000001</v>
      </c>
      <c r="T314" s="7">
        <f>C314-D314</f>
        <v>33.198363454858878</v>
      </c>
      <c r="U314" s="8">
        <f>D314/C314</f>
        <v>5.3724141328006958E-2</v>
      </c>
      <c r="V314" s="8">
        <v>28.500304097270071</v>
      </c>
      <c r="W314" s="8">
        <v>19.731549431893249</v>
      </c>
      <c r="X314" s="8">
        <v>0.58963255927257308</v>
      </c>
      <c r="Y314" s="8">
        <v>65.119168444165879</v>
      </c>
      <c r="Z314" s="8">
        <v>53.131943174572029</v>
      </c>
      <c r="AA314" s="7">
        <v>26.828669994170781</v>
      </c>
      <c r="AB314" s="7">
        <v>16.6977155277824</v>
      </c>
      <c r="AC314" s="7">
        <v>0.55218278965924028</v>
      </c>
      <c r="AD314" s="7">
        <v>64.692714949763158</v>
      </c>
      <c r="AE314" s="7">
        <v>51.548780356224214</v>
      </c>
      <c r="AF314" s="8">
        <v>25.34461418512598</v>
      </c>
      <c r="AG314" s="8">
        <v>12.295984131383809</v>
      </c>
      <c r="AH314" s="8">
        <v>0.49417822243107251</v>
      </c>
      <c r="AI314" s="8">
        <v>63.757028381646109</v>
      </c>
      <c r="AJ314" s="8">
        <v>48.554372915149713</v>
      </c>
      <c r="AK314" s="8">
        <v>25.14037105154328</v>
      </c>
      <c r="AL314" s="8">
        <v>13.785408436328179</v>
      </c>
      <c r="AM314" s="8">
        <v>0.51655915033199729</v>
      </c>
      <c r="AN314" s="8">
        <v>64.31150276378942</v>
      </c>
      <c r="AO314" s="8">
        <v>50.09099539831238</v>
      </c>
      <c r="AP314" s="8">
        <v>25.90597204816072</v>
      </c>
      <c r="AQ314" s="8">
        <v>15.28937914928216</v>
      </c>
      <c r="AR314" s="8">
        <v>0.53479255536858994</v>
      </c>
      <c r="AS314" s="8">
        <v>64.835371753081674</v>
      </c>
      <c r="AT314" s="8">
        <v>51.324928357291739</v>
      </c>
      <c r="AU314" s="8">
        <v>25.17494651884525</v>
      </c>
      <c r="AV314" s="8">
        <v>14.692385017219889</v>
      </c>
      <c r="AW314" s="8">
        <v>0.5184693521835535</v>
      </c>
      <c r="AX314" s="8">
        <v>67.168753257666779</v>
      </c>
      <c r="AY314" s="8">
        <v>50.336353968296343</v>
      </c>
      <c r="AZ314" s="8">
        <v>26.99339471927015</v>
      </c>
      <c r="BA314" s="8">
        <v>16.520482385482271</v>
      </c>
      <c r="BB314" s="8">
        <v>0.55489971461337784</v>
      </c>
      <c r="BC314" s="8">
        <v>64.797362152199284</v>
      </c>
      <c r="BD314" s="8">
        <v>52.019908618534451</v>
      </c>
      <c r="BE314" s="8">
        <v>30.033117170046751</v>
      </c>
      <c r="BF314" s="8">
        <v>22.566204128835491</v>
      </c>
      <c r="BG314" s="8">
        <v>0.567216225248388</v>
      </c>
      <c r="BH314" s="8">
        <v>66.842452446606956</v>
      </c>
      <c r="BI314" s="8">
        <v>56.465800557643028</v>
      </c>
    </row>
    <row r="315" spans="1:61" x14ac:dyDescent="0.15">
      <c r="A315" s="7">
        <v>2022</v>
      </c>
      <c r="B315" s="7">
        <v>2</v>
      </c>
      <c r="C315" s="7">
        <v>232.80408352960671</v>
      </c>
      <c r="D315" s="7">
        <v>194.91357370240129</v>
      </c>
      <c r="E315" s="8">
        <v>25.665706568846939</v>
      </c>
      <c r="F315" s="8">
        <v>22.122534391000041</v>
      </c>
      <c r="G315" s="8">
        <v>0.60486315111333722</v>
      </c>
      <c r="H315" s="8">
        <v>66.431333896682673</v>
      </c>
      <c r="I315" s="8">
        <v>45.643846272216237</v>
      </c>
      <c r="J315" s="8">
        <v>33.551043569041887</v>
      </c>
      <c r="K315" s="8">
        <v>33.172590685834066</v>
      </c>
      <c r="L315" s="8">
        <v>0.69926227184784728</v>
      </c>
      <c r="M315" s="8">
        <v>61.39119368187589</v>
      </c>
      <c r="N315" s="8">
        <v>57.029369787134392</v>
      </c>
      <c r="O315" s="8">
        <v>282.84500000000003</v>
      </c>
      <c r="P315" s="8">
        <v>273.08999999999997</v>
      </c>
      <c r="Q315" s="8">
        <v>95.0852</v>
      </c>
      <c r="R315" s="8">
        <v>0.55964700000000001</v>
      </c>
      <c r="S315" s="8">
        <v>-0.30912800000000001</v>
      </c>
      <c r="T315" s="7">
        <f>C315-D315</f>
        <v>37.89050982720542</v>
      </c>
      <c r="U315" s="8">
        <f>D315/C315</f>
        <v>0.83724293297292307</v>
      </c>
      <c r="V315" s="8">
        <v>27.662282658769811</v>
      </c>
      <c r="W315" s="8">
        <v>23.873888969172214</v>
      </c>
      <c r="X315" s="8">
        <v>0.60323814217691452</v>
      </c>
      <c r="Y315" s="8">
        <v>66.945166289520003</v>
      </c>
      <c r="Z315" s="8">
        <v>50.833482567757251</v>
      </c>
      <c r="AA315" s="7">
        <v>30.606663113905849</v>
      </c>
      <c r="AB315" s="7">
        <v>28.52323982750314</v>
      </c>
      <c r="AC315" s="7">
        <v>0.6512502070123809</v>
      </c>
      <c r="AD315" s="7">
        <v>64.168179985697947</v>
      </c>
      <c r="AE315" s="7">
        <v>53.931426177445822</v>
      </c>
      <c r="AF315" s="8">
        <v>33.331750598313597</v>
      </c>
      <c r="AG315" s="8">
        <v>32.474902325112588</v>
      </c>
      <c r="AH315" s="8">
        <v>0.70307630877895744</v>
      </c>
      <c r="AI315" s="8">
        <v>61.216361631992342</v>
      </c>
      <c r="AJ315" s="8">
        <v>51.413739363462462</v>
      </c>
      <c r="AK315" s="8">
        <v>33.570183215175717</v>
      </c>
      <c r="AL315" s="8">
        <v>33.233484148545386</v>
      </c>
      <c r="AM315" s="8">
        <v>0.69892938695436246</v>
      </c>
      <c r="AN315" s="8">
        <v>61.406452828379798</v>
      </c>
      <c r="AO315" s="8">
        <v>57.519495753190057</v>
      </c>
      <c r="AP315" s="8">
        <v>35.115993967445313</v>
      </c>
      <c r="AQ315" s="8">
        <v>35.393083269974397</v>
      </c>
      <c r="AR315" s="8">
        <v>0.67786271471158532</v>
      </c>
      <c r="AS315" s="8">
        <v>62.086466289961947</v>
      </c>
      <c r="AT315" s="8">
        <v>58.637892662339873</v>
      </c>
      <c r="AU315" s="8">
        <v>29.142087084666159</v>
      </c>
      <c r="AV315" s="8">
        <v>28.128441938385979</v>
      </c>
      <c r="AW315" s="8">
        <v>0.64008875641153784</v>
      </c>
      <c r="AX315" s="8">
        <v>62.757196903929703</v>
      </c>
      <c r="AY315" s="8">
        <v>49.210526103684828</v>
      </c>
      <c r="AZ315" s="8">
        <v>36.337667899317807</v>
      </c>
      <c r="BA315" s="8">
        <v>34.780257883458553</v>
      </c>
      <c r="BB315" s="8">
        <v>0.72017813803564934</v>
      </c>
      <c r="BC315" s="8">
        <v>61.853640265114102</v>
      </c>
      <c r="BD315" s="8">
        <v>67.694943880096133</v>
      </c>
      <c r="BE315" s="8">
        <v>37.256219760071623</v>
      </c>
      <c r="BF315" s="8">
        <v>31.238130618630411</v>
      </c>
      <c r="BG315" s="8">
        <v>0.78270236015352257</v>
      </c>
      <c r="BH315" s="8">
        <v>57.579187908396591</v>
      </c>
      <c r="BI315" s="8">
        <v>65.492473973319932</v>
      </c>
    </row>
    <row r="316" spans="1:61" x14ac:dyDescent="0.15">
      <c r="A316" s="7">
        <v>2020</v>
      </c>
      <c r="B316" s="7">
        <v>39</v>
      </c>
      <c r="C316" s="7">
        <v>70.638836626361083</v>
      </c>
      <c r="D316" s="7">
        <v>57.846711142060833</v>
      </c>
      <c r="E316" s="8">
        <v>36.550115083549137</v>
      </c>
      <c r="F316" s="8">
        <v>30.405059424688179</v>
      </c>
      <c r="G316" s="8">
        <v>0.60537545140323001</v>
      </c>
      <c r="H316" s="8">
        <v>70.967753721195791</v>
      </c>
      <c r="I316" s="8">
        <v>52.014453462276009</v>
      </c>
      <c r="J316" s="8">
        <v>33.934848294846716</v>
      </c>
      <c r="K316" s="8">
        <v>25.933251797515119</v>
      </c>
      <c r="L316" s="8">
        <v>0.65263592191894404</v>
      </c>
      <c r="M316" s="8">
        <v>76.965548599654696</v>
      </c>
      <c r="N316" s="8">
        <v>52.757331044401447</v>
      </c>
      <c r="O316" s="8">
        <v>289.02199999999999</v>
      </c>
      <c r="P316" s="8">
        <v>284.17099999999999</v>
      </c>
      <c r="Q316" s="8">
        <v>101.718</v>
      </c>
      <c r="R316" s="8">
        <v>-0.69125099999999995</v>
      </c>
      <c r="S316" s="8">
        <v>-0.30122700000000002</v>
      </c>
      <c r="T316" s="7">
        <f>C316-D316</f>
        <v>12.79212548430025</v>
      </c>
      <c r="U316" s="8">
        <f>D316/C316</f>
        <v>0.81890803847799398</v>
      </c>
      <c r="V316" s="8">
        <v>36.09786071976211</v>
      </c>
      <c r="W316" s="8">
        <v>29.461309016673901</v>
      </c>
      <c r="X316" s="8">
        <v>0.62909033756536881</v>
      </c>
      <c r="Y316" s="8">
        <v>73.098150765117893</v>
      </c>
      <c r="Z316" s="8">
        <v>48.038734787548812</v>
      </c>
      <c r="AA316" s="7">
        <v>35.016354507304413</v>
      </c>
      <c r="AB316" s="7">
        <v>27.69728040709451</v>
      </c>
      <c r="AC316" s="7">
        <v>0.64086312974215642</v>
      </c>
      <c r="AD316" s="7">
        <v>75.031849682386294</v>
      </c>
      <c r="AE316" s="7">
        <v>50.398032915975129</v>
      </c>
      <c r="AF316" s="8">
        <v>31.28338013286649</v>
      </c>
      <c r="AG316" s="8">
        <v>26.201052838989099</v>
      </c>
      <c r="AH316" s="8">
        <v>0.64480078419024967</v>
      </c>
      <c r="AI316" s="8">
        <v>78.392857844709269</v>
      </c>
      <c r="AJ316" s="8">
        <v>48.136251293688552</v>
      </c>
      <c r="AK316" s="8">
        <v>34.104215419361338</v>
      </c>
      <c r="AL316" s="8">
        <v>25.91614554182371</v>
      </c>
      <c r="AM316" s="8">
        <v>0.65313640492164893</v>
      </c>
      <c r="AN316" s="8">
        <v>76.874376747737216</v>
      </c>
      <c r="AO316" s="8">
        <v>53.052510522983788</v>
      </c>
      <c r="AP316" s="8">
        <v>34.48859406077441</v>
      </c>
      <c r="AQ316" s="8">
        <v>27.131218782377911</v>
      </c>
      <c r="AR316" s="8">
        <v>0.62177585835884353</v>
      </c>
      <c r="AS316" s="8">
        <v>75.504950510476235</v>
      </c>
      <c r="AT316" s="8">
        <v>48.313653805834903</v>
      </c>
      <c r="AU316" s="8">
        <v>41.937834335606162</v>
      </c>
      <c r="AV316" s="8">
        <v>30.203370274241809</v>
      </c>
      <c r="AW316" s="8">
        <v>0.68089330702295359</v>
      </c>
      <c r="AX316" s="8">
        <v>69.599220472221731</v>
      </c>
      <c r="AY316" s="8">
        <v>68.181128680456538</v>
      </c>
      <c r="AZ316" s="8">
        <v>35.612737680891911</v>
      </c>
      <c r="BA316" s="8">
        <v>26.088096231822941</v>
      </c>
      <c r="BB316" s="8">
        <v>0.646237750620961</v>
      </c>
      <c r="BC316" s="8">
        <v>75.77721301282898</v>
      </c>
      <c r="BD316" s="8">
        <v>56.027679896206891</v>
      </c>
      <c r="BE316" s="8">
        <v>39.13799433334087</v>
      </c>
      <c r="BF316" s="8">
        <v>31.1246483677584</v>
      </c>
      <c r="BG316" s="8">
        <v>0.65026749589392585</v>
      </c>
      <c r="BH316" s="8">
        <v>72.030669466020839</v>
      </c>
      <c r="BI316" s="8">
        <v>63.797276122397761</v>
      </c>
    </row>
    <row r="317" spans="1:61" x14ac:dyDescent="0.15">
      <c r="A317" s="7">
        <v>2020</v>
      </c>
      <c r="B317" s="7">
        <v>136</v>
      </c>
      <c r="C317" s="7">
        <v>39.02332946718446</v>
      </c>
      <c r="D317" s="7">
        <v>26.383706635530615</v>
      </c>
      <c r="E317" s="8">
        <v>27.631229524800219</v>
      </c>
      <c r="F317" s="8">
        <v>13.19647075476982</v>
      </c>
      <c r="G317" s="8">
        <v>0.60573163556432696</v>
      </c>
      <c r="H317" s="8">
        <v>71.921940333525896</v>
      </c>
      <c r="I317" s="8">
        <v>48.29554778518753</v>
      </c>
      <c r="J317" s="8">
        <v>31.09080094418816</v>
      </c>
      <c r="K317" s="8">
        <v>18.904461920420111</v>
      </c>
      <c r="L317" s="8">
        <v>0.62097556003907561</v>
      </c>
      <c r="M317" s="8">
        <v>57.915516506566753</v>
      </c>
      <c r="N317" s="8">
        <v>48.35371112225971</v>
      </c>
      <c r="O317" s="8">
        <v>289.59399999999999</v>
      </c>
      <c r="P317" s="8">
        <v>285.62799999999999</v>
      </c>
      <c r="Q317" s="8">
        <v>93.997399999999999</v>
      </c>
      <c r="R317" s="8">
        <v>-0.68360399999999999</v>
      </c>
      <c r="S317" s="8">
        <v>-0.480738</v>
      </c>
      <c r="T317" s="7">
        <f>C317-D317</f>
        <v>12.639622831653845</v>
      </c>
      <c r="U317" s="8">
        <f>D317/C317</f>
        <v>0.67610086058180219</v>
      </c>
      <c r="V317" s="8">
        <v>26.874001956293441</v>
      </c>
      <c r="W317" s="8">
        <v>13.011847531563507</v>
      </c>
      <c r="X317" s="8">
        <v>0.59158479350434923</v>
      </c>
      <c r="Y317" s="8">
        <v>71.230748129706939</v>
      </c>
      <c r="Z317" s="8">
        <v>48.392620989096017</v>
      </c>
      <c r="AA317" s="7">
        <v>28.982401450240801</v>
      </c>
      <c r="AB317" s="7">
        <v>15.958154725991809</v>
      </c>
      <c r="AC317" s="7">
        <v>0.60628017677171242</v>
      </c>
      <c r="AD317" s="7">
        <v>64.573132318136842</v>
      </c>
      <c r="AE317" s="7">
        <v>48.373166055677864</v>
      </c>
      <c r="AF317" s="8">
        <v>31.549264767992831</v>
      </c>
      <c r="AG317" s="8">
        <v>19.336728597073471</v>
      </c>
      <c r="AH317" s="8">
        <v>0.63255945144475989</v>
      </c>
      <c r="AI317" s="8">
        <v>57.924434617160713</v>
      </c>
      <c r="AJ317" s="8">
        <v>49.087400948479143</v>
      </c>
      <c r="AK317" s="8">
        <v>31.03678538291879</v>
      </c>
      <c r="AL317" s="8">
        <v>18.85353287008914</v>
      </c>
      <c r="AM317" s="8">
        <v>0.61961076228738188</v>
      </c>
      <c r="AN317" s="8">
        <v>57.914465787351439</v>
      </c>
      <c r="AO317" s="8">
        <v>48.267268821464889</v>
      </c>
      <c r="AP317" s="8">
        <v>30.34953680940902</v>
      </c>
      <c r="AQ317" s="8">
        <v>18.902787725958209</v>
      </c>
      <c r="AR317" s="8">
        <v>0.60183444476737913</v>
      </c>
      <c r="AS317" s="8">
        <v>56.329295154642772</v>
      </c>
      <c r="AT317" s="8">
        <v>48.247771467248519</v>
      </c>
      <c r="AU317" s="8">
        <v>28.016119510054491</v>
      </c>
      <c r="AV317" s="8">
        <v>19.422350093405111</v>
      </c>
      <c r="AW317" s="8">
        <v>0.63121808656306455</v>
      </c>
      <c r="AX317" s="8">
        <v>60.010872040072613</v>
      </c>
      <c r="AY317" s="8">
        <v>45.542979802011807</v>
      </c>
      <c r="AZ317" s="8">
        <v>32.543444866585219</v>
      </c>
      <c r="BA317" s="8">
        <v>22.65946269738641</v>
      </c>
      <c r="BB317" s="8">
        <v>0.65929434778858298</v>
      </c>
      <c r="BC317" s="8">
        <v>55.156892971861161</v>
      </c>
      <c r="BD317" s="8">
        <v>49.92360550075297</v>
      </c>
      <c r="BE317" s="8">
        <v>33.483765668333412</v>
      </c>
      <c r="BF317" s="8">
        <v>29.227211510247919</v>
      </c>
      <c r="BG317" s="8">
        <v>0.75048083133460486</v>
      </c>
      <c r="BH317" s="8">
        <v>60.591876420070633</v>
      </c>
      <c r="BI317" s="8">
        <v>49.523605449195287</v>
      </c>
    </row>
    <row r="318" spans="1:61" x14ac:dyDescent="0.15">
      <c r="A318" s="7">
        <v>2022</v>
      </c>
      <c r="B318" s="7">
        <v>149</v>
      </c>
      <c r="C318" s="7">
        <v>30.074678414719983</v>
      </c>
      <c r="D318" s="7">
        <v>27.496535625954216</v>
      </c>
      <c r="E318" s="8">
        <v>31.131917374150301</v>
      </c>
      <c r="F318" s="8">
        <v>20.649123305149931</v>
      </c>
      <c r="G318" s="8">
        <v>0.60599403887303749</v>
      </c>
      <c r="H318" s="8">
        <v>75.509923074865256</v>
      </c>
      <c r="I318" s="8">
        <v>41.064766944810742</v>
      </c>
      <c r="J318" s="8">
        <v>34.182250546462512</v>
      </c>
      <c r="K318" s="8">
        <v>21.877378822894769</v>
      </c>
      <c r="L318" s="8">
        <v>0.5718227478843142</v>
      </c>
      <c r="M318" s="8">
        <v>73.294634751953438</v>
      </c>
      <c r="N318" s="8">
        <v>52.884346468242349</v>
      </c>
      <c r="O318" s="8">
        <v>289.31400000000002</v>
      </c>
      <c r="P318" s="8">
        <v>282.35199999999998</v>
      </c>
      <c r="Q318" s="8">
        <v>101.261</v>
      </c>
      <c r="R318" s="8">
        <v>-0.68452500000000005</v>
      </c>
      <c r="S318" s="8">
        <v>0.176625</v>
      </c>
      <c r="T318" s="7">
        <f>C318-D318</f>
        <v>2.5781427887657671</v>
      </c>
      <c r="U318" s="8">
        <f>D318/C318</f>
        <v>0.91427529986475597</v>
      </c>
      <c r="V318" s="8">
        <v>29.43431758766603</v>
      </c>
      <c r="W318" s="8">
        <v>26.078454077895607</v>
      </c>
      <c r="X318" s="8">
        <v>0.56989419806019403</v>
      </c>
      <c r="Y318" s="8">
        <v>62.369098263704146</v>
      </c>
      <c r="Z318" s="8">
        <v>47.966411790817808</v>
      </c>
      <c r="AA318" s="7">
        <v>31.808284067064271</v>
      </c>
      <c r="AB318" s="7">
        <v>23.977916450395188</v>
      </c>
      <c r="AC318" s="7">
        <v>0.57085847297225412</v>
      </c>
      <c r="AD318" s="7">
        <v>67.831866507828792</v>
      </c>
      <c r="AE318" s="7">
        <v>50.425379129530079</v>
      </c>
      <c r="AF318" s="8">
        <v>34.836950012368021</v>
      </c>
      <c r="AG318" s="8">
        <v>21.196804247899809</v>
      </c>
      <c r="AH318" s="8">
        <v>0.53458854132622746</v>
      </c>
      <c r="AI318" s="8">
        <v>74.90434131046672</v>
      </c>
      <c r="AJ318" s="8">
        <v>47.558935650496849</v>
      </c>
      <c r="AK318" s="8">
        <v>34.131233099982289</v>
      </c>
      <c r="AL318" s="8">
        <v>21.93041258687925</v>
      </c>
      <c r="AM318" s="8">
        <v>0.57472422289572767</v>
      </c>
      <c r="AN318" s="8">
        <v>73.169198391494191</v>
      </c>
      <c r="AO318" s="8">
        <v>53.299329029750552</v>
      </c>
      <c r="AP318" s="8">
        <v>31.32472452193743</v>
      </c>
      <c r="AQ318" s="8">
        <v>24.434690994300169</v>
      </c>
      <c r="AR318" s="8">
        <v>0.56941458119508137</v>
      </c>
      <c r="AS318" s="8">
        <v>66.567819557626038</v>
      </c>
      <c r="AT318" s="8">
        <v>49.200290816154499</v>
      </c>
      <c r="AU318" s="8">
        <v>28.441347853049098</v>
      </c>
      <c r="AV318" s="8">
        <v>19.13227258385502</v>
      </c>
      <c r="AW318" s="8">
        <v>0.47768364037831579</v>
      </c>
      <c r="AX318" s="8">
        <v>73.085485291689608</v>
      </c>
      <c r="AY318" s="8">
        <v>53.793621542606473</v>
      </c>
      <c r="AZ318" s="8">
        <v>34.013407095770631</v>
      </c>
      <c r="BA318" s="8">
        <v>21.740618315627621</v>
      </c>
      <c r="BB318" s="8">
        <v>0.5720476321013066</v>
      </c>
      <c r="BC318" s="8">
        <v>73.644855019343339</v>
      </c>
      <c r="BD318" s="8">
        <v>56.302928963015709</v>
      </c>
      <c r="BE318" s="8">
        <v>39.966128224487143</v>
      </c>
      <c r="BF318" s="8">
        <v>28.44457679982677</v>
      </c>
      <c r="BG318" s="8">
        <v>0.70347768846715608</v>
      </c>
      <c r="BH318" s="8">
        <v>71.34862018360846</v>
      </c>
      <c r="BI318" s="8">
        <v>76.8081052722859</v>
      </c>
    </row>
    <row r="319" spans="1:61" x14ac:dyDescent="0.15">
      <c r="A319" s="7">
        <v>2023</v>
      </c>
      <c r="B319" s="7">
        <v>103</v>
      </c>
      <c r="C319" s="9">
        <v>115.75053641502302</v>
      </c>
      <c r="D319" s="7">
        <v>113.62134925490959</v>
      </c>
      <c r="E319" s="8">
        <v>33.817831368265843</v>
      </c>
      <c r="F319" s="8">
        <v>20.344080106905839</v>
      </c>
      <c r="G319" s="8">
        <v>0.60625882832582456</v>
      </c>
      <c r="H319" s="8">
        <v>73.647578345821685</v>
      </c>
      <c r="I319" s="8">
        <v>66.028719654021046</v>
      </c>
      <c r="J319" s="8">
        <v>34.789393801026883</v>
      </c>
      <c r="K319" s="8">
        <v>21.655399855368799</v>
      </c>
      <c r="L319" s="8">
        <v>0.57337903490145692</v>
      </c>
      <c r="M319" s="8">
        <v>78.233556433510628</v>
      </c>
      <c r="N319" s="8">
        <v>70.993708605266761</v>
      </c>
      <c r="O319" s="7">
        <v>289.97699999999998</v>
      </c>
      <c r="P319" s="7">
        <v>283.553</v>
      </c>
      <c r="Q319" s="7">
        <v>101.255</v>
      </c>
      <c r="R319" s="7">
        <v>-0.52775399999999995</v>
      </c>
      <c r="S319" s="7">
        <v>-4.5266500000000001E-2</v>
      </c>
      <c r="T319" s="7">
        <f>C319-D319</f>
        <v>2.1291871601134318</v>
      </c>
      <c r="U319" s="8">
        <f>D319/C319</f>
        <v>0.98160537975842077</v>
      </c>
      <c r="V319" s="8">
        <v>33.833057053549503</v>
      </c>
      <c r="W319" s="8">
        <v>21.020330383351222</v>
      </c>
      <c r="X319" s="8">
        <v>0.61632649668445216</v>
      </c>
      <c r="Y319" s="8">
        <v>79.523900191521463</v>
      </c>
      <c r="Z319" s="8">
        <v>63.776988337431078</v>
      </c>
      <c r="AA319" s="7">
        <v>34.311225427288193</v>
      </c>
      <c r="AB319" s="7">
        <v>21.337865119360011</v>
      </c>
      <c r="AC319" s="7">
        <v>0.59485276579295454</v>
      </c>
      <c r="AD319" s="7">
        <v>78.878728312516046</v>
      </c>
      <c r="AE319" s="7">
        <v>67.385348471348919</v>
      </c>
      <c r="AF319" s="8">
        <v>35.672231249141447</v>
      </c>
      <c r="AG319" s="8">
        <v>22.741035949589609</v>
      </c>
      <c r="AH319" s="8">
        <v>0.56767208083160481</v>
      </c>
      <c r="AI319" s="8">
        <v>77.49567256782899</v>
      </c>
      <c r="AJ319" s="8">
        <v>71.353945718387365</v>
      </c>
      <c r="AK319" s="8">
        <v>34.740853708516283</v>
      </c>
      <c r="AL319" s="8">
        <v>21.59570950517028</v>
      </c>
      <c r="AM319" s="8">
        <v>0.57369281415843787</v>
      </c>
      <c r="AN319" s="8">
        <v>78.274126700640508</v>
      </c>
      <c r="AO319" s="8">
        <v>70.973902079349699</v>
      </c>
      <c r="AP319" s="8">
        <v>34.50099048606755</v>
      </c>
      <c r="AQ319" s="8">
        <v>21.527425179414202</v>
      </c>
      <c r="AR319" s="8">
        <v>0.59876525871390052</v>
      </c>
      <c r="AS319" s="8">
        <v>79.176567522605083</v>
      </c>
      <c r="AT319" s="8">
        <v>67.031566012928607</v>
      </c>
      <c r="AU319" s="8">
        <v>32.555258433873362</v>
      </c>
      <c r="AV319" s="8">
        <v>30.736401791689541</v>
      </c>
      <c r="AW319" s="8">
        <v>0.65940524033392145</v>
      </c>
      <c r="AX319" s="8">
        <v>65.353526883589652</v>
      </c>
      <c r="AY319" s="8">
        <v>57.466337577369941</v>
      </c>
      <c r="AZ319" s="8">
        <v>33.836271278767313</v>
      </c>
      <c r="BA319" s="8">
        <v>20.403324946798371</v>
      </c>
      <c r="BB319" s="8">
        <v>0.57731610194068239</v>
      </c>
      <c r="BC319" s="8">
        <v>78.439072683281353</v>
      </c>
      <c r="BD319" s="8">
        <v>69.626117540718127</v>
      </c>
      <c r="BE319" s="8">
        <v>28.861235587180019</v>
      </c>
      <c r="BF319" s="8">
        <v>28.2458444487722</v>
      </c>
      <c r="BG319" s="8">
        <v>0.6626783914229738</v>
      </c>
      <c r="BH319" s="8">
        <v>66.526602317873824</v>
      </c>
      <c r="BI319" s="8">
        <v>63.721700661227253</v>
      </c>
    </row>
    <row r="320" spans="1:61" x14ac:dyDescent="0.15">
      <c r="A320" s="7">
        <v>2021</v>
      </c>
      <c r="B320" s="7">
        <v>25</v>
      </c>
      <c r="C320" s="7">
        <v>79.987304801928389</v>
      </c>
      <c r="D320" s="7">
        <v>1.2688218450378219</v>
      </c>
      <c r="E320" s="8">
        <v>25.872314897894309</v>
      </c>
      <c r="F320" s="8">
        <v>25.4036575209362</v>
      </c>
      <c r="G320" s="8">
        <v>0.60670330894493973</v>
      </c>
      <c r="H320" s="8">
        <v>73.911337762454195</v>
      </c>
      <c r="I320" s="8">
        <v>35.209203293995188</v>
      </c>
      <c r="J320" s="8">
        <v>30.139827505692178</v>
      </c>
      <c r="K320" s="8">
        <v>33.968749435926412</v>
      </c>
      <c r="L320" s="8">
        <v>0.72366568259063235</v>
      </c>
      <c r="M320" s="8">
        <v>66.704376104179943</v>
      </c>
      <c r="N320" s="8">
        <v>50.709784656669939</v>
      </c>
      <c r="O320" s="8">
        <v>290.75200000000001</v>
      </c>
      <c r="P320" s="8">
        <v>285.96600000000001</v>
      </c>
      <c r="Q320" s="8">
        <v>101.444</v>
      </c>
      <c r="R320" s="8">
        <v>-0.89327999999999996</v>
      </c>
      <c r="S320" s="8">
        <v>-4.4742999999999998E-2</v>
      </c>
      <c r="T320" s="7">
        <f>C320-D320</f>
        <v>78.718482956890568</v>
      </c>
      <c r="U320" s="8">
        <f>D320/C320</f>
        <v>1.5862790328787679E-2</v>
      </c>
      <c r="V320" s="8">
        <v>30.538828028842861</v>
      </c>
      <c r="W320" s="8">
        <v>28.246943540003585</v>
      </c>
      <c r="X320" s="8">
        <v>0.72926410677587727</v>
      </c>
      <c r="Y320" s="8">
        <v>70.097360017474784</v>
      </c>
      <c r="Z320" s="8">
        <v>46.942046762347246</v>
      </c>
      <c r="AA320" s="7">
        <v>30.33932776726752</v>
      </c>
      <c r="AB320" s="7">
        <v>31.107846487964999</v>
      </c>
      <c r="AC320" s="7">
        <v>0.72646489468325481</v>
      </c>
      <c r="AD320" s="7">
        <v>68.400868060827364</v>
      </c>
      <c r="AE320" s="7">
        <v>48.825915709508592</v>
      </c>
      <c r="AF320" s="8">
        <v>28.661902391429571</v>
      </c>
      <c r="AG320" s="8">
        <v>35.3005356265679</v>
      </c>
      <c r="AH320" s="8">
        <v>0.71595511078456664</v>
      </c>
      <c r="AI320" s="8">
        <v>66.880916360750476</v>
      </c>
      <c r="AJ320" s="8">
        <v>48.001984137609817</v>
      </c>
      <c r="AK320" s="8">
        <v>30.253272874538339</v>
      </c>
      <c r="AL320" s="8">
        <v>33.866521674747212</v>
      </c>
      <c r="AM320" s="8">
        <v>0.72425754523246189</v>
      </c>
      <c r="AN320" s="8">
        <v>66.690824893547187</v>
      </c>
      <c r="AO320" s="8">
        <v>50.917635126008427</v>
      </c>
      <c r="AP320" s="8">
        <v>29.481736980347691</v>
      </c>
      <c r="AQ320" s="8">
        <v>31.15707901416485</v>
      </c>
      <c r="AR320" s="8">
        <v>0.70037556042283611</v>
      </c>
      <c r="AS320" s="8">
        <v>68.730101027961467</v>
      </c>
      <c r="AT320" s="8">
        <v>47.831643042719577</v>
      </c>
      <c r="AU320" s="8">
        <v>35.954652007822759</v>
      </c>
      <c r="AV320" s="8">
        <v>30.11858908126203</v>
      </c>
      <c r="AW320" s="8">
        <v>0.64489703325987713</v>
      </c>
      <c r="AX320" s="8">
        <v>66.835248152528067</v>
      </c>
      <c r="AY320" s="8">
        <v>51.414345052899733</v>
      </c>
      <c r="AZ320" s="8">
        <v>32.172043888512313</v>
      </c>
      <c r="BA320" s="8">
        <v>32.53116380829033</v>
      </c>
      <c r="BB320" s="8">
        <v>0.73255026882045471</v>
      </c>
      <c r="BC320" s="8">
        <v>66.82773318129675</v>
      </c>
      <c r="BD320" s="8">
        <v>53.702014901002919</v>
      </c>
      <c r="BE320" s="8">
        <v>35.549076355919333</v>
      </c>
      <c r="BF320" s="8">
        <v>30.530168893295329</v>
      </c>
      <c r="BG320" s="8">
        <v>0.54148917172733335</v>
      </c>
      <c r="BH320" s="8">
        <v>60.88328859129836</v>
      </c>
      <c r="BI320" s="8">
        <v>55.720061171783662</v>
      </c>
    </row>
    <row r="321" spans="1:61" x14ac:dyDescent="0.15">
      <c r="A321" s="7">
        <v>2020</v>
      </c>
      <c r="B321" s="7">
        <v>79</v>
      </c>
      <c r="C321" s="7">
        <v>31.772044210852037</v>
      </c>
      <c r="D321" s="7">
        <v>2.6855205422537964</v>
      </c>
      <c r="E321" s="8">
        <v>20.825509817116501</v>
      </c>
      <c r="F321" s="8">
        <v>11.25211580117764</v>
      </c>
      <c r="G321" s="8">
        <v>0.60680824346271078</v>
      </c>
      <c r="H321" s="8">
        <v>62.857575836202408</v>
      </c>
      <c r="I321" s="8">
        <v>29.130751978210849</v>
      </c>
      <c r="J321" s="8">
        <v>20.812264852071511</v>
      </c>
      <c r="K321" s="8">
        <v>12.688129423284609</v>
      </c>
      <c r="L321" s="8">
        <v>0.63165043842947022</v>
      </c>
      <c r="M321" s="8">
        <v>58.998464800307588</v>
      </c>
      <c r="N321" s="8">
        <v>32.676621178401767</v>
      </c>
      <c r="O321" s="8">
        <v>288.11399999999998</v>
      </c>
      <c r="P321" s="8">
        <v>282.47899999999998</v>
      </c>
      <c r="Q321" s="8">
        <v>79.823899999999995</v>
      </c>
      <c r="R321" s="8">
        <v>0.29869800000000002</v>
      </c>
      <c r="S321" s="8">
        <v>1.1707700000000001</v>
      </c>
      <c r="T321" s="7">
        <f>C321-D321</f>
        <v>29.08652366859824</v>
      </c>
      <c r="U321" s="8">
        <f>D321/C321</f>
        <v>8.4524638214387604E-2</v>
      </c>
      <c r="V321" s="8">
        <v>21.233805063561146</v>
      </c>
      <c r="W321" s="8">
        <v>9.3745903171555316</v>
      </c>
      <c r="X321" s="8">
        <v>0.5832431587696868</v>
      </c>
      <c r="Y321" s="8">
        <v>61.962581355523838</v>
      </c>
      <c r="Z321" s="8">
        <v>30.037845325337635</v>
      </c>
      <c r="AA321" s="7">
        <v>21.023034957816328</v>
      </c>
      <c r="AB321" s="7">
        <v>11.03135987022007</v>
      </c>
      <c r="AC321" s="7">
        <v>0.60744679859957851</v>
      </c>
      <c r="AD321" s="7">
        <v>60.480523077915713</v>
      </c>
      <c r="AE321" s="7">
        <v>31.357233251869701</v>
      </c>
      <c r="AF321" s="8">
        <v>21.111321343945939</v>
      </c>
      <c r="AG321" s="8">
        <v>13.573209496100191</v>
      </c>
      <c r="AH321" s="8">
        <v>0.64296384214019187</v>
      </c>
      <c r="AI321" s="8">
        <v>58.827996330763767</v>
      </c>
      <c r="AJ321" s="8">
        <v>32.029013678208898</v>
      </c>
      <c r="AK321" s="8">
        <v>20.766669696555891</v>
      </c>
      <c r="AL321" s="8">
        <v>12.553187147626719</v>
      </c>
      <c r="AM321" s="8">
        <v>0.62992555896483104</v>
      </c>
      <c r="AN321" s="8">
        <v>59.024454994770998</v>
      </c>
      <c r="AO321" s="8">
        <v>32.775357589369818</v>
      </c>
      <c r="AP321" s="8">
        <v>21.251986332131899</v>
      </c>
      <c r="AQ321" s="8">
        <v>10.787467757529599</v>
      </c>
      <c r="AR321" s="8">
        <v>0.61004630125211479</v>
      </c>
      <c r="AS321" s="8">
        <v>57.988233230503091</v>
      </c>
      <c r="AT321" s="8">
        <v>33.769026975876287</v>
      </c>
      <c r="AU321" s="8">
        <v>20.392724672648161</v>
      </c>
      <c r="AV321" s="8">
        <v>10.512913373087139</v>
      </c>
      <c r="AW321" s="8">
        <v>0.57469715573428448</v>
      </c>
      <c r="AX321" s="8">
        <v>60.458641256199677</v>
      </c>
      <c r="AY321" s="8">
        <v>30.87362686296504</v>
      </c>
      <c r="AZ321" s="8">
        <v>22.568684155170772</v>
      </c>
      <c r="BA321" s="8">
        <v>17.342260101849309</v>
      </c>
      <c r="BB321" s="8">
        <v>0.70215379442165771</v>
      </c>
      <c r="BC321" s="8">
        <v>57.337280819323723</v>
      </c>
      <c r="BD321" s="8">
        <v>36.002514653787017</v>
      </c>
      <c r="BE321" s="8">
        <v>19.610938899082221</v>
      </c>
      <c r="BF321" s="8">
        <v>19.69844843055311</v>
      </c>
      <c r="BG321" s="8">
        <v>0.61504297568071431</v>
      </c>
      <c r="BH321" s="8">
        <v>61.773801310354209</v>
      </c>
      <c r="BI321" s="8">
        <v>39.022320249094321</v>
      </c>
    </row>
    <row r="322" spans="1:61" x14ac:dyDescent="0.15">
      <c r="A322" s="7">
        <v>2023</v>
      </c>
      <c r="B322" s="7">
        <v>148</v>
      </c>
      <c r="C322" s="9">
        <v>46.20607801878883</v>
      </c>
      <c r="D322" s="7">
        <v>23.591654519073241</v>
      </c>
      <c r="E322" s="8">
        <v>33.582379241477177</v>
      </c>
      <c r="F322" s="8">
        <v>17.790130056688071</v>
      </c>
      <c r="G322" s="8">
        <v>0.60704559545856729</v>
      </c>
      <c r="H322" s="8">
        <v>78.968683636303609</v>
      </c>
      <c r="I322" s="8">
        <v>68.889445122456536</v>
      </c>
      <c r="J322" s="8">
        <v>36.118708973775767</v>
      </c>
      <c r="K322" s="8">
        <v>23.30647022619711</v>
      </c>
      <c r="L322" s="8">
        <v>0.68297109857766214</v>
      </c>
      <c r="M322" s="8">
        <v>73.694409167038671</v>
      </c>
      <c r="N322" s="8">
        <v>83.338557222083054</v>
      </c>
      <c r="O322" s="7">
        <v>284.46699999999998</v>
      </c>
      <c r="P322" s="7">
        <v>275.13900000000001</v>
      </c>
      <c r="Q322" s="7">
        <v>89.816800000000001</v>
      </c>
      <c r="R322" s="7">
        <v>0.28548800000000002</v>
      </c>
      <c r="S322" s="10">
        <v>-4.7027999999999998E-5</v>
      </c>
      <c r="T322" s="7">
        <f>C322-D322</f>
        <v>22.614423499715588</v>
      </c>
      <c r="U322" s="8">
        <f>D322/C322</f>
        <v>0.51057470208746436</v>
      </c>
      <c r="V322" s="8">
        <v>34.075036019109788</v>
      </c>
      <c r="W322" s="8">
        <v>18.068664227594173</v>
      </c>
      <c r="X322" s="8">
        <v>0.57907127727079077</v>
      </c>
      <c r="Y322" s="8">
        <v>77.034336274688187</v>
      </c>
      <c r="Z322" s="8">
        <v>72.212138744323241</v>
      </c>
      <c r="AA322" s="7">
        <v>35.096872496442778</v>
      </c>
      <c r="AB322" s="7">
        <v>20.687567226895641</v>
      </c>
      <c r="AC322" s="7">
        <v>0.63102118792422646</v>
      </c>
      <c r="AD322" s="7">
        <v>75.364372720863429</v>
      </c>
      <c r="AE322" s="7">
        <v>77.775347983203147</v>
      </c>
      <c r="AF322" s="8">
        <v>35.341015896212816</v>
      </c>
      <c r="AG322" s="8">
        <v>23.036870236711898</v>
      </c>
      <c r="AH322" s="8">
        <v>0.69031497224346228</v>
      </c>
      <c r="AI322" s="8">
        <v>73.724056391272697</v>
      </c>
      <c r="AJ322" s="8">
        <v>81.494715984793388</v>
      </c>
      <c r="AK322" s="8">
        <v>36.224841683256813</v>
      </c>
      <c r="AL322" s="8">
        <v>23.343262860959641</v>
      </c>
      <c r="AM322" s="8">
        <v>0.68196887130738704</v>
      </c>
      <c r="AN322" s="8">
        <v>73.690363174696245</v>
      </c>
      <c r="AO322" s="8">
        <v>83.590188452978992</v>
      </c>
      <c r="AP322" s="8">
        <v>36.626793489744593</v>
      </c>
      <c r="AQ322" s="8">
        <v>22.862028199077901</v>
      </c>
      <c r="AR322" s="8">
        <v>0.66213146856763916</v>
      </c>
      <c r="AS322" s="8">
        <v>74.628728918816066</v>
      </c>
      <c r="AT322" s="8">
        <v>84.584042435396313</v>
      </c>
      <c r="AU322" s="8">
        <v>33.569908463333093</v>
      </c>
      <c r="AV322" s="8">
        <v>19.979766312648401</v>
      </c>
      <c r="AW322" s="8">
        <v>0.58384729233551125</v>
      </c>
      <c r="AX322" s="8">
        <v>72.117842985046707</v>
      </c>
      <c r="AY322" s="8">
        <v>75.999419723491442</v>
      </c>
      <c r="AZ322" s="8">
        <v>39.061178287794043</v>
      </c>
      <c r="BA322" s="8">
        <v>24.540418655745921</v>
      </c>
      <c r="BB322" s="8">
        <v>0.7367615637945345</v>
      </c>
      <c r="BC322" s="8">
        <v>73.394661589856923</v>
      </c>
      <c r="BD322" s="8">
        <v>87.064017011092517</v>
      </c>
      <c r="BE322" s="8">
        <v>34.70324467138127</v>
      </c>
      <c r="BF322" s="8">
        <v>27.905353042787169</v>
      </c>
      <c r="BG322" s="8">
        <v>0.71624549866207932</v>
      </c>
      <c r="BH322" s="8">
        <v>63.426791751503004</v>
      </c>
      <c r="BI322" s="8">
        <v>76.362486822235823</v>
      </c>
    </row>
    <row r="323" spans="1:61" x14ac:dyDescent="0.15">
      <c r="A323" s="7">
        <v>2020</v>
      </c>
      <c r="B323" s="7">
        <v>26</v>
      </c>
      <c r="C323" s="7">
        <v>32.670225985997085</v>
      </c>
      <c r="D323" s="7">
        <v>6.0051297188305881</v>
      </c>
      <c r="E323" s="8">
        <v>32.398255374816458</v>
      </c>
      <c r="F323" s="8">
        <v>23.861331558652509</v>
      </c>
      <c r="G323" s="8">
        <v>0.60788383346000241</v>
      </c>
      <c r="H323" s="8">
        <v>72.95597415925198</v>
      </c>
      <c r="I323" s="8">
        <v>52.787110249750697</v>
      </c>
      <c r="J323" s="8">
        <v>31.050562012517901</v>
      </c>
      <c r="K323" s="8">
        <v>22.959168184612871</v>
      </c>
      <c r="L323" s="8">
        <v>0.68153718418001974</v>
      </c>
      <c r="M323" s="8">
        <v>79.527167186365801</v>
      </c>
      <c r="N323" s="8">
        <v>54.675751346992577</v>
      </c>
      <c r="O323" s="8">
        <v>286.46699999999998</v>
      </c>
      <c r="P323" s="8">
        <v>280.74799999999999</v>
      </c>
      <c r="Q323" s="8">
        <v>101.294</v>
      </c>
      <c r="R323" s="8">
        <v>0.52924199999999999</v>
      </c>
      <c r="S323" s="8">
        <v>-0.30669800000000003</v>
      </c>
      <c r="T323" s="7">
        <f>C323-D323</f>
        <v>26.665096267166497</v>
      </c>
      <c r="U323" s="8">
        <f>D323/C323</f>
        <v>0.1838104738364672</v>
      </c>
      <c r="V323" s="8">
        <v>31.30118329545104</v>
      </c>
      <c r="W323" s="8">
        <v>22.973087358061569</v>
      </c>
      <c r="X323" s="8">
        <v>0.6444354540170707</v>
      </c>
      <c r="Y323" s="8">
        <v>74.008351268786612</v>
      </c>
      <c r="Z323" s="8">
        <v>54.915830330555558</v>
      </c>
      <c r="AA323" s="7">
        <v>31.17587265398447</v>
      </c>
      <c r="AB323" s="7">
        <v>22.96612777133722</v>
      </c>
      <c r="AC323" s="7">
        <v>0.66298631909854522</v>
      </c>
      <c r="AD323" s="7">
        <v>76.767759227576207</v>
      </c>
      <c r="AE323" s="7">
        <v>54.795790838774067</v>
      </c>
      <c r="AF323" s="8">
        <v>30.83468574798524</v>
      </c>
      <c r="AG323" s="8">
        <v>21.822544812508639</v>
      </c>
      <c r="AH323" s="8">
        <v>0.64676296646506415</v>
      </c>
      <c r="AI323" s="8">
        <v>80.795350526069896</v>
      </c>
      <c r="AJ323" s="8">
        <v>51.586802864818893</v>
      </c>
      <c r="AK323" s="8">
        <v>31.073725299443009</v>
      </c>
      <c r="AL323" s="8">
        <v>23.08112662849663</v>
      </c>
      <c r="AM323" s="8">
        <v>0.68526841968324514</v>
      </c>
      <c r="AN323" s="8">
        <v>79.39109250194042</v>
      </c>
      <c r="AO323" s="8">
        <v>55.007192138523713</v>
      </c>
      <c r="AP323" s="8">
        <v>30.264432181803372</v>
      </c>
      <c r="AQ323" s="8">
        <v>21.97965046289081</v>
      </c>
      <c r="AR323" s="8">
        <v>0.64652653766806678</v>
      </c>
      <c r="AS323" s="8">
        <v>77.020458932877119</v>
      </c>
      <c r="AT323" s="8">
        <v>54.344470885694932</v>
      </c>
      <c r="AU323" s="8">
        <v>31.784218380407211</v>
      </c>
      <c r="AV323" s="8">
        <v>22.947063632181329</v>
      </c>
      <c r="AW323" s="8">
        <v>0.65794546638813722</v>
      </c>
      <c r="AX323" s="8">
        <v>76.044572778047097</v>
      </c>
      <c r="AY323" s="8">
        <v>57.174012375208093</v>
      </c>
      <c r="AZ323" s="8">
        <v>32.298976386518412</v>
      </c>
      <c r="BA323" s="8">
        <v>23.974174630389239</v>
      </c>
      <c r="BB323" s="8">
        <v>0.71760760458625317</v>
      </c>
      <c r="BC323" s="8">
        <v>79.419840557479617</v>
      </c>
      <c r="BD323" s="8">
        <v>56.815243539418233</v>
      </c>
      <c r="BE323" s="8">
        <v>40.17298960363113</v>
      </c>
      <c r="BF323" s="8">
        <v>31.792301394725289</v>
      </c>
      <c r="BG323" s="8">
        <v>0.78222495424622096</v>
      </c>
      <c r="BH323" s="8">
        <v>73.199532988137861</v>
      </c>
      <c r="BI323" s="8">
        <v>71.878299615850679</v>
      </c>
    </row>
    <row r="324" spans="1:61" x14ac:dyDescent="0.15">
      <c r="A324" s="7">
        <v>2023</v>
      </c>
      <c r="B324" s="7">
        <v>82</v>
      </c>
      <c r="C324" s="9">
        <v>8.5411022263376619</v>
      </c>
      <c r="D324" s="7">
        <v>6.9783103742761421</v>
      </c>
      <c r="E324" s="8">
        <v>34.528504630309612</v>
      </c>
      <c r="F324" s="8">
        <v>15.43943112924282</v>
      </c>
      <c r="G324" s="8">
        <v>0.60796399843393178</v>
      </c>
      <c r="H324" s="8">
        <v>79.733016380784377</v>
      </c>
      <c r="I324" s="8">
        <v>69.819315395209273</v>
      </c>
      <c r="J324" s="8">
        <v>37.991046477714427</v>
      </c>
      <c r="K324" s="8">
        <v>18.89480810312028</v>
      </c>
      <c r="L324" s="8">
        <v>0.62172541087302602</v>
      </c>
      <c r="M324" s="8">
        <v>82.984714061467116</v>
      </c>
      <c r="N324" s="8">
        <v>78.105853833410919</v>
      </c>
      <c r="O324" s="7">
        <v>289.31900000000002</v>
      </c>
      <c r="P324" s="7">
        <v>281.21600000000001</v>
      </c>
      <c r="Q324" s="7">
        <v>99.351100000000002</v>
      </c>
      <c r="R324" s="7">
        <v>6.2554399999999996E-2</v>
      </c>
      <c r="S324" s="7">
        <v>-0.21185100000000001</v>
      </c>
      <c r="T324" s="7">
        <f>C324-D324</f>
        <v>1.5627918520615198</v>
      </c>
      <c r="U324" s="8">
        <f>D324/C324</f>
        <v>0.81702691167394803</v>
      </c>
      <c r="V324" s="8">
        <v>32.532276046638792</v>
      </c>
      <c r="W324" s="8">
        <v>15.413433208322683</v>
      </c>
      <c r="X324" s="8">
        <v>0.54961425189175495</v>
      </c>
      <c r="Y324" s="8">
        <v>85.234787904899349</v>
      </c>
      <c r="Z324" s="8">
        <v>65.377965059530283</v>
      </c>
      <c r="AA324" s="7">
        <v>35.261661262176609</v>
      </c>
      <c r="AB324" s="7">
        <v>17.154120655721481</v>
      </c>
      <c r="AC324" s="7">
        <v>0.58566983138239048</v>
      </c>
      <c r="AD324" s="7">
        <v>84.109750983183233</v>
      </c>
      <c r="AE324" s="7">
        <v>71.741909446470601</v>
      </c>
      <c r="AF324" s="8">
        <v>38.597566686115307</v>
      </c>
      <c r="AG324" s="8">
        <v>18.91588078977707</v>
      </c>
      <c r="AH324" s="8">
        <v>0.62654986363039344</v>
      </c>
      <c r="AI324" s="8">
        <v>83.222858094084003</v>
      </c>
      <c r="AJ324" s="8">
        <v>77.261688143580244</v>
      </c>
      <c r="AK324" s="8">
        <v>37.928887664532368</v>
      </c>
      <c r="AL324" s="8">
        <v>18.892648483086191</v>
      </c>
      <c r="AM324" s="8">
        <v>0.62123098009644651</v>
      </c>
      <c r="AN324" s="8">
        <v>82.960308031414328</v>
      </c>
      <c r="AO324" s="8">
        <v>78.192367582964692</v>
      </c>
      <c r="AP324" s="8">
        <v>34.830819978339314</v>
      </c>
      <c r="AQ324" s="8">
        <v>16.778842550773039</v>
      </c>
      <c r="AR324" s="8">
        <v>0.5776540537899747</v>
      </c>
      <c r="AS324" s="8">
        <v>85.027851312887535</v>
      </c>
      <c r="AT324" s="8">
        <v>70.181579978743287</v>
      </c>
      <c r="AU324" s="8">
        <v>32.284858658175629</v>
      </c>
      <c r="AV324" s="8">
        <v>15.23613290333317</v>
      </c>
      <c r="AW324" s="8">
        <v>0.56682551738950571</v>
      </c>
      <c r="AX324" s="8">
        <v>78.29444769160061</v>
      </c>
      <c r="AY324" s="8">
        <v>67.446505678411953</v>
      </c>
      <c r="AZ324" s="8">
        <v>37.099909074016757</v>
      </c>
      <c r="BA324" s="8">
        <v>18.755137338012169</v>
      </c>
      <c r="BB324" s="8">
        <v>0.61265012677098551</v>
      </c>
      <c r="BC324" s="8">
        <v>81.496774719666206</v>
      </c>
      <c r="BD324" s="8">
        <v>78.045349792929386</v>
      </c>
      <c r="BE324" s="8">
        <v>34.759870438553797</v>
      </c>
      <c r="BF324" s="8">
        <v>27.22359884094919</v>
      </c>
      <c r="BG324" s="8">
        <v>0.63177509700621948</v>
      </c>
      <c r="BH324" s="8">
        <v>69.083511445134093</v>
      </c>
      <c r="BI324" s="8">
        <v>76.626907049428794</v>
      </c>
    </row>
    <row r="325" spans="1:61" x14ac:dyDescent="0.15">
      <c r="A325" s="7">
        <v>2021</v>
      </c>
      <c r="B325" s="7">
        <v>54</v>
      </c>
      <c r="C325" s="7">
        <v>146.99323580307185</v>
      </c>
      <c r="D325" s="7">
        <v>70.216639506047599</v>
      </c>
      <c r="E325" s="8">
        <v>18.768997361443109</v>
      </c>
      <c r="F325" s="8">
        <v>17.158804329046891</v>
      </c>
      <c r="G325" s="8">
        <v>0.608243369699763</v>
      </c>
      <c r="H325" s="8">
        <v>56.641189446485157</v>
      </c>
      <c r="I325" s="8">
        <v>29.018503670593589</v>
      </c>
      <c r="J325" s="8">
        <v>20.824419662577551</v>
      </c>
      <c r="K325" s="8">
        <v>20.995871248837169</v>
      </c>
      <c r="L325" s="8">
        <v>0.61586058842295233</v>
      </c>
      <c r="M325" s="8">
        <v>56.742513064597993</v>
      </c>
      <c r="N325" s="8">
        <v>32.416879943437522</v>
      </c>
      <c r="O325" s="8">
        <v>296.00599999999997</v>
      </c>
      <c r="P325" s="8">
        <v>290.827</v>
      </c>
      <c r="Q325" s="8">
        <v>99.136899999999997</v>
      </c>
      <c r="R325" s="8">
        <v>-0.47935299999999997</v>
      </c>
      <c r="S325" s="8">
        <v>-0.22664000000000001</v>
      </c>
      <c r="T325" s="7">
        <f>C325-D325</f>
        <v>76.776596297024255</v>
      </c>
      <c r="U325" s="8">
        <f>D325/C325</f>
        <v>0.47768619503088872</v>
      </c>
      <c r="V325" s="8">
        <v>18.42537794416857</v>
      </c>
      <c r="W325" s="8">
        <v>15.197019884203989</v>
      </c>
      <c r="X325" s="8">
        <v>0.62508860161843571</v>
      </c>
      <c r="Y325" s="8">
        <v>56.887659898724714</v>
      </c>
      <c r="Z325" s="8">
        <v>27.717327538602959</v>
      </c>
      <c r="AA325" s="7">
        <v>19.62489880337306</v>
      </c>
      <c r="AB325" s="7">
        <v>18.096445566520579</v>
      </c>
      <c r="AC325" s="7">
        <v>0.62047459502069402</v>
      </c>
      <c r="AD325" s="7">
        <v>56.815086481661353</v>
      </c>
      <c r="AE325" s="7">
        <v>30.06710374102024</v>
      </c>
      <c r="AF325" s="8">
        <v>21.30894975006737</v>
      </c>
      <c r="AG325" s="8">
        <v>20.9783368869996</v>
      </c>
      <c r="AH325" s="8">
        <v>0.6093330256615106</v>
      </c>
      <c r="AI325" s="8">
        <v>54.956581759754812</v>
      </c>
      <c r="AJ325" s="8">
        <v>33.756537520614337</v>
      </c>
      <c r="AK325" s="8">
        <v>20.729377999585331</v>
      </c>
      <c r="AL325" s="8">
        <v>20.999310653224171</v>
      </c>
      <c r="AM325" s="8">
        <v>0.61714098449360177</v>
      </c>
      <c r="AN325" s="8">
        <v>57.092827494154868</v>
      </c>
      <c r="AO325" s="8">
        <v>32.154103106121568</v>
      </c>
      <c r="AP325" s="8">
        <v>20.924861388112792</v>
      </c>
      <c r="AQ325" s="8">
        <v>18.841375888721728</v>
      </c>
      <c r="AR325" s="8">
        <v>0.62505474294919172</v>
      </c>
      <c r="AS325" s="8">
        <v>56.973528321080479</v>
      </c>
      <c r="AT325" s="8">
        <v>30.579969664103778</v>
      </c>
      <c r="AU325" s="8">
        <v>21.411138020994869</v>
      </c>
      <c r="AV325" s="8">
        <v>20.38724383085254</v>
      </c>
      <c r="AW325" s="8">
        <v>0.6370844362156235</v>
      </c>
      <c r="AX325" s="8">
        <v>63.435021639383642</v>
      </c>
      <c r="AY325" s="8">
        <v>32.848869931314447</v>
      </c>
      <c r="AZ325" s="8">
        <v>21.578261172358431</v>
      </c>
      <c r="BA325" s="8">
        <v>22.53936132115415</v>
      </c>
      <c r="BB325" s="8">
        <v>0.63470670256351869</v>
      </c>
      <c r="BC325" s="8">
        <v>58.336422549941197</v>
      </c>
      <c r="BD325" s="8">
        <v>35.056517707599873</v>
      </c>
      <c r="BE325" s="8">
        <v>21.83551903365295</v>
      </c>
      <c r="BF325" s="8">
        <v>21.718066387610939</v>
      </c>
      <c r="BG325" s="8">
        <v>0.64759328418552342</v>
      </c>
      <c r="BH325" s="8">
        <v>61.108292685459979</v>
      </c>
      <c r="BI325" s="8">
        <v>33.588496223615387</v>
      </c>
    </row>
    <row r="326" spans="1:61" x14ac:dyDescent="0.15">
      <c r="A326" s="7">
        <v>2023</v>
      </c>
      <c r="B326" s="7">
        <v>79</v>
      </c>
      <c r="C326" s="9">
        <v>41.840523585067501</v>
      </c>
      <c r="D326" s="7">
        <v>27.723795356936691</v>
      </c>
      <c r="E326" s="8">
        <v>19.23430307263979</v>
      </c>
      <c r="F326" s="8">
        <v>9.7563546215418455</v>
      </c>
      <c r="G326" s="8">
        <v>0.60965406529961097</v>
      </c>
      <c r="H326" s="8">
        <v>62.561421281076299</v>
      </c>
      <c r="I326" s="8">
        <v>29.725081091606921</v>
      </c>
      <c r="J326" s="8">
        <v>23.99126508846939</v>
      </c>
      <c r="K326" s="8">
        <v>12.590895424451711</v>
      </c>
      <c r="L326" s="8">
        <v>0.60398391563838061</v>
      </c>
      <c r="M326" s="8">
        <v>58.506389296705379</v>
      </c>
      <c r="N326" s="8">
        <v>36.588521102770351</v>
      </c>
      <c r="O326" s="7">
        <v>289.03899999999999</v>
      </c>
      <c r="P326" s="7">
        <v>282.08999999999997</v>
      </c>
      <c r="Q326" s="7">
        <v>79.849199999999996</v>
      </c>
      <c r="R326" s="7">
        <v>0.29047600000000001</v>
      </c>
      <c r="S326" s="7">
        <v>1.02356</v>
      </c>
      <c r="T326" s="7">
        <f>C326-D326</f>
        <v>14.11672822813081</v>
      </c>
      <c r="U326" s="8">
        <f>D326/C326</f>
        <v>0.66260631993694885</v>
      </c>
      <c r="V326" s="8">
        <v>20.266940613972089</v>
      </c>
      <c r="W326" s="8">
        <v>9.3950652282184297</v>
      </c>
      <c r="X326" s="8">
        <v>0.60053159281331392</v>
      </c>
      <c r="Y326" s="8">
        <v>62.232743750719365</v>
      </c>
      <c r="Z326" s="8">
        <v>30.469080660001033</v>
      </c>
      <c r="AA326" s="7">
        <v>22.12910285122074</v>
      </c>
      <c r="AB326" s="7">
        <v>10.99298032633507</v>
      </c>
      <c r="AC326" s="7">
        <v>0.60225775422584726</v>
      </c>
      <c r="AD326" s="7">
        <v>60.369566523712372</v>
      </c>
      <c r="AE326" s="7">
        <v>33.528800881385692</v>
      </c>
      <c r="AF326" s="8">
        <v>23.585399583011078</v>
      </c>
      <c r="AG326" s="8">
        <v>13.170411051047139</v>
      </c>
      <c r="AH326" s="8">
        <v>0.61459506358519655</v>
      </c>
      <c r="AI326" s="8">
        <v>57.455209862812687</v>
      </c>
      <c r="AJ326" s="8">
        <v>36.104170919625162</v>
      </c>
      <c r="AK326" s="8">
        <v>24.062655961987179</v>
      </c>
      <c r="AL326" s="8">
        <v>12.4889598663827</v>
      </c>
      <c r="AM326" s="8">
        <v>0.60211743743128521</v>
      </c>
      <c r="AN326" s="8">
        <v>58.691289508722129</v>
      </c>
      <c r="AO326" s="8">
        <v>36.673717263070287</v>
      </c>
      <c r="AP326" s="8">
        <v>25.05709550831159</v>
      </c>
      <c r="AQ326" s="8">
        <v>12.1661422141652</v>
      </c>
      <c r="AR326" s="8">
        <v>0.59082064810274648</v>
      </c>
      <c r="AS326" s="8">
        <v>58.445633103386193</v>
      </c>
      <c r="AT326" s="8">
        <v>37.449436253536589</v>
      </c>
      <c r="AU326" s="8">
        <v>24.27160856658934</v>
      </c>
      <c r="AV326" s="8">
        <v>11.922078270616719</v>
      </c>
      <c r="AW326" s="8">
        <v>0.62937532534437324</v>
      </c>
      <c r="AX326" s="8">
        <v>57.541594436243969</v>
      </c>
      <c r="AY326" s="8">
        <v>35.958111340195877</v>
      </c>
      <c r="AZ326" s="8">
        <v>25.029986674109569</v>
      </c>
      <c r="BA326" s="8">
        <v>14.78714057927642</v>
      </c>
      <c r="BB326" s="8">
        <v>0.61403164098056995</v>
      </c>
      <c r="BC326" s="8">
        <v>57.517816546186367</v>
      </c>
      <c r="BD326" s="8">
        <v>39.548288137985772</v>
      </c>
      <c r="BE326" s="8">
        <v>21.700122079662901</v>
      </c>
      <c r="BF326" s="8">
        <v>19.279648194642149</v>
      </c>
      <c r="BG326" s="8">
        <v>0.63147458025300696</v>
      </c>
      <c r="BH326" s="8">
        <v>57.379855000869483</v>
      </c>
      <c r="BI326" s="8">
        <v>43.540162532833833</v>
      </c>
    </row>
    <row r="327" spans="1:61" x14ac:dyDescent="0.15">
      <c r="A327" s="7">
        <v>2023</v>
      </c>
      <c r="B327" s="7">
        <v>50</v>
      </c>
      <c r="C327" s="9">
        <v>149.2704459485706</v>
      </c>
      <c r="D327" s="7">
        <v>102.21225784489124</v>
      </c>
      <c r="E327" s="8">
        <v>35.354414555002002</v>
      </c>
      <c r="F327" s="8">
        <v>20.941257442562751</v>
      </c>
      <c r="G327" s="8">
        <v>0.60996436491245287</v>
      </c>
      <c r="H327" s="8">
        <v>73.578697337323973</v>
      </c>
      <c r="I327" s="8">
        <v>71.351191417609243</v>
      </c>
      <c r="J327" s="8">
        <v>36.097937714611959</v>
      </c>
      <c r="K327" s="8">
        <v>28.508690036100361</v>
      </c>
      <c r="L327" s="8">
        <v>0.73364700476412203</v>
      </c>
      <c r="M327" s="8">
        <v>65.172500337564543</v>
      </c>
      <c r="N327" s="8">
        <v>80.205477696287844</v>
      </c>
      <c r="O327" s="7">
        <v>281.79199999999997</v>
      </c>
      <c r="P327" s="7">
        <v>272.423</v>
      </c>
      <c r="Q327" s="7">
        <v>86.869900000000001</v>
      </c>
      <c r="R327" s="7">
        <v>0.66034899999999996</v>
      </c>
      <c r="S327" s="7">
        <v>-0.145005</v>
      </c>
      <c r="T327" s="7">
        <f>C327-D327</f>
        <v>47.058188103679356</v>
      </c>
      <c r="U327" s="8">
        <f>D327/C327</f>
        <v>0.68474544438694374</v>
      </c>
      <c r="V327" s="8">
        <v>34.016213274481586</v>
      </c>
      <c r="W327" s="8">
        <v>20.875964460111277</v>
      </c>
      <c r="X327" s="8">
        <v>0.58463864095436324</v>
      </c>
      <c r="Y327" s="8">
        <v>69.216833306105741</v>
      </c>
      <c r="Z327" s="8">
        <v>74.942894582704142</v>
      </c>
      <c r="AA327" s="7">
        <v>35.057075494546773</v>
      </c>
      <c r="AB327" s="7">
        <v>24.692327248105819</v>
      </c>
      <c r="AC327" s="7">
        <v>0.65914282285924264</v>
      </c>
      <c r="AD327" s="7">
        <v>67.194666821835142</v>
      </c>
      <c r="AE327" s="7">
        <v>77.574186139495993</v>
      </c>
      <c r="AF327" s="8">
        <v>35.423083579459067</v>
      </c>
      <c r="AG327" s="8">
        <v>28.633846354103941</v>
      </c>
      <c r="AH327" s="8">
        <v>0.68187962891650067</v>
      </c>
      <c r="AI327" s="8">
        <v>64.637919710569037</v>
      </c>
      <c r="AJ327" s="8">
        <v>80.941875424572629</v>
      </c>
      <c r="AK327" s="8">
        <v>36.160368196989573</v>
      </c>
      <c r="AL327" s="8">
        <v>28.497111875874971</v>
      </c>
      <c r="AM327" s="8">
        <v>0.73843598371119135</v>
      </c>
      <c r="AN327" s="8">
        <v>65.221954174585903</v>
      </c>
      <c r="AO327" s="8">
        <v>80.137353841066613</v>
      </c>
      <c r="AP327" s="8">
        <v>34.476877287590263</v>
      </c>
      <c r="AQ327" s="8">
        <v>26.180353099505901</v>
      </c>
      <c r="AR327" s="8">
        <v>0.74976401533639103</v>
      </c>
      <c r="AS327" s="8">
        <v>64.107268936666429</v>
      </c>
      <c r="AT327" s="8">
        <v>78.468765243961144</v>
      </c>
      <c r="AU327" s="8">
        <v>34.58294698635185</v>
      </c>
      <c r="AV327" s="8">
        <v>25.55945249614831</v>
      </c>
      <c r="AW327" s="8">
        <v>0.60469097725175269</v>
      </c>
      <c r="AX327" s="8">
        <v>64.902338081100993</v>
      </c>
      <c r="AY327" s="8">
        <v>81.363691491352</v>
      </c>
      <c r="AZ327" s="8">
        <v>37.342375316718083</v>
      </c>
      <c r="BA327" s="8">
        <v>28.598778128309441</v>
      </c>
      <c r="BB327" s="8">
        <v>0.77556773625614339</v>
      </c>
      <c r="BC327" s="8">
        <v>64.875891861037573</v>
      </c>
      <c r="BD327" s="8">
        <v>79.640302680485178</v>
      </c>
      <c r="BE327" s="8">
        <v>27.144517266935569</v>
      </c>
      <c r="BF327" s="8">
        <v>25.210666423565971</v>
      </c>
      <c r="BG327" s="8">
        <v>0.59971884199816783</v>
      </c>
      <c r="BH327" s="8">
        <v>68.731578472583053</v>
      </c>
      <c r="BI327" s="8">
        <v>76.088088118323142</v>
      </c>
    </row>
    <row r="328" spans="1:61" x14ac:dyDescent="0.15">
      <c r="A328" s="7">
        <v>2023</v>
      </c>
      <c r="B328" s="7">
        <v>132</v>
      </c>
      <c r="C328" s="9">
        <v>4.9588683769633164</v>
      </c>
      <c r="D328" s="7">
        <v>1.9935883984557681</v>
      </c>
      <c r="E328" s="8">
        <v>34.760873529249487</v>
      </c>
      <c r="F328" s="8">
        <v>20.760370355306001</v>
      </c>
      <c r="G328" s="8">
        <v>0.61159847788254373</v>
      </c>
      <c r="H328" s="8">
        <v>65.416984716227645</v>
      </c>
      <c r="I328" s="8">
        <v>75.247526541466513</v>
      </c>
      <c r="J328" s="8">
        <v>30.979141616428819</v>
      </c>
      <c r="K328" s="8">
        <v>23.708341416000948</v>
      </c>
      <c r="L328" s="8">
        <v>0.52891979182318105</v>
      </c>
      <c r="M328" s="8">
        <v>68.999518862520773</v>
      </c>
      <c r="N328" s="8">
        <v>96.045855640574601</v>
      </c>
      <c r="O328" s="7">
        <v>283.50599999999997</v>
      </c>
      <c r="P328" s="7">
        <v>269.79000000000002</v>
      </c>
      <c r="Q328" s="7">
        <v>86.51</v>
      </c>
      <c r="R328" s="7">
        <v>0.13953099999999999</v>
      </c>
      <c r="S328" s="7">
        <v>0.163747</v>
      </c>
      <c r="T328" s="7">
        <f>C328-D328</f>
        <v>2.9652799785075485</v>
      </c>
      <c r="U328" s="8">
        <f>D328/C328</f>
        <v>0.40202486674522109</v>
      </c>
      <c r="V328" s="8">
        <v>24.665962118635441</v>
      </c>
      <c r="W328" s="8">
        <v>19.958665470181614</v>
      </c>
      <c r="X328" s="8">
        <v>0.48436640708815226</v>
      </c>
      <c r="Y328" s="8">
        <v>60.500874236697001</v>
      </c>
      <c r="Z328" s="8">
        <v>66.906942802707775</v>
      </c>
      <c r="AA328" s="7">
        <v>27.82255186753213</v>
      </c>
      <c r="AB328" s="7">
        <v>21.833503443091281</v>
      </c>
      <c r="AC328" s="7">
        <v>0.50664309945566666</v>
      </c>
      <c r="AD328" s="7">
        <v>64.750196549608887</v>
      </c>
      <c r="AE328" s="7">
        <v>81.476399221641188</v>
      </c>
      <c r="AF328" s="8">
        <v>31.48069686444806</v>
      </c>
      <c r="AG328" s="8">
        <v>24.526757446244499</v>
      </c>
      <c r="AH328" s="8">
        <v>0.54713675933415018</v>
      </c>
      <c r="AI328" s="8">
        <v>70.014482511070796</v>
      </c>
      <c r="AJ328" s="8">
        <v>99.432540353055671</v>
      </c>
      <c r="AK328" s="8">
        <v>30.90844539218412</v>
      </c>
      <c r="AL328" s="8">
        <v>23.592982393384691</v>
      </c>
      <c r="AM328" s="8">
        <v>0.52635203717341905</v>
      </c>
      <c r="AN328" s="8">
        <v>68.856455664634822</v>
      </c>
      <c r="AO328" s="8">
        <v>95.568488844343889</v>
      </c>
      <c r="AP328" s="8">
        <v>29.644509132842131</v>
      </c>
      <c r="AQ328" s="8">
        <v>23.346387176915989</v>
      </c>
      <c r="AR328" s="8">
        <v>0.51306891893110629</v>
      </c>
      <c r="AS328" s="8">
        <v>66.994589929261508</v>
      </c>
      <c r="AT328" s="8">
        <v>88.085506245136315</v>
      </c>
      <c r="AU328" s="8">
        <v>25.75182427266164</v>
      </c>
      <c r="AV328" s="8">
        <v>20.361624812988509</v>
      </c>
      <c r="AW328" s="8">
        <v>0.48248147455319967</v>
      </c>
      <c r="AX328" s="8">
        <v>62.611785666647002</v>
      </c>
      <c r="AY328" s="8">
        <v>74.846705549104414</v>
      </c>
      <c r="AZ328" s="8">
        <v>32.617815567570879</v>
      </c>
      <c r="BA328" s="8">
        <v>24.781854849973541</v>
      </c>
      <c r="BB328" s="8">
        <v>0.56795709334363353</v>
      </c>
      <c r="BC328" s="8">
        <v>68.854223944716153</v>
      </c>
      <c r="BD328" s="8">
        <v>100.48915395311541</v>
      </c>
      <c r="BE328" s="8">
        <v>27.432465305370521</v>
      </c>
      <c r="BF328" s="8">
        <v>22.935736025585729</v>
      </c>
      <c r="BG328" s="8">
        <v>0.54746088977411655</v>
      </c>
      <c r="BH328" s="8">
        <v>61.261007902483939</v>
      </c>
      <c r="BI328" s="8">
        <v>78.584862780385848</v>
      </c>
    </row>
    <row r="329" spans="1:61" x14ac:dyDescent="0.15">
      <c r="A329" s="7">
        <v>2023</v>
      </c>
      <c r="B329" s="7">
        <v>102</v>
      </c>
      <c r="C329" s="9">
        <v>83.818333897904893</v>
      </c>
      <c r="D329" s="7">
        <v>44.218687318764182</v>
      </c>
      <c r="E329" s="8">
        <v>34.068033593772547</v>
      </c>
      <c r="F329" s="8">
        <v>17.99120583869832</v>
      </c>
      <c r="G329" s="8">
        <v>0.61179569493493113</v>
      </c>
      <c r="H329" s="8">
        <v>77.762810551576052</v>
      </c>
      <c r="I329" s="8">
        <v>69.677249684846572</v>
      </c>
      <c r="J329" s="8">
        <v>36.283246802266362</v>
      </c>
      <c r="K329" s="8">
        <v>19.439545658925191</v>
      </c>
      <c r="L329" s="8">
        <v>0.61941996032229718</v>
      </c>
      <c r="M329" s="8">
        <v>78.131360616134074</v>
      </c>
      <c r="N329" s="8">
        <v>73.03912266665661</v>
      </c>
      <c r="O329" s="7">
        <v>289.78699999999998</v>
      </c>
      <c r="P329" s="7">
        <v>283.30500000000001</v>
      </c>
      <c r="Q329" s="7">
        <v>100.381</v>
      </c>
      <c r="R329" s="7">
        <v>-0.28385100000000002</v>
      </c>
      <c r="S329" s="7">
        <v>-0.20043800000000001</v>
      </c>
      <c r="T329" s="7">
        <f>C329-D329</f>
        <v>39.59964657914071</v>
      </c>
      <c r="U329" s="8">
        <f>D329/C329</f>
        <v>0.52755388066559339</v>
      </c>
      <c r="V329" s="8">
        <v>32.588924748640665</v>
      </c>
      <c r="W329" s="8">
        <v>17.552385567459069</v>
      </c>
      <c r="X329" s="8">
        <v>0.61424703391386282</v>
      </c>
      <c r="Y329" s="8">
        <v>80.676140032606028</v>
      </c>
      <c r="Z329" s="8">
        <v>68.465011251069129</v>
      </c>
      <c r="AA329" s="7">
        <v>34.436085775453513</v>
      </c>
      <c r="AB329" s="7">
        <v>18.49596561319213</v>
      </c>
      <c r="AC329" s="7">
        <v>0.61683349711808</v>
      </c>
      <c r="AD329" s="7">
        <v>79.403750324370051</v>
      </c>
      <c r="AE329" s="7">
        <v>70.752066958862869</v>
      </c>
      <c r="AF329" s="8">
        <v>37.530544634346782</v>
      </c>
      <c r="AG329" s="8">
        <v>19.24219495003371</v>
      </c>
      <c r="AH329" s="8">
        <v>0.61480648843748653</v>
      </c>
      <c r="AI329" s="8">
        <v>77.489444137535742</v>
      </c>
      <c r="AJ329" s="8">
        <v>72.450345074078101</v>
      </c>
      <c r="AK329" s="8">
        <v>36.083834032837892</v>
      </c>
      <c r="AL329" s="8">
        <v>19.471097266245049</v>
      </c>
      <c r="AM329" s="8">
        <v>0.62015754294416037</v>
      </c>
      <c r="AN329" s="8">
        <v>78.233987542475774</v>
      </c>
      <c r="AO329" s="8">
        <v>73.133253969777414</v>
      </c>
      <c r="AP329" s="8">
        <v>34.435647945226158</v>
      </c>
      <c r="AQ329" s="8">
        <v>18.43044818260422</v>
      </c>
      <c r="AR329" s="8">
        <v>0.61598165155799045</v>
      </c>
      <c r="AS329" s="8">
        <v>79.863307565399367</v>
      </c>
      <c r="AT329" s="8">
        <v>70.794393059953663</v>
      </c>
      <c r="AU329" s="8">
        <v>32.827994670158247</v>
      </c>
      <c r="AV329" s="8">
        <v>17.690171625855179</v>
      </c>
      <c r="AW329" s="8">
        <v>0.59174543686652403</v>
      </c>
      <c r="AX329" s="8">
        <v>75.67918030905561</v>
      </c>
      <c r="AY329" s="8">
        <v>68.836825316544008</v>
      </c>
      <c r="AZ329" s="8">
        <v>35.117560963764852</v>
      </c>
      <c r="BA329" s="8">
        <v>18.88980254066982</v>
      </c>
      <c r="BB329" s="8">
        <v>0.61868683040783656</v>
      </c>
      <c r="BC329" s="8">
        <v>78.469727526835101</v>
      </c>
      <c r="BD329" s="8">
        <v>72.280799337204613</v>
      </c>
      <c r="BE329" s="8">
        <v>32.674209200448033</v>
      </c>
      <c r="BF329" s="8">
        <v>26.775511792606949</v>
      </c>
      <c r="BG329" s="8">
        <v>0.63193880763662047</v>
      </c>
      <c r="BH329" s="8">
        <v>68.215968433561585</v>
      </c>
      <c r="BI329" s="8">
        <v>66.432288375887623</v>
      </c>
    </row>
    <row r="330" spans="1:61" x14ac:dyDescent="0.15">
      <c r="A330" s="7">
        <v>2020</v>
      </c>
      <c r="B330" s="7">
        <v>112</v>
      </c>
      <c r="C330" s="7">
        <v>4.9979233343703751</v>
      </c>
      <c r="D330" s="7">
        <v>0.71757285103787505</v>
      </c>
      <c r="E330" s="8">
        <v>32.252024543724723</v>
      </c>
      <c r="F330" s="8">
        <v>17.737219240429411</v>
      </c>
      <c r="G330" s="8">
        <v>0.61320539512163452</v>
      </c>
      <c r="H330" s="8">
        <v>75.94540905411435</v>
      </c>
      <c r="I330" s="8">
        <v>61.568543246431503</v>
      </c>
      <c r="J330" s="8">
        <v>42.111098205524861</v>
      </c>
      <c r="K330" s="8">
        <v>32.000475934547573</v>
      </c>
      <c r="L330" s="8">
        <v>0.69620501673357904</v>
      </c>
      <c r="M330" s="8">
        <v>54.30408334611618</v>
      </c>
      <c r="N330" s="8">
        <v>74.268832064872655</v>
      </c>
      <c r="O330" s="8">
        <v>285.12400000000002</v>
      </c>
      <c r="P330" s="8">
        <v>277.09399999999999</v>
      </c>
      <c r="Q330" s="8">
        <v>89.988799999999998</v>
      </c>
      <c r="R330" s="8">
        <v>-0.37005199999999999</v>
      </c>
      <c r="S330" s="8">
        <v>-0.239396</v>
      </c>
      <c r="T330" s="7">
        <f>C330-D330</f>
        <v>4.2803504833324997</v>
      </c>
      <c r="U330" s="8">
        <f>D330/C330</f>
        <v>0.14357420132941534</v>
      </c>
      <c r="V330" s="8">
        <v>37.922193618081245</v>
      </c>
      <c r="W330" s="8">
        <v>22.008858559365208</v>
      </c>
      <c r="X330" s="8">
        <v>0.65468740279537585</v>
      </c>
      <c r="Y330" s="8">
        <v>62.510109103517003</v>
      </c>
      <c r="Z330" s="8">
        <v>72.178144261422332</v>
      </c>
      <c r="AA330" s="7">
        <v>40.016645911803053</v>
      </c>
      <c r="AB330" s="7">
        <v>27.004667246956391</v>
      </c>
      <c r="AC330" s="7">
        <v>0.67544620976447745</v>
      </c>
      <c r="AD330" s="7">
        <v>58.407096224816591</v>
      </c>
      <c r="AE330" s="7">
        <v>73.223488163147493</v>
      </c>
      <c r="AF330" s="8">
        <v>44.897002307946579</v>
      </c>
      <c r="AG330" s="8">
        <v>32.574030918379123</v>
      </c>
      <c r="AH330" s="8">
        <v>0.71161090062817989</v>
      </c>
      <c r="AI330" s="8">
        <v>54.248768526051258</v>
      </c>
      <c r="AJ330" s="8">
        <v>77.460437918626127</v>
      </c>
      <c r="AK330" s="8">
        <v>41.682582900546201</v>
      </c>
      <c r="AL330" s="8">
        <v>31.91225427300332</v>
      </c>
      <c r="AM330" s="8">
        <v>0.6938353525983989</v>
      </c>
      <c r="AN330" s="8">
        <v>54.312591624261628</v>
      </c>
      <c r="AO330" s="8">
        <v>73.77791353160228</v>
      </c>
      <c r="AP330" s="8">
        <v>41.916661557804261</v>
      </c>
      <c r="AQ330" s="8">
        <v>28.962321174870048</v>
      </c>
      <c r="AR330" s="8">
        <v>0.69439894212252651</v>
      </c>
      <c r="AS330" s="8">
        <v>54.24636484796951</v>
      </c>
      <c r="AT330" s="8">
        <v>77.370530314185217</v>
      </c>
      <c r="AU330" s="8">
        <v>39.841265296167592</v>
      </c>
      <c r="AV330" s="8">
        <v>24.53258651371878</v>
      </c>
      <c r="AW330" s="8">
        <v>0.63757268068210959</v>
      </c>
      <c r="AX330" s="8">
        <v>59.618366344754207</v>
      </c>
      <c r="AY330" s="8">
        <v>67.346471191040308</v>
      </c>
      <c r="AZ330" s="8">
        <v>40.6157842366379</v>
      </c>
      <c r="BA330" s="8">
        <v>33.323896471699499</v>
      </c>
      <c r="BB330" s="8">
        <v>0.69069998117963449</v>
      </c>
      <c r="BC330" s="8">
        <v>54.502929292290652</v>
      </c>
      <c r="BD330" s="8">
        <v>70.45754329403475</v>
      </c>
      <c r="BE330" s="8">
        <v>35.659463695514617</v>
      </c>
      <c r="BF330" s="8">
        <v>31.616763028373612</v>
      </c>
      <c r="BG330" s="8">
        <v>0.64059949829411711</v>
      </c>
      <c r="BH330" s="8">
        <v>57.790132093418407</v>
      </c>
      <c r="BI330" s="8">
        <v>71.843447230943141</v>
      </c>
    </row>
    <row r="331" spans="1:61" x14ac:dyDescent="0.15">
      <c r="A331" s="7">
        <v>2023</v>
      </c>
      <c r="B331" s="7">
        <v>16</v>
      </c>
      <c r="C331" s="9">
        <v>391.68834645164014</v>
      </c>
      <c r="D331" s="7">
        <v>40.603065135844616</v>
      </c>
      <c r="E331" s="8">
        <v>33.938583217361987</v>
      </c>
      <c r="F331" s="8">
        <v>15.453349247953501</v>
      </c>
      <c r="G331" s="8">
        <v>0.61385225847337321</v>
      </c>
      <c r="H331" s="8">
        <v>79.568469660268164</v>
      </c>
      <c r="I331" s="8">
        <v>66.837697408427189</v>
      </c>
      <c r="J331" s="8">
        <v>39.471558727189198</v>
      </c>
      <c r="K331" s="8">
        <v>21.15454480796566</v>
      </c>
      <c r="L331" s="8">
        <v>0.6771597095527172</v>
      </c>
      <c r="M331" s="8">
        <v>83.83266113746032</v>
      </c>
      <c r="N331" s="8">
        <v>80.634310450431528</v>
      </c>
      <c r="O331" s="7">
        <v>289.24</v>
      </c>
      <c r="P331" s="7">
        <v>280.82499999999999</v>
      </c>
      <c r="Q331" s="7">
        <v>99.461100000000002</v>
      </c>
      <c r="R331" s="7">
        <v>3.7676500000000002E-2</v>
      </c>
      <c r="S331" s="7">
        <v>8.1128800000000001E-2</v>
      </c>
      <c r="T331" s="7">
        <f>C331-D331</f>
        <v>351.08528131579556</v>
      </c>
      <c r="U331" s="8">
        <f>D331/C331</f>
        <v>0.10366166239989905</v>
      </c>
      <c r="V331" s="8">
        <v>33.318505901858508</v>
      </c>
      <c r="W331" s="8">
        <v>15.21805338932408</v>
      </c>
      <c r="X331" s="8">
        <v>0.54161765950417406</v>
      </c>
      <c r="Y331" s="8">
        <v>83.330822685176685</v>
      </c>
      <c r="Z331" s="8">
        <v>69.558564990262127</v>
      </c>
      <c r="AA331" s="7">
        <v>36.395032314523853</v>
      </c>
      <c r="AB331" s="7">
        <v>18.18629909864487</v>
      </c>
      <c r="AC331" s="7">
        <v>0.60938868452844563</v>
      </c>
      <c r="AD331" s="7">
        <v>83.581741911318503</v>
      </c>
      <c r="AE331" s="7">
        <v>75.096437720346827</v>
      </c>
      <c r="AF331" s="8">
        <v>38.729281848814473</v>
      </c>
      <c r="AG331" s="8">
        <v>20.070210590155561</v>
      </c>
      <c r="AH331" s="8">
        <v>0.67866148470107568</v>
      </c>
      <c r="AI331" s="8">
        <v>85.253299816255023</v>
      </c>
      <c r="AJ331" s="8">
        <v>78.572999002194109</v>
      </c>
      <c r="AK331" s="8">
        <v>39.540746960940837</v>
      </c>
      <c r="AL331" s="8">
        <v>21.25561648554644</v>
      </c>
      <c r="AM331" s="8">
        <v>0.67701972786524411</v>
      </c>
      <c r="AN331" s="8">
        <v>83.70024224654685</v>
      </c>
      <c r="AO331" s="8">
        <v>80.826446973163939</v>
      </c>
      <c r="AP331" s="8">
        <v>35.753729355967451</v>
      </c>
      <c r="AQ331" s="8">
        <v>17.197563963452499</v>
      </c>
      <c r="AR331" s="8">
        <v>0.58912279918520882</v>
      </c>
      <c r="AS331" s="8">
        <v>85.239321970054519</v>
      </c>
      <c r="AT331" s="8">
        <v>73.87721031110253</v>
      </c>
      <c r="AU331" s="8">
        <v>32.567775129593237</v>
      </c>
      <c r="AV331" s="8">
        <v>14.860460247257119</v>
      </c>
      <c r="AW331" s="8">
        <v>0.56435303404197013</v>
      </c>
      <c r="AX331" s="8">
        <v>79.471945612388879</v>
      </c>
      <c r="AY331" s="8">
        <v>67.254901052504223</v>
      </c>
      <c r="AZ331" s="8">
        <v>38.399963081860498</v>
      </c>
      <c r="BA331" s="8">
        <v>20.62115940935551</v>
      </c>
      <c r="BB331" s="8">
        <v>0.64234916617725557</v>
      </c>
      <c r="BC331" s="8">
        <v>81.803465781929802</v>
      </c>
      <c r="BD331" s="8">
        <v>79.709697421110221</v>
      </c>
      <c r="BE331" s="8">
        <v>34.851790403399093</v>
      </c>
      <c r="BF331" s="8">
        <v>26.257486391366879</v>
      </c>
      <c r="BG331" s="8">
        <v>0.62992077016227932</v>
      </c>
      <c r="BH331" s="8">
        <v>65.884143393939453</v>
      </c>
      <c r="BI331" s="8">
        <v>70.449577756031886</v>
      </c>
    </row>
    <row r="332" spans="1:61" x14ac:dyDescent="0.15">
      <c r="A332" s="7">
        <v>2020</v>
      </c>
      <c r="B332" s="7">
        <v>123</v>
      </c>
      <c r="C332" s="7">
        <v>37.749721280395178</v>
      </c>
      <c r="D332" s="7">
        <v>33.608660204234162</v>
      </c>
      <c r="E332" s="8">
        <v>33.010338028478223</v>
      </c>
      <c r="F332" s="8">
        <v>21.839422990644749</v>
      </c>
      <c r="G332" s="8">
        <v>0.61392606055580845</v>
      </c>
      <c r="H332" s="8">
        <v>69.547622949942749</v>
      </c>
      <c r="I332" s="8">
        <v>49.115272401453673</v>
      </c>
      <c r="J332" s="8">
        <v>36.937814928261737</v>
      </c>
      <c r="K332" s="8">
        <v>23.614132547880949</v>
      </c>
      <c r="L332" s="8">
        <v>0.70368437387741711</v>
      </c>
      <c r="M332" s="8">
        <v>66.854253012790068</v>
      </c>
      <c r="N332" s="8">
        <v>54.201171969092307</v>
      </c>
      <c r="O332" s="8">
        <v>290.08800000000002</v>
      </c>
      <c r="P332" s="8">
        <v>285.90499999999997</v>
      </c>
      <c r="Q332" s="8">
        <v>99.279399999999995</v>
      </c>
      <c r="R332" s="8">
        <v>-0.49065199999999998</v>
      </c>
      <c r="S332" s="8">
        <v>-0.32130900000000001</v>
      </c>
      <c r="T332" s="7">
        <f>C332-D332</f>
        <v>4.1410610761610158</v>
      </c>
      <c r="U332" s="8">
        <f>D332/C332</f>
        <v>0.89030220791824433</v>
      </c>
      <c r="V332" s="8">
        <v>33.224497890913618</v>
      </c>
      <c r="W332" s="8">
        <v>21.722649417730828</v>
      </c>
      <c r="X332" s="8">
        <v>0.6205636853080535</v>
      </c>
      <c r="Y332" s="8">
        <v>68.111786794199602</v>
      </c>
      <c r="Z332" s="8">
        <v>47.32550702809899</v>
      </c>
      <c r="AA332" s="7">
        <v>35.081156409587678</v>
      </c>
      <c r="AB332" s="7">
        <v>22.668390982805889</v>
      </c>
      <c r="AC332" s="7">
        <v>0.66212402959273531</v>
      </c>
      <c r="AD332" s="7">
        <v>67.483019903494835</v>
      </c>
      <c r="AE332" s="7">
        <v>50.763339498595649</v>
      </c>
      <c r="AF332" s="8">
        <v>37.081513185693758</v>
      </c>
      <c r="AG332" s="8">
        <v>24.792841031784359</v>
      </c>
      <c r="AH332" s="8">
        <v>0.6870612430462586</v>
      </c>
      <c r="AI332" s="8">
        <v>66.215250182728568</v>
      </c>
      <c r="AJ332" s="8">
        <v>53.717350699028678</v>
      </c>
      <c r="AK332" s="8">
        <v>36.912495418049517</v>
      </c>
      <c r="AL332" s="8">
        <v>23.406445119872</v>
      </c>
      <c r="AM332" s="8">
        <v>0.70661335533035985</v>
      </c>
      <c r="AN332" s="8">
        <v>66.966844765609579</v>
      </c>
      <c r="AO332" s="8">
        <v>54.286420863596533</v>
      </c>
      <c r="AP332" s="8">
        <v>36.33947196273818</v>
      </c>
      <c r="AQ332" s="8">
        <v>23.251214280923431</v>
      </c>
      <c r="AR332" s="8">
        <v>0.68402432506759359</v>
      </c>
      <c r="AS332" s="8">
        <v>66.058473622438243</v>
      </c>
      <c r="AT332" s="8">
        <v>51.237468898505597</v>
      </c>
      <c r="AU332" s="8">
        <v>36.359426991683968</v>
      </c>
      <c r="AV332" s="8">
        <v>24.202034024521542</v>
      </c>
      <c r="AW332" s="8">
        <v>0.67681781895309634</v>
      </c>
      <c r="AX332" s="8">
        <v>68.053672907058683</v>
      </c>
      <c r="AY332" s="8">
        <v>56.063363668489238</v>
      </c>
      <c r="AZ332" s="8">
        <v>36.873093495418672</v>
      </c>
      <c r="BA332" s="8">
        <v>24.054642342724541</v>
      </c>
      <c r="BB332" s="8">
        <v>0.70015308912135044</v>
      </c>
      <c r="BC332" s="8">
        <v>67.024120761438311</v>
      </c>
      <c r="BD332" s="8">
        <v>57.104634591552092</v>
      </c>
      <c r="BE332" s="8">
        <v>38.795643660126593</v>
      </c>
      <c r="BF332" s="8">
        <v>30.459128178848719</v>
      </c>
      <c r="BG332" s="8">
        <v>0.62133077357509103</v>
      </c>
      <c r="BH332" s="8">
        <v>65.70041045325307</v>
      </c>
      <c r="BI332" s="8">
        <v>65.541194460340506</v>
      </c>
    </row>
    <row r="333" spans="1:61" x14ac:dyDescent="0.15">
      <c r="A333" s="7">
        <v>2023</v>
      </c>
      <c r="B333" s="7">
        <v>110</v>
      </c>
      <c r="C333" s="9">
        <v>19.509084392980593</v>
      </c>
      <c r="D333" s="7">
        <v>15.712493301797473</v>
      </c>
      <c r="E333" s="8">
        <v>28.11244816865571</v>
      </c>
      <c r="F333" s="8">
        <v>11.59506896811105</v>
      </c>
      <c r="G333" s="8">
        <v>0.61411285407668947</v>
      </c>
      <c r="H333" s="8">
        <v>64.729043831047022</v>
      </c>
      <c r="I333" s="8">
        <v>42.116134741427572</v>
      </c>
      <c r="J333" s="8">
        <v>33.461823832184272</v>
      </c>
      <c r="K333" s="8">
        <v>15.256494657942181</v>
      </c>
      <c r="L333" s="8">
        <v>0.57719589230824364</v>
      </c>
      <c r="M333" s="8">
        <v>71.613413854416024</v>
      </c>
      <c r="N333" s="8">
        <v>52.8155566024449</v>
      </c>
      <c r="O333" s="7">
        <v>291.30900000000003</v>
      </c>
      <c r="P333" s="7">
        <v>286.02600000000001</v>
      </c>
      <c r="Q333" s="7">
        <v>100.63</v>
      </c>
      <c r="R333" s="7">
        <v>-0.38010100000000002</v>
      </c>
      <c r="S333" s="7">
        <v>-0.66125999999999996</v>
      </c>
      <c r="T333" s="7">
        <f>C333-D333</f>
        <v>3.7965910911831209</v>
      </c>
      <c r="U333" s="8">
        <f>D333/C333</f>
        <v>0.80539368149183144</v>
      </c>
      <c r="V333" s="8">
        <v>30.206977743327528</v>
      </c>
      <c r="W333" s="8">
        <v>18.602353929148617</v>
      </c>
      <c r="X333" s="8">
        <v>0.58121238266532504</v>
      </c>
      <c r="Y333" s="8">
        <v>69.302731591831844</v>
      </c>
      <c r="Z333" s="8">
        <v>49.292685691364625</v>
      </c>
      <c r="AA333" s="7">
        <v>31.8344007877559</v>
      </c>
      <c r="AB333" s="7">
        <v>16.929424293545399</v>
      </c>
      <c r="AC333" s="7">
        <v>0.57920413748678434</v>
      </c>
      <c r="AD333" s="7">
        <v>70.458072723123934</v>
      </c>
      <c r="AE333" s="7">
        <v>51.054121146904762</v>
      </c>
      <c r="AF333" s="8">
        <v>35.233138596615021</v>
      </c>
      <c r="AG333" s="8">
        <v>16.931704900517559</v>
      </c>
      <c r="AH333" s="8">
        <v>0.59675256038402147</v>
      </c>
      <c r="AI333" s="8">
        <v>72.099707916702869</v>
      </c>
      <c r="AJ333" s="8">
        <v>53.688054494349423</v>
      </c>
      <c r="AK333" s="8">
        <v>33.137651834855767</v>
      </c>
      <c r="AL333" s="8">
        <v>14.949910948944909</v>
      </c>
      <c r="AM333" s="8">
        <v>0.57361678582840092</v>
      </c>
      <c r="AN333" s="8">
        <v>71.524416167146597</v>
      </c>
      <c r="AO333" s="8">
        <v>52.655878949458987</v>
      </c>
      <c r="AP333" s="8">
        <v>32.907134629884183</v>
      </c>
      <c r="AQ333" s="8">
        <v>16.53360558282505</v>
      </c>
      <c r="AR333" s="8">
        <v>0.57904707166442082</v>
      </c>
      <c r="AS333" s="8">
        <v>72.247287010235468</v>
      </c>
      <c r="AT333" s="8">
        <v>52.953611885681909</v>
      </c>
      <c r="AU333" s="8">
        <v>27.487191201183339</v>
      </c>
      <c r="AV333" s="8">
        <v>18.923852250529659</v>
      </c>
      <c r="AW333" s="8">
        <v>0.53058387859169687</v>
      </c>
      <c r="AX333" s="8">
        <v>62.215693603934177</v>
      </c>
      <c r="AY333" s="8">
        <v>48.722940784237458</v>
      </c>
      <c r="AZ333" s="8">
        <v>32.232134255995483</v>
      </c>
      <c r="BA333" s="8">
        <v>16.125403036248809</v>
      </c>
      <c r="BB333" s="8">
        <v>0.57374230885029787</v>
      </c>
      <c r="BC333" s="8">
        <v>67.988149255674159</v>
      </c>
      <c r="BD333" s="8">
        <v>51.438207299764933</v>
      </c>
      <c r="BE333" s="8">
        <v>30.776586687289821</v>
      </c>
      <c r="BF333" s="8">
        <v>25.665301772214651</v>
      </c>
      <c r="BG333" s="8">
        <v>0.58795633112405077</v>
      </c>
      <c r="BH333" s="8">
        <v>57.020197581278637</v>
      </c>
      <c r="BI333" s="8">
        <v>62.479570658553733</v>
      </c>
    </row>
    <row r="334" spans="1:61" x14ac:dyDescent="0.15">
      <c r="A334" s="7">
        <v>2020</v>
      </c>
      <c r="B334" s="7">
        <v>22</v>
      </c>
      <c r="C334" s="7">
        <v>116.05186799447755</v>
      </c>
      <c r="D334" s="7">
        <v>43.583623883141719</v>
      </c>
      <c r="E334" s="8">
        <v>29.87904460681505</v>
      </c>
      <c r="F334" s="8">
        <v>16.175922001660702</v>
      </c>
      <c r="G334" s="8">
        <v>0.61564230360524463</v>
      </c>
      <c r="H334" s="8">
        <v>76.411942339165179</v>
      </c>
      <c r="I334" s="8">
        <v>56.182793111657567</v>
      </c>
      <c r="J334" s="8">
        <v>44.630982686746798</v>
      </c>
      <c r="K334" s="8">
        <v>33.467764131186478</v>
      </c>
      <c r="L334" s="8">
        <v>0.73118497893764878</v>
      </c>
      <c r="M334" s="8">
        <v>56.273466303189579</v>
      </c>
      <c r="N334" s="8">
        <v>74.089821398890905</v>
      </c>
      <c r="O334" s="8">
        <v>286.25900000000001</v>
      </c>
      <c r="P334" s="8">
        <v>279.31099999999998</v>
      </c>
      <c r="Q334" s="8">
        <v>92.333600000000004</v>
      </c>
      <c r="R334" s="8">
        <v>-0.19001299999999999</v>
      </c>
      <c r="S334" s="8">
        <v>-0.155473</v>
      </c>
      <c r="T334" s="7">
        <f>C334-D334</f>
        <v>72.468244111335821</v>
      </c>
      <c r="U334" s="8">
        <f>D334/C334</f>
        <v>0.37555297158349654</v>
      </c>
      <c r="V334" s="8">
        <v>29.936646804148104</v>
      </c>
      <c r="W334" s="8">
        <v>13.422468452645241</v>
      </c>
      <c r="X334" s="8">
        <v>0.63064348561907879</v>
      </c>
      <c r="Y334" s="8">
        <v>75.31146103448792</v>
      </c>
      <c r="Z334" s="8">
        <v>55.494549008840835</v>
      </c>
      <c r="AA334" s="7">
        <v>37.283814745447451</v>
      </c>
      <c r="AB334" s="7">
        <v>23.445116291915859</v>
      </c>
      <c r="AC334" s="7">
        <v>0.68091423227836378</v>
      </c>
      <c r="AD334" s="7">
        <v>65.792463668838749</v>
      </c>
      <c r="AE334" s="7">
        <v>64.79218520386587</v>
      </c>
      <c r="AF334" s="8">
        <v>44.393349384647642</v>
      </c>
      <c r="AG334" s="8">
        <v>31.81159247505849</v>
      </c>
      <c r="AH334" s="8">
        <v>0.72177781232870175</v>
      </c>
      <c r="AI334" s="8">
        <v>58.830912049800183</v>
      </c>
      <c r="AJ334" s="8">
        <v>72.809055186427074</v>
      </c>
      <c r="AK334" s="8">
        <v>44.656162334388192</v>
      </c>
      <c r="AL334" s="8">
        <v>33.643252239825387</v>
      </c>
      <c r="AM334" s="8">
        <v>0.73218176322009121</v>
      </c>
      <c r="AN334" s="8">
        <v>56.002479104876713</v>
      </c>
      <c r="AO334" s="8">
        <v>74.225531510461934</v>
      </c>
      <c r="AP334" s="8">
        <v>44.840411656507897</v>
      </c>
      <c r="AQ334" s="8">
        <v>28.928913677758288</v>
      </c>
      <c r="AR334" s="8">
        <v>0.75445134480311304</v>
      </c>
      <c r="AS334" s="8">
        <v>55.383687350443402</v>
      </c>
      <c r="AT334" s="8">
        <v>73.603568362452251</v>
      </c>
      <c r="AU334" s="8">
        <v>33.878408539230563</v>
      </c>
      <c r="AV334" s="8">
        <v>21.743956574638371</v>
      </c>
      <c r="AW334" s="8">
        <v>0.63462203731256084</v>
      </c>
      <c r="AX334" s="8">
        <v>62.654065845235678</v>
      </c>
      <c r="AY334" s="8">
        <v>55.756358528384517</v>
      </c>
      <c r="AZ334" s="8">
        <v>43.719716770723842</v>
      </c>
      <c r="BA334" s="8">
        <v>35.01646817543395</v>
      </c>
      <c r="BB334" s="8">
        <v>0.7183650647563814</v>
      </c>
      <c r="BC334" s="8">
        <v>55.713078324814781</v>
      </c>
      <c r="BD334" s="8">
        <v>72.629599110914469</v>
      </c>
      <c r="BE334" s="8">
        <v>40.5538603757375</v>
      </c>
      <c r="BF334" s="8">
        <v>35.911604796002443</v>
      </c>
      <c r="BG334" s="8">
        <v>0.67127785957528041</v>
      </c>
      <c r="BH334" s="8">
        <v>61.008840604320483</v>
      </c>
      <c r="BI334" s="8">
        <v>75.736832408732155</v>
      </c>
    </row>
    <row r="335" spans="1:61" x14ac:dyDescent="0.15">
      <c r="A335" s="7">
        <v>2023</v>
      </c>
      <c r="B335" s="7">
        <v>131</v>
      </c>
      <c r="C335" s="9">
        <v>93.555505892046597</v>
      </c>
      <c r="D335" s="7">
        <v>22.052658908970109</v>
      </c>
      <c r="E335" s="8">
        <v>34.381099873276327</v>
      </c>
      <c r="F335" s="8">
        <v>17.926323343019249</v>
      </c>
      <c r="G335" s="8">
        <v>0.61564883342815313</v>
      </c>
      <c r="H335" s="8">
        <v>79.941579812809621</v>
      </c>
      <c r="I335" s="8">
        <v>63.620145194999402</v>
      </c>
      <c r="J335" s="8">
        <v>39.788642776548208</v>
      </c>
      <c r="K335" s="8">
        <v>26.31261942604047</v>
      </c>
      <c r="L335" s="8">
        <v>0.66598978457339419</v>
      </c>
      <c r="M335" s="8">
        <v>79.168619534487206</v>
      </c>
      <c r="N335" s="8">
        <v>73.750060257164492</v>
      </c>
      <c r="O335" s="7">
        <v>287.166</v>
      </c>
      <c r="P335" s="7">
        <v>278.108</v>
      </c>
      <c r="Q335" s="7">
        <v>98.010999999999996</v>
      </c>
      <c r="R335" s="7">
        <v>0.20173199999999999</v>
      </c>
      <c r="S335" s="7">
        <v>0.276339</v>
      </c>
      <c r="T335" s="7">
        <f>C335-D335</f>
        <v>71.502846983076495</v>
      </c>
      <c r="U335" s="8">
        <f>D335/C335</f>
        <v>0.23571738187613034</v>
      </c>
      <c r="V335" s="8">
        <v>32.641993711942625</v>
      </c>
      <c r="W335" s="8">
        <v>21.186840732314693</v>
      </c>
      <c r="X335" s="8">
        <v>0.59271231192040585</v>
      </c>
      <c r="Y335" s="8">
        <v>76.469153731282077</v>
      </c>
      <c r="Z335" s="8">
        <v>67.711556641873628</v>
      </c>
      <c r="AA335" s="7">
        <v>36.215318244245417</v>
      </c>
      <c r="AB335" s="7">
        <v>23.749730079177581</v>
      </c>
      <c r="AC335" s="7">
        <v>0.62935104824690002</v>
      </c>
      <c r="AD335" s="7">
        <v>77.818886632884642</v>
      </c>
      <c r="AE335" s="7">
        <v>70.73080844951906</v>
      </c>
      <c r="AF335" s="8">
        <v>40.484710393880981</v>
      </c>
      <c r="AG335" s="8">
        <v>25.809794411445871</v>
      </c>
      <c r="AH335" s="8">
        <v>0.6702957973863426</v>
      </c>
      <c r="AI335" s="8">
        <v>81.167075324256174</v>
      </c>
      <c r="AJ335" s="8">
        <v>72.207164645122745</v>
      </c>
      <c r="AK335" s="8">
        <v>39.718168083867248</v>
      </c>
      <c r="AL335" s="8">
        <v>26.36352890307036</v>
      </c>
      <c r="AM335" s="8">
        <v>0.66555381409852032</v>
      </c>
      <c r="AN335" s="8">
        <v>78.966282068825294</v>
      </c>
      <c r="AO335" s="8">
        <v>73.906273664295981</v>
      </c>
      <c r="AP335" s="8">
        <v>35.233121241714457</v>
      </c>
      <c r="AQ335" s="8">
        <v>24.124296315923221</v>
      </c>
      <c r="AR335" s="8">
        <v>0.6222715478607963</v>
      </c>
      <c r="AS335" s="8">
        <v>78.16675352871448</v>
      </c>
      <c r="AT335" s="8">
        <v>70.176680674754863</v>
      </c>
      <c r="AU335" s="8">
        <v>36.138117995327597</v>
      </c>
      <c r="AV335" s="8">
        <v>20.783218873313299</v>
      </c>
      <c r="AW335" s="8">
        <v>0.57781614285448712</v>
      </c>
      <c r="AX335" s="8">
        <v>76.392429994844392</v>
      </c>
      <c r="AY335" s="8">
        <v>66.930387521478565</v>
      </c>
      <c r="AZ335" s="8">
        <v>39.708242935993553</v>
      </c>
      <c r="BA335" s="8">
        <v>25.834381191762869</v>
      </c>
      <c r="BB335" s="8">
        <v>0.66722651108976194</v>
      </c>
      <c r="BC335" s="8">
        <v>76.458617820104834</v>
      </c>
      <c r="BD335" s="8">
        <v>76.183277937035726</v>
      </c>
      <c r="BE335" s="8">
        <v>37.939837040888072</v>
      </c>
      <c r="BF335" s="8">
        <v>27.253697572720991</v>
      </c>
      <c r="BG335" s="8">
        <v>0.69804365197544993</v>
      </c>
      <c r="BH335" s="8">
        <v>69.293315899161826</v>
      </c>
      <c r="BI335" s="8">
        <v>80.649926076165443</v>
      </c>
    </row>
    <row r="336" spans="1:61" x14ac:dyDescent="0.15">
      <c r="A336" s="7">
        <v>2020</v>
      </c>
      <c r="B336" s="7">
        <v>109</v>
      </c>
      <c r="C336" s="7">
        <v>1.5494882640917234</v>
      </c>
      <c r="D336" s="7">
        <v>0.28070736794410622</v>
      </c>
      <c r="E336" s="8">
        <v>20.58349380956032</v>
      </c>
      <c r="F336" s="8">
        <v>15.778859857635901</v>
      </c>
      <c r="G336" s="8">
        <v>0.615658700704524</v>
      </c>
      <c r="H336" s="8">
        <v>62.042489873038363</v>
      </c>
      <c r="I336" s="8">
        <v>29.661463330226919</v>
      </c>
      <c r="J336" s="8">
        <v>22.297211592164651</v>
      </c>
      <c r="K336" s="8">
        <v>15.66382015814888</v>
      </c>
      <c r="L336" s="8">
        <v>0.67706553909071432</v>
      </c>
      <c r="M336" s="8">
        <v>71.824344137182095</v>
      </c>
      <c r="N336" s="8">
        <v>34.271912395130542</v>
      </c>
      <c r="O336" s="8">
        <v>296.03899999999999</v>
      </c>
      <c r="P336" s="8">
        <v>291.60599999999999</v>
      </c>
      <c r="Q336" s="8">
        <v>100.245</v>
      </c>
      <c r="R336" s="8">
        <v>-1.2437400000000001</v>
      </c>
      <c r="S336" s="8">
        <v>-0.416518</v>
      </c>
      <c r="T336" s="7">
        <f>C336-D336</f>
        <v>1.268780896147617</v>
      </c>
      <c r="U336" s="8">
        <f>D336/C336</f>
        <v>0.18116133852014094</v>
      </c>
      <c r="V336" s="8">
        <v>24.31119836696643</v>
      </c>
      <c r="W336" s="8">
        <v>20.707158402214617</v>
      </c>
      <c r="X336" s="8">
        <v>0.72376983513523951</v>
      </c>
      <c r="Y336" s="8">
        <v>59.846125631285418</v>
      </c>
      <c r="Z336" s="8">
        <v>36.084654700907294</v>
      </c>
      <c r="AA336" s="7">
        <v>23.30420497956554</v>
      </c>
      <c r="AB336" s="7">
        <v>18.185489280181748</v>
      </c>
      <c r="AC336" s="7">
        <v>0.70041768711297692</v>
      </c>
      <c r="AD336" s="7">
        <v>65.835234884233756</v>
      </c>
      <c r="AE336" s="7">
        <v>35.178283548018918</v>
      </c>
      <c r="AF336" s="8">
        <v>24.154755851895299</v>
      </c>
      <c r="AG336" s="8">
        <v>16.80005230784921</v>
      </c>
      <c r="AH336" s="8">
        <v>0.6975674373650258</v>
      </c>
      <c r="AI336" s="8">
        <v>67.410159410763541</v>
      </c>
      <c r="AJ336" s="8">
        <v>35.684777633806647</v>
      </c>
      <c r="AK336" s="8">
        <v>22.002352631274132</v>
      </c>
      <c r="AL336" s="8">
        <v>15.483459324625789</v>
      </c>
      <c r="AM336" s="8">
        <v>0.67381115180503892</v>
      </c>
      <c r="AN336" s="8">
        <v>72.525033724949594</v>
      </c>
      <c r="AO336" s="8">
        <v>34.047639959105368</v>
      </c>
      <c r="AP336" s="8">
        <v>25.548559430321539</v>
      </c>
      <c r="AQ336" s="8">
        <v>17.785433383020202</v>
      </c>
      <c r="AR336" s="8">
        <v>0.70748079538113795</v>
      </c>
      <c r="AS336" s="8">
        <v>65.779137279646505</v>
      </c>
      <c r="AT336" s="8">
        <v>36.086220225510537</v>
      </c>
      <c r="AU336" s="8">
        <v>20.610390858529069</v>
      </c>
      <c r="AV336" s="8">
        <v>15.90398992173516</v>
      </c>
      <c r="AW336" s="8">
        <v>0.62658602566769617</v>
      </c>
      <c r="AX336" s="8">
        <v>71.21736767243452</v>
      </c>
      <c r="AY336" s="8">
        <v>33.445910486147021</v>
      </c>
      <c r="AZ336" s="8">
        <v>20.76150977444491</v>
      </c>
      <c r="BA336" s="8">
        <v>14.749048975318431</v>
      </c>
      <c r="BB336" s="8">
        <v>0.66455208119927811</v>
      </c>
      <c r="BC336" s="8">
        <v>73.738062597001232</v>
      </c>
      <c r="BD336" s="8">
        <v>33.42717465335722</v>
      </c>
      <c r="BE336" s="8">
        <v>22.007266518712271</v>
      </c>
      <c r="BF336" s="8">
        <v>18.23433417547723</v>
      </c>
      <c r="BG336" s="8">
        <v>0.75010308194438169</v>
      </c>
      <c r="BH336" s="8">
        <v>66.880302526848411</v>
      </c>
      <c r="BI336" s="8">
        <v>37.403847983496497</v>
      </c>
    </row>
    <row r="337" spans="1:61" x14ac:dyDescent="0.15">
      <c r="A337" s="7">
        <v>2022</v>
      </c>
      <c r="B337" s="7">
        <v>76</v>
      </c>
      <c r="C337" s="7">
        <v>4.5555836399906502</v>
      </c>
      <c r="D337" s="7">
        <v>1.3849025159724915</v>
      </c>
      <c r="E337" s="8">
        <v>20.42267562822386</v>
      </c>
      <c r="F337" s="8">
        <v>12.47116708084037</v>
      </c>
      <c r="G337" s="8">
        <v>0.61585348224856029</v>
      </c>
      <c r="H337" s="8">
        <v>52.695789327707679</v>
      </c>
      <c r="I337" s="8">
        <v>30.446525977482569</v>
      </c>
      <c r="J337" s="8">
        <v>18.10716428110797</v>
      </c>
      <c r="K337" s="8">
        <v>14.543744627279921</v>
      </c>
      <c r="L337" s="8">
        <v>0.6255332577792756</v>
      </c>
      <c r="M337" s="8">
        <v>58.437550356126309</v>
      </c>
      <c r="N337" s="8">
        <v>33.221949386110253</v>
      </c>
      <c r="O337" s="8">
        <v>295.38</v>
      </c>
      <c r="P337" s="8">
        <v>291.56900000000002</v>
      </c>
      <c r="Q337" s="8">
        <v>99.102500000000006</v>
      </c>
      <c r="R337" s="8">
        <v>-1.02789</v>
      </c>
      <c r="S337" s="8">
        <v>-0.25833699999999998</v>
      </c>
      <c r="T337" s="7">
        <f>C337-D337</f>
        <v>3.1706811240181585</v>
      </c>
      <c r="U337" s="8">
        <f>D337/C337</f>
        <v>0.30400111718184453</v>
      </c>
      <c r="V337" s="8">
        <v>21.087908696845552</v>
      </c>
      <c r="W337" s="8">
        <v>11.461836340945201</v>
      </c>
      <c r="X337" s="8">
        <v>0.63616777516004053</v>
      </c>
      <c r="Y337" s="8">
        <v>51.467157889842696</v>
      </c>
      <c r="Z337" s="8">
        <v>29.584042183239028</v>
      </c>
      <c r="AA337" s="7">
        <v>19.597536488976761</v>
      </c>
      <c r="AB337" s="7">
        <v>13.002790484112561</v>
      </c>
      <c r="AC337" s="7">
        <v>0.63085051646965806</v>
      </c>
      <c r="AD337" s="7">
        <v>54.952354122984502</v>
      </c>
      <c r="AE337" s="7">
        <v>31.402995784674641</v>
      </c>
      <c r="AF337" s="8">
        <v>18.13811632866102</v>
      </c>
      <c r="AG337" s="8">
        <v>13.98654617033937</v>
      </c>
      <c r="AH337" s="8">
        <v>0.5999946137011456</v>
      </c>
      <c r="AI337" s="8">
        <v>58.374398431466318</v>
      </c>
      <c r="AJ337" s="8">
        <v>31.82580485573224</v>
      </c>
      <c r="AK337" s="8">
        <v>18.104649505747489</v>
      </c>
      <c r="AL337" s="8">
        <v>14.589015588692209</v>
      </c>
      <c r="AM337" s="8">
        <v>0.62760820783734206</v>
      </c>
      <c r="AN337" s="8">
        <v>58.442681289833672</v>
      </c>
      <c r="AO337" s="8">
        <v>33.335382588182938</v>
      </c>
      <c r="AP337" s="8">
        <v>18.287010352266869</v>
      </c>
      <c r="AQ337" s="8">
        <v>13.286063524680509</v>
      </c>
      <c r="AR337" s="8">
        <v>0.65649485385471984</v>
      </c>
      <c r="AS337" s="8">
        <v>59.39756481461783</v>
      </c>
      <c r="AT337" s="8">
        <v>32.866124624591137</v>
      </c>
      <c r="AU337" s="8">
        <v>18.837968323862182</v>
      </c>
      <c r="AV337" s="8">
        <v>16.713348655287071</v>
      </c>
      <c r="AW337" s="8">
        <v>0.67420739095585358</v>
      </c>
      <c r="AX337" s="8">
        <v>59.772242272690193</v>
      </c>
      <c r="AY337" s="8">
        <v>34.195894787110809</v>
      </c>
      <c r="AZ337" s="8">
        <v>16.366421151621921</v>
      </c>
      <c r="BA337" s="8">
        <v>17.211514774234239</v>
      </c>
      <c r="BB337" s="8">
        <v>0.62074588857628976</v>
      </c>
      <c r="BC337" s="8">
        <v>59.114750013043363</v>
      </c>
      <c r="BD337" s="8">
        <v>34.646657741876503</v>
      </c>
      <c r="BE337" s="8">
        <v>19.886185066312791</v>
      </c>
      <c r="BF337" s="8">
        <v>18.262221612964598</v>
      </c>
      <c r="BG337" s="8">
        <v>0.68601360148337609</v>
      </c>
      <c r="BH337" s="8">
        <v>57.492643878794929</v>
      </c>
      <c r="BI337" s="8">
        <v>32.236578104188823</v>
      </c>
    </row>
    <row r="338" spans="1:61" x14ac:dyDescent="0.15">
      <c r="A338" s="7">
        <v>2018</v>
      </c>
      <c r="B338" s="7">
        <v>53</v>
      </c>
      <c r="C338" s="7">
        <v>199.01550806059049</v>
      </c>
      <c r="D338" s="7">
        <v>47.00089681437025</v>
      </c>
      <c r="E338" s="8">
        <v>30.07587511361568</v>
      </c>
      <c r="F338" s="8">
        <v>17.084808173669249</v>
      </c>
      <c r="G338" s="8">
        <v>0.61666505673729732</v>
      </c>
      <c r="H338" s="8">
        <v>61.125511618766268</v>
      </c>
      <c r="I338" s="8">
        <v>46.705112178860041</v>
      </c>
      <c r="J338" s="8">
        <v>36.583466492290512</v>
      </c>
      <c r="K338" s="8">
        <v>25.5289242334667</v>
      </c>
      <c r="L338" s="8">
        <v>0.70601396269544425</v>
      </c>
      <c r="M338" s="8">
        <v>60.900120839687112</v>
      </c>
      <c r="N338" s="8">
        <v>57.553077965407716</v>
      </c>
      <c r="O338" s="8">
        <v>277.22300000000001</v>
      </c>
      <c r="P338" s="8">
        <v>270.66399999999999</v>
      </c>
      <c r="Q338" s="8">
        <v>97.941699999999997</v>
      </c>
      <c r="R338" s="8">
        <v>1.19584</v>
      </c>
      <c r="S338" s="8">
        <v>0.64627299999999999</v>
      </c>
      <c r="T338" s="7">
        <f>C338-D338</f>
        <v>152.01461124622023</v>
      </c>
      <c r="U338" s="8">
        <f>D338/C338</f>
        <v>0.23616700664382786</v>
      </c>
      <c r="V338" s="8">
        <v>26.007494318314585</v>
      </c>
      <c r="W338" s="8">
        <v>13.542869745023982</v>
      </c>
      <c r="X338" s="8">
        <v>0.58111808836728929</v>
      </c>
      <c r="Y338" s="8">
        <v>63.670059293346348</v>
      </c>
      <c r="Z338" s="8">
        <v>40.673159436336526</v>
      </c>
      <c r="AA338" s="7">
        <v>31.295480405302548</v>
      </c>
      <c r="AB338" s="7">
        <v>19.535896989245341</v>
      </c>
      <c r="AC338" s="7">
        <v>0.64356602553136677</v>
      </c>
      <c r="AD338" s="7">
        <v>62.28509006651673</v>
      </c>
      <c r="AE338" s="7">
        <v>49.113118700872121</v>
      </c>
      <c r="AF338" s="8">
        <v>37.79254947790772</v>
      </c>
      <c r="AG338" s="8">
        <v>26.007538498907209</v>
      </c>
      <c r="AH338" s="8">
        <v>0.7034211570676735</v>
      </c>
      <c r="AI338" s="8">
        <v>60.209974622554107</v>
      </c>
      <c r="AJ338" s="8">
        <v>58.501889833917858</v>
      </c>
      <c r="AK338" s="8">
        <v>36.409451394440403</v>
      </c>
      <c r="AL338" s="8">
        <v>25.460040534643859</v>
      </c>
      <c r="AM338" s="8">
        <v>0.70638712759015376</v>
      </c>
      <c r="AN338" s="8">
        <v>60.999448894861061</v>
      </c>
      <c r="AO338" s="8">
        <v>57.41652192078201</v>
      </c>
      <c r="AP338" s="8">
        <v>32.108729323264932</v>
      </c>
      <c r="AQ338" s="8">
        <v>20.989115237743679</v>
      </c>
      <c r="AR338" s="8">
        <v>0.65518667481090864</v>
      </c>
      <c r="AS338" s="8">
        <v>63.569772440702941</v>
      </c>
      <c r="AT338" s="8">
        <v>50.631948888420432</v>
      </c>
      <c r="AU338" s="8">
        <v>29.939639613668291</v>
      </c>
      <c r="AV338" s="8">
        <v>18.229865716810998</v>
      </c>
      <c r="AW338" s="8">
        <v>0.60489570635788137</v>
      </c>
      <c r="AX338" s="8">
        <v>64.841985260359579</v>
      </c>
      <c r="AY338" s="8">
        <v>49.241188721499142</v>
      </c>
      <c r="AZ338" s="8">
        <v>36.086507505905253</v>
      </c>
      <c r="BA338" s="8">
        <v>26.564875260764651</v>
      </c>
      <c r="BB338" s="8">
        <v>0.73027002468438951</v>
      </c>
      <c r="BC338" s="8">
        <v>60.337972840902253</v>
      </c>
      <c r="BD338" s="8">
        <v>58.759159311428157</v>
      </c>
      <c r="BE338" s="8">
        <v>26.054752401473461</v>
      </c>
      <c r="BF338" s="8">
        <v>19.56949132449887</v>
      </c>
      <c r="BG338" s="8">
        <v>0.61090780529842981</v>
      </c>
      <c r="BH338" s="8">
        <v>64.23502362985235</v>
      </c>
      <c r="BI338" s="8">
        <v>44.412748540630901</v>
      </c>
    </row>
    <row r="339" spans="1:61" x14ac:dyDescent="0.15">
      <c r="A339" s="7">
        <v>2022</v>
      </c>
      <c r="B339" s="7">
        <v>28</v>
      </c>
      <c r="C339" s="7">
        <v>82.498021213391567</v>
      </c>
      <c r="D339" s="7">
        <v>8.349349621332065</v>
      </c>
      <c r="E339" s="8">
        <v>32.885157547486934</v>
      </c>
      <c r="F339" s="8">
        <v>23.509581710947341</v>
      </c>
      <c r="G339" s="8">
        <v>0.61668486762137398</v>
      </c>
      <c r="H339" s="8">
        <v>74.433256841983663</v>
      </c>
      <c r="I339" s="8">
        <v>42.269603304813053</v>
      </c>
      <c r="J339" s="8">
        <v>36.586745771322363</v>
      </c>
      <c r="K339" s="8">
        <v>22.176750056671771</v>
      </c>
      <c r="L339" s="8">
        <v>0.611785189603678</v>
      </c>
      <c r="M339" s="8">
        <v>74.890333155083397</v>
      </c>
      <c r="N339" s="8">
        <v>56.469628840881519</v>
      </c>
      <c r="O339" s="8">
        <v>289.03199999999998</v>
      </c>
      <c r="P339" s="8">
        <v>281.95999999999998</v>
      </c>
      <c r="Q339" s="8">
        <v>101.128</v>
      </c>
      <c r="R339" s="8">
        <v>-0.62019000000000002</v>
      </c>
      <c r="S339" s="8">
        <v>0.171292</v>
      </c>
      <c r="T339" s="7">
        <f>C339-D339</f>
        <v>74.1486715920595</v>
      </c>
      <c r="U339" s="8">
        <f>D339/C339</f>
        <v>0.10120666530577038</v>
      </c>
      <c r="V339" s="8">
        <v>32.890729228065972</v>
      </c>
      <c r="W339" s="8">
        <v>24.208559884591331</v>
      </c>
      <c r="X339" s="8">
        <v>0.60419185297390554</v>
      </c>
      <c r="Y339" s="8">
        <v>68.423528344667119</v>
      </c>
      <c r="Z339" s="8">
        <v>55.473978026919603</v>
      </c>
      <c r="AA339" s="7">
        <v>34.738737499694167</v>
      </c>
      <c r="AB339" s="7">
        <v>23.192654970631551</v>
      </c>
      <c r="AC339" s="7">
        <v>0.60798852128879177</v>
      </c>
      <c r="AD339" s="7">
        <v>71.656930749875258</v>
      </c>
      <c r="AE339" s="7">
        <v>55.971803433900561</v>
      </c>
      <c r="AF339" s="8">
        <v>36.44472054448314</v>
      </c>
      <c r="AG339" s="8">
        <v>20.858252929274968</v>
      </c>
      <c r="AH339" s="8">
        <v>0.57567975897156765</v>
      </c>
      <c r="AI339" s="8">
        <v>75.819179647229404</v>
      </c>
      <c r="AJ339" s="8">
        <v>49.408301942734752</v>
      </c>
      <c r="AK339" s="8">
        <v>36.596886304144903</v>
      </c>
      <c r="AL339" s="8">
        <v>22.270890116817039</v>
      </c>
      <c r="AM339" s="8">
        <v>0.61436309996893468</v>
      </c>
      <c r="AN339" s="8">
        <v>74.824013962709415</v>
      </c>
      <c r="AO339" s="8">
        <v>56.973804181945269</v>
      </c>
      <c r="AP339" s="8">
        <v>33.947243600220673</v>
      </c>
      <c r="AQ339" s="8">
        <v>23.088393899059231</v>
      </c>
      <c r="AR339" s="8">
        <v>0.59522491760181895</v>
      </c>
      <c r="AS339" s="8">
        <v>70.872168478027831</v>
      </c>
      <c r="AT339" s="8">
        <v>53.915308723510172</v>
      </c>
      <c r="AU339" s="8">
        <v>33.946887661558009</v>
      </c>
      <c r="AV339" s="8">
        <v>23.21882527520139</v>
      </c>
      <c r="AW339" s="8">
        <v>0.57493682363157517</v>
      </c>
      <c r="AX339" s="8">
        <v>73.63737218025004</v>
      </c>
      <c r="AY339" s="8">
        <v>65.080100565675579</v>
      </c>
      <c r="AZ339" s="8">
        <v>36.75983069250978</v>
      </c>
      <c r="BA339" s="8">
        <v>22.639412519387729</v>
      </c>
      <c r="BB339" s="8">
        <v>0.63078432310956489</v>
      </c>
      <c r="BC339" s="8">
        <v>74.515522653571054</v>
      </c>
      <c r="BD339" s="8">
        <v>61.993125717398279</v>
      </c>
      <c r="BE339" s="8">
        <v>37.910329777510192</v>
      </c>
      <c r="BF339" s="8">
        <v>30.471021543086991</v>
      </c>
      <c r="BG339" s="8">
        <v>0.57304669985776635</v>
      </c>
      <c r="BH339" s="8">
        <v>67.730716190601356</v>
      </c>
      <c r="BI339" s="8">
        <v>78.444324850496173</v>
      </c>
    </row>
    <row r="340" spans="1:61" x14ac:dyDescent="0.15">
      <c r="A340" s="7">
        <v>2022</v>
      </c>
      <c r="B340" s="7">
        <v>144</v>
      </c>
      <c r="C340" s="7">
        <v>77.91409357790333</v>
      </c>
      <c r="D340" s="7">
        <v>15.191538014087138</v>
      </c>
      <c r="E340" s="8">
        <v>31.614268634166951</v>
      </c>
      <c r="F340" s="8">
        <v>20.994672925418289</v>
      </c>
      <c r="G340" s="8">
        <v>0.61909818596837429</v>
      </c>
      <c r="H340" s="8">
        <v>70.1591856037263</v>
      </c>
      <c r="I340" s="8">
        <v>52.996535802907253</v>
      </c>
      <c r="J340" s="8">
        <v>40.457647814872708</v>
      </c>
      <c r="K340" s="8">
        <v>27.573895955466551</v>
      </c>
      <c r="L340" s="8">
        <v>0.76513837783958971</v>
      </c>
      <c r="M340" s="8">
        <v>62.039845313707097</v>
      </c>
      <c r="N340" s="8">
        <v>83.666442271735562</v>
      </c>
      <c r="O340" s="8">
        <v>286.88299999999998</v>
      </c>
      <c r="P340" s="8">
        <v>278.70999999999998</v>
      </c>
      <c r="Q340" s="8">
        <v>94.038600000000002</v>
      </c>
      <c r="R340" s="8">
        <v>-0.41561999999999999</v>
      </c>
      <c r="S340" s="8">
        <v>2.7015999999999998E-2</v>
      </c>
      <c r="T340" s="7">
        <f>C340-D340</f>
        <v>62.722555563816194</v>
      </c>
      <c r="U340" s="8">
        <f>D340/C340</f>
        <v>0.19497804975293331</v>
      </c>
      <c r="V340" s="8">
        <v>36.312194794275477</v>
      </c>
      <c r="W340" s="8">
        <v>24.364898524235908</v>
      </c>
      <c r="X340" s="8">
        <v>0.63638943731220032</v>
      </c>
      <c r="Y340" s="8">
        <v>60.341575272392426</v>
      </c>
      <c r="Z340" s="8">
        <v>62.595014352717598</v>
      </c>
      <c r="AA340" s="7">
        <v>38.384921304574092</v>
      </c>
      <c r="AB340" s="7">
        <v>25.969397239851229</v>
      </c>
      <c r="AC340" s="7">
        <v>0.70076390757589502</v>
      </c>
      <c r="AD340" s="7">
        <v>61.190710293049762</v>
      </c>
      <c r="AE340" s="7">
        <v>73.13072831222658</v>
      </c>
      <c r="AF340" s="8">
        <v>41.052067622878241</v>
      </c>
      <c r="AG340" s="8">
        <v>28.509123751597279</v>
      </c>
      <c r="AH340" s="8">
        <v>0.78046397009061841</v>
      </c>
      <c r="AI340" s="8">
        <v>61.549049230972543</v>
      </c>
      <c r="AJ340" s="8">
        <v>77.927664825729977</v>
      </c>
      <c r="AK340" s="8">
        <v>40.367249178863119</v>
      </c>
      <c r="AL340" s="8">
        <v>27.43166765824315</v>
      </c>
      <c r="AM340" s="8">
        <v>0.76280768054977222</v>
      </c>
      <c r="AN340" s="8">
        <v>62.114484980556227</v>
      </c>
      <c r="AO340" s="8">
        <v>84.539188513524152</v>
      </c>
      <c r="AP340" s="8">
        <v>40.164757676492222</v>
      </c>
      <c r="AQ340" s="8">
        <v>27.098842245333021</v>
      </c>
      <c r="AR340" s="8">
        <v>0.71515745291842014</v>
      </c>
      <c r="AS340" s="8">
        <v>57.931674608602343</v>
      </c>
      <c r="AT340" s="8">
        <v>77.043728342743151</v>
      </c>
      <c r="AU340" s="8">
        <v>36.040552759619473</v>
      </c>
      <c r="AV340" s="8">
        <v>25.546175349361398</v>
      </c>
      <c r="AW340" s="8">
        <v>0.69928492832655953</v>
      </c>
      <c r="AX340" s="8">
        <v>60.656368394072672</v>
      </c>
      <c r="AY340" s="8">
        <v>69.182134260774617</v>
      </c>
      <c r="AZ340" s="8">
        <v>40.299861314903907</v>
      </c>
      <c r="BA340" s="8">
        <v>28.035841489578239</v>
      </c>
      <c r="BB340" s="8">
        <v>0.7727632483960315</v>
      </c>
      <c r="BC340" s="8">
        <v>63.609523705525817</v>
      </c>
      <c r="BD340" s="8">
        <v>90.478323961471219</v>
      </c>
      <c r="BE340" s="8">
        <v>43.932438302735861</v>
      </c>
      <c r="BF340" s="8">
        <v>30.11050283295344</v>
      </c>
      <c r="BG340" s="8">
        <v>0.82755927900382309</v>
      </c>
      <c r="BH340" s="8">
        <v>62.486973954846817</v>
      </c>
      <c r="BI340" s="8">
        <v>110.0299343346351</v>
      </c>
    </row>
    <row r="341" spans="1:61" x14ac:dyDescent="0.15">
      <c r="A341" s="7">
        <v>2022</v>
      </c>
      <c r="B341" s="7">
        <v>142</v>
      </c>
      <c r="C341" s="7">
        <v>24.456233758131653</v>
      </c>
      <c r="D341" s="7">
        <v>2.3277598662475163</v>
      </c>
      <c r="E341" s="8">
        <v>30.759377913714339</v>
      </c>
      <c r="F341" s="8">
        <v>20.328929185518721</v>
      </c>
      <c r="G341" s="8">
        <v>0.61911438517843709</v>
      </c>
      <c r="H341" s="8">
        <v>74.556688377161251</v>
      </c>
      <c r="I341" s="8">
        <v>50.065530906996408</v>
      </c>
      <c r="J341" s="8">
        <v>35.537104010741608</v>
      </c>
      <c r="K341" s="8">
        <v>24.47584567930625</v>
      </c>
      <c r="L341" s="8">
        <v>0.72384392436641753</v>
      </c>
      <c r="M341" s="8">
        <v>67.899796424882936</v>
      </c>
      <c r="N341" s="8">
        <v>69.691994768453071</v>
      </c>
      <c r="O341" s="8">
        <v>284.68400000000003</v>
      </c>
      <c r="P341" s="8">
        <v>276.80500000000001</v>
      </c>
      <c r="Q341" s="8">
        <v>90.329100000000011</v>
      </c>
      <c r="R341" s="8">
        <v>0.204345</v>
      </c>
      <c r="S341" s="8">
        <v>0.20624200000000001</v>
      </c>
      <c r="T341" s="7">
        <f>C341-D341</f>
        <v>22.128473891884138</v>
      </c>
      <c r="U341" s="8">
        <f>D341/C341</f>
        <v>9.5180635304221384E-2</v>
      </c>
      <c r="V341" s="8">
        <v>30.839012432571799</v>
      </c>
      <c r="W341" s="8">
        <v>21.13473645647375</v>
      </c>
      <c r="X341" s="8">
        <v>0.60636711195405091</v>
      </c>
      <c r="Y341" s="8">
        <v>70.722780519045784</v>
      </c>
      <c r="Z341" s="8">
        <v>49.60709204893233</v>
      </c>
      <c r="AA341" s="7">
        <v>33.188058221656703</v>
      </c>
      <c r="AB341" s="7">
        <v>22.80529106789</v>
      </c>
      <c r="AC341" s="7">
        <v>0.66510551816023422</v>
      </c>
      <c r="AD341" s="7">
        <v>69.31128847196436</v>
      </c>
      <c r="AE341" s="7">
        <v>59.649543408692701</v>
      </c>
      <c r="AF341" s="8">
        <v>34.801402976674481</v>
      </c>
      <c r="AG341" s="8">
        <v>23.396167739556891</v>
      </c>
      <c r="AH341" s="8">
        <v>0.69838653429158604</v>
      </c>
      <c r="AI341" s="8">
        <v>68.693299330728593</v>
      </c>
      <c r="AJ341" s="8">
        <v>62.34490295165503</v>
      </c>
      <c r="AK341" s="8">
        <v>35.656707625595971</v>
      </c>
      <c r="AL341" s="8">
        <v>24.651369945948449</v>
      </c>
      <c r="AM341" s="8">
        <v>0.72798255641492104</v>
      </c>
      <c r="AN341" s="8">
        <v>67.770795904913669</v>
      </c>
      <c r="AO341" s="8">
        <v>70.886418453163841</v>
      </c>
      <c r="AP341" s="8">
        <v>36.031159759256553</v>
      </c>
      <c r="AQ341" s="8">
        <v>25.280892878569631</v>
      </c>
      <c r="AR341" s="8">
        <v>0.7114118447588792</v>
      </c>
      <c r="AS341" s="8">
        <v>63.640352707445857</v>
      </c>
      <c r="AT341" s="8">
        <v>70.607681368204254</v>
      </c>
      <c r="AU341" s="8">
        <v>34.24552270926911</v>
      </c>
      <c r="AV341" s="8">
        <v>25.066358925668322</v>
      </c>
      <c r="AW341" s="8">
        <v>0.69497106346897264</v>
      </c>
      <c r="AX341" s="8">
        <v>62.947443869275553</v>
      </c>
      <c r="AY341" s="8">
        <v>62.736108163810087</v>
      </c>
      <c r="AZ341" s="8">
        <v>36.508924560269797</v>
      </c>
      <c r="BA341" s="8">
        <v>26.082597181179551</v>
      </c>
      <c r="BB341" s="8">
        <v>0.75879599121635066</v>
      </c>
      <c r="BC341" s="8">
        <v>69.466681999292078</v>
      </c>
      <c r="BD341" s="8">
        <v>79.292505771225052</v>
      </c>
      <c r="BE341" s="8">
        <v>42.35560841125686</v>
      </c>
      <c r="BF341" s="8">
        <v>30.123689070270661</v>
      </c>
      <c r="BG341" s="8">
        <v>0.79358379485651243</v>
      </c>
      <c r="BH341" s="8">
        <v>66.574741719043558</v>
      </c>
      <c r="BI341" s="8">
        <v>102.559630001706</v>
      </c>
    </row>
    <row r="342" spans="1:61" x14ac:dyDescent="0.15">
      <c r="A342" s="7">
        <v>2023</v>
      </c>
      <c r="B342" s="7">
        <v>84</v>
      </c>
      <c r="C342" s="9">
        <v>70.811817040943225</v>
      </c>
      <c r="D342" s="7">
        <v>19.272818880957477</v>
      </c>
      <c r="E342" s="8">
        <v>37.282217805028147</v>
      </c>
      <c r="F342" s="8">
        <v>23.247412004792</v>
      </c>
      <c r="G342" s="8">
        <v>0.63326108461773445</v>
      </c>
      <c r="H342" s="8">
        <v>83.373588345882581</v>
      </c>
      <c r="I342" s="8">
        <v>69.3785727978822</v>
      </c>
      <c r="J342" s="8">
        <v>39.343448915781373</v>
      </c>
      <c r="K342" s="8">
        <v>29.79140637144987</v>
      </c>
      <c r="L342" s="8">
        <v>0.68646646694400937</v>
      </c>
      <c r="M342" s="8">
        <v>77.065076912052263</v>
      </c>
      <c r="N342" s="8">
        <v>69.736964371645101</v>
      </c>
      <c r="O342" s="7">
        <v>288.577</v>
      </c>
      <c r="P342" s="7">
        <v>278.90499999999997</v>
      </c>
      <c r="Q342" s="7">
        <v>101.371</v>
      </c>
      <c r="R342" s="7">
        <v>-1.54012E-2</v>
      </c>
      <c r="S342" s="7">
        <v>0.56880600000000003</v>
      </c>
      <c r="T342" s="7">
        <f>C342-D342</f>
        <v>51.538998159985752</v>
      </c>
      <c r="U342" s="8">
        <f>D342/C342</f>
        <v>0.27216952884875101</v>
      </c>
      <c r="V342" s="8">
        <v>30.651580171217709</v>
      </c>
      <c r="W342" s="8">
        <v>24.806858489158468</v>
      </c>
      <c r="X342" s="8">
        <v>0.60100353783371718</v>
      </c>
      <c r="Y342" s="8">
        <v>82.687115212553721</v>
      </c>
      <c r="Z342" s="8">
        <v>64.814178074776876</v>
      </c>
      <c r="AA342" s="7">
        <v>34.997514543499541</v>
      </c>
      <c r="AB342" s="7">
        <v>27.299132430304169</v>
      </c>
      <c r="AC342" s="7">
        <v>0.64373500238886328</v>
      </c>
      <c r="AD342" s="7">
        <v>79.876096062302992</v>
      </c>
      <c r="AE342" s="7">
        <v>67.275571223210989</v>
      </c>
      <c r="AF342" s="8">
        <v>39.519240296194738</v>
      </c>
      <c r="AG342" s="8">
        <v>30.37207617180475</v>
      </c>
      <c r="AH342" s="8">
        <v>0.73022527808030402</v>
      </c>
      <c r="AI342" s="8">
        <v>75.865383769551386</v>
      </c>
      <c r="AJ342" s="8">
        <v>69.38254342172695</v>
      </c>
      <c r="AK342" s="8">
        <v>39.32250107498605</v>
      </c>
      <c r="AL342" s="8">
        <v>29.722211974637691</v>
      </c>
      <c r="AM342" s="8">
        <v>0.68125203261327061</v>
      </c>
      <c r="AN342" s="8">
        <v>77.208036031511043</v>
      </c>
      <c r="AO342" s="8">
        <v>69.779198260564755</v>
      </c>
      <c r="AP342" s="8">
        <v>34.040492366525967</v>
      </c>
      <c r="AQ342" s="8">
        <v>27.203494142812922</v>
      </c>
      <c r="AR342" s="8">
        <v>0.64434991533971198</v>
      </c>
      <c r="AS342" s="8">
        <v>80.853496416950222</v>
      </c>
      <c r="AT342" s="8">
        <v>66.220898109690651</v>
      </c>
      <c r="AU342" s="8">
        <v>34.96140082242578</v>
      </c>
      <c r="AV342" s="8">
        <v>28.753963587864199</v>
      </c>
      <c r="AW342" s="8">
        <v>0.6902092257554141</v>
      </c>
      <c r="AX342" s="8">
        <v>68.218258983466157</v>
      </c>
      <c r="AY342" s="8">
        <v>65.609898556291739</v>
      </c>
      <c r="AZ342" s="8">
        <v>38.072571652859303</v>
      </c>
      <c r="BA342" s="8">
        <v>27.66755590064318</v>
      </c>
      <c r="BB342" s="8">
        <v>0.63901240756200073</v>
      </c>
      <c r="BC342" s="8">
        <v>76.945819760081591</v>
      </c>
      <c r="BD342" s="8">
        <v>70.592177206171471</v>
      </c>
      <c r="BE342" s="8">
        <v>29.455083042242538</v>
      </c>
      <c r="BF342" s="8">
        <v>29.679465750756869</v>
      </c>
      <c r="BG342" s="8">
        <v>0.80131900200397721</v>
      </c>
      <c r="BH342" s="8">
        <v>68.119591794206229</v>
      </c>
      <c r="BI342" s="8">
        <v>66.735523672489393</v>
      </c>
    </row>
    <row r="343" spans="1:61" x14ac:dyDescent="0.15">
      <c r="A343" s="7">
        <v>2020</v>
      </c>
      <c r="B343" s="7">
        <v>57</v>
      </c>
      <c r="C343" s="7">
        <v>35.007248888000419</v>
      </c>
      <c r="D343" s="7">
        <v>16.187528317720833</v>
      </c>
      <c r="E343" s="8">
        <v>33.57021836647683</v>
      </c>
      <c r="F343" s="8">
        <v>28.605460522196431</v>
      </c>
      <c r="G343" s="8">
        <v>0.63334446511886033</v>
      </c>
      <c r="H343" s="8">
        <v>75.029893186142985</v>
      </c>
      <c r="I343" s="8">
        <v>45.17013934304952</v>
      </c>
      <c r="J343" s="8">
        <v>35.516736214269663</v>
      </c>
      <c r="K343" s="8">
        <v>33.841132556964133</v>
      </c>
      <c r="L343" s="8">
        <v>0.76000494073226932</v>
      </c>
      <c r="M343" s="8">
        <v>67.327196749996574</v>
      </c>
      <c r="N343" s="8">
        <v>60.219710679068093</v>
      </c>
      <c r="O343" s="8">
        <v>289.93900000000002</v>
      </c>
      <c r="P343" s="8">
        <v>285.46100000000001</v>
      </c>
      <c r="Q343" s="8">
        <v>101.462</v>
      </c>
      <c r="R343" s="8">
        <v>-0.76476599999999995</v>
      </c>
      <c r="S343" s="8">
        <v>-0.22634499999999999</v>
      </c>
      <c r="T343" s="7">
        <f>C343-D343</f>
        <v>18.819720570279586</v>
      </c>
      <c r="U343" s="8">
        <f>D343/C343</f>
        <v>0.46240503986788578</v>
      </c>
      <c r="V343" s="8">
        <v>35.327574279461324</v>
      </c>
      <c r="W343" s="8">
        <v>28.582787074427067</v>
      </c>
      <c r="X343" s="8">
        <v>0.70576956553144043</v>
      </c>
      <c r="Y343" s="8">
        <v>71.480201469621676</v>
      </c>
      <c r="Z343" s="8">
        <v>53.906409796912321</v>
      </c>
      <c r="AA343" s="7">
        <v>35.422155246865493</v>
      </c>
      <c r="AB343" s="7">
        <v>31.2119598156956</v>
      </c>
      <c r="AC343" s="7">
        <v>0.73288725313185488</v>
      </c>
      <c r="AD343" s="7">
        <v>69.403699109809125</v>
      </c>
      <c r="AE343" s="7">
        <v>57.063060237990207</v>
      </c>
      <c r="AF343" s="8">
        <v>34.331206168550182</v>
      </c>
      <c r="AG343" s="8">
        <v>36.227960661108568</v>
      </c>
      <c r="AH343" s="8">
        <v>0.75210856038446816</v>
      </c>
      <c r="AI343" s="8">
        <v>67.193064051712625</v>
      </c>
      <c r="AJ343" s="8">
        <v>56.768431117521367</v>
      </c>
      <c r="AK343" s="8">
        <v>35.597625626904048</v>
      </c>
      <c r="AL343" s="8">
        <v>33.67827787090993</v>
      </c>
      <c r="AM343" s="8">
        <v>0.76054371540995669</v>
      </c>
      <c r="AN343" s="8">
        <v>67.336348702929712</v>
      </c>
      <c r="AO343" s="8">
        <v>60.455193514428139</v>
      </c>
      <c r="AP343" s="8">
        <v>34.743228507349563</v>
      </c>
      <c r="AQ343" s="8">
        <v>30.476853078614241</v>
      </c>
      <c r="AR343" s="8">
        <v>0.7094878724912681</v>
      </c>
      <c r="AS343" s="8">
        <v>69.625814041158108</v>
      </c>
      <c r="AT343" s="8">
        <v>56.150725748457432</v>
      </c>
      <c r="AU343" s="8">
        <v>40.037031362541867</v>
      </c>
      <c r="AV343" s="8">
        <v>26.989706524086891</v>
      </c>
      <c r="AW343" s="8">
        <v>0.61218494389137157</v>
      </c>
      <c r="AX343" s="8">
        <v>71.044166802426872</v>
      </c>
      <c r="AY343" s="8">
        <v>67.538488999715497</v>
      </c>
      <c r="AZ343" s="8">
        <v>37.140655461631432</v>
      </c>
      <c r="BA343" s="8">
        <v>33.755416243418999</v>
      </c>
      <c r="BB343" s="8">
        <v>0.76613138973407147</v>
      </c>
      <c r="BC343" s="8">
        <v>67.004315731348413</v>
      </c>
      <c r="BD343" s="8">
        <v>63.409508320691749</v>
      </c>
      <c r="BE343" s="8">
        <v>46.951069589702989</v>
      </c>
      <c r="BF343" s="8">
        <v>31.79036597914417</v>
      </c>
      <c r="BG343" s="8">
        <v>0.62739777947287556</v>
      </c>
      <c r="BH343" s="8">
        <v>70.153258304894734</v>
      </c>
      <c r="BI343" s="8">
        <v>74.642394529668209</v>
      </c>
    </row>
    <row r="344" spans="1:61" x14ac:dyDescent="0.15">
      <c r="A344" s="7">
        <v>2021</v>
      </c>
      <c r="B344" s="7">
        <v>144</v>
      </c>
      <c r="C344" s="7">
        <v>21.664713589306089</v>
      </c>
      <c r="D344" s="7">
        <v>11.709248311893344</v>
      </c>
      <c r="E344" s="8">
        <v>33.92947437761665</v>
      </c>
      <c r="F344" s="8">
        <v>21.11604895415098</v>
      </c>
      <c r="G344" s="8">
        <v>0.63445006000491844</v>
      </c>
      <c r="H344" s="8">
        <v>74.476389658684724</v>
      </c>
      <c r="I344" s="8">
        <v>56.647456809377204</v>
      </c>
      <c r="J344" s="8">
        <v>42.289568212520123</v>
      </c>
      <c r="K344" s="8">
        <v>28.548532309841029</v>
      </c>
      <c r="L344" s="8">
        <v>0.8018269446700157</v>
      </c>
      <c r="M344" s="8">
        <v>62.427163725100883</v>
      </c>
      <c r="N344" s="8">
        <v>81.10096164150697</v>
      </c>
      <c r="O344" s="8">
        <v>287.02</v>
      </c>
      <c r="P344" s="8">
        <v>278.37599999999998</v>
      </c>
      <c r="Q344" s="8">
        <v>94.038399999999996</v>
      </c>
      <c r="R344" s="8">
        <v>-0.14335300000000001</v>
      </c>
      <c r="S344" s="8">
        <v>-2.6396699999999999E-2</v>
      </c>
      <c r="T344" s="7">
        <f>C344-D344</f>
        <v>9.9554652774127455</v>
      </c>
      <c r="U344" s="8">
        <f>D344/C344</f>
        <v>0.54047556472997371</v>
      </c>
      <c r="V344" s="8">
        <v>37.563274445614823</v>
      </c>
      <c r="W344" s="8">
        <v>25.912875655853668</v>
      </c>
      <c r="X344" s="8">
        <v>0.68038753674254537</v>
      </c>
      <c r="Y344" s="8">
        <v>62.114827621580361</v>
      </c>
      <c r="Z344" s="8">
        <v>64.213539978483325</v>
      </c>
      <c r="AA344" s="7">
        <v>39.926421329067473</v>
      </c>
      <c r="AB344" s="7">
        <v>27.230703982847348</v>
      </c>
      <c r="AC344" s="7">
        <v>0.74110724070628053</v>
      </c>
      <c r="AD344" s="7">
        <v>62.270995673340622</v>
      </c>
      <c r="AE344" s="7">
        <v>72.657250809995148</v>
      </c>
      <c r="AF344" s="8">
        <v>43.588448421618317</v>
      </c>
      <c r="AG344" s="8">
        <v>30.012795120792081</v>
      </c>
      <c r="AH344" s="8">
        <v>0.80553018107716867</v>
      </c>
      <c r="AI344" s="8">
        <v>61.342751135430213</v>
      </c>
      <c r="AJ344" s="8">
        <v>78.100885230680802</v>
      </c>
      <c r="AK344" s="8">
        <v>42.093867579802811</v>
      </c>
      <c r="AL344" s="8">
        <v>28.32791369038689</v>
      </c>
      <c r="AM344" s="8">
        <v>0.80126898274026614</v>
      </c>
      <c r="AN344" s="8">
        <v>62.590550793776387</v>
      </c>
      <c r="AO344" s="8">
        <v>81.552979346978532</v>
      </c>
      <c r="AP344" s="8">
        <v>41.453962650031848</v>
      </c>
      <c r="AQ344" s="8">
        <v>28.90698341965043</v>
      </c>
      <c r="AR344" s="8">
        <v>0.76381242355204204</v>
      </c>
      <c r="AS344" s="8">
        <v>58.056971657351923</v>
      </c>
      <c r="AT344" s="8">
        <v>76.292746388137118</v>
      </c>
      <c r="AU344" s="8">
        <v>36.216883121714133</v>
      </c>
      <c r="AV344" s="8">
        <v>25.618387015458449</v>
      </c>
      <c r="AW344" s="8">
        <v>0.70698615444170099</v>
      </c>
      <c r="AX344" s="8">
        <v>61.902511821835112</v>
      </c>
      <c r="AY344" s="8">
        <v>63.160983597344043</v>
      </c>
      <c r="AZ344" s="8">
        <v>42.011843336081142</v>
      </c>
      <c r="BA344" s="8">
        <v>28.53353173321555</v>
      </c>
      <c r="BB344" s="8">
        <v>0.81314177852774361</v>
      </c>
      <c r="BC344" s="8">
        <v>64.301132421432015</v>
      </c>
      <c r="BD344" s="8">
        <v>84.237218240733654</v>
      </c>
      <c r="BE344" s="8">
        <v>45.208856470359777</v>
      </c>
      <c r="BF344" s="8">
        <v>31.474559018527319</v>
      </c>
      <c r="BG344" s="8">
        <v>0.91793532685610379</v>
      </c>
      <c r="BH344" s="8">
        <v>63.934619033308529</v>
      </c>
      <c r="BI344" s="8">
        <v>96.340555349915235</v>
      </c>
    </row>
    <row r="345" spans="1:61" x14ac:dyDescent="0.15">
      <c r="A345" s="7">
        <v>2021</v>
      </c>
      <c r="B345" s="7">
        <v>148</v>
      </c>
      <c r="C345" s="7">
        <v>53.771262171831758</v>
      </c>
      <c r="D345" s="7">
        <v>19.645284699696951</v>
      </c>
      <c r="E345" s="8">
        <v>34.569443615531313</v>
      </c>
      <c r="F345" s="8">
        <v>23.050585756659011</v>
      </c>
      <c r="G345" s="8">
        <v>0.63468677530353546</v>
      </c>
      <c r="H345" s="8">
        <v>77.642916482080267</v>
      </c>
      <c r="I345" s="8">
        <v>59.102693637992878</v>
      </c>
      <c r="J345" s="8">
        <v>38.389144619828301</v>
      </c>
      <c r="K345" s="8">
        <v>31.366360046599109</v>
      </c>
      <c r="L345" s="8">
        <v>0.79580384364684487</v>
      </c>
      <c r="M345" s="8">
        <v>62.22639752542095</v>
      </c>
      <c r="N345" s="8">
        <v>77.892194022542014</v>
      </c>
      <c r="O345" s="8">
        <v>284.565</v>
      </c>
      <c r="P345" s="8">
        <v>275.36799999999999</v>
      </c>
      <c r="Q345" s="8">
        <v>89.788600000000002</v>
      </c>
      <c r="R345" s="8">
        <v>0.31460500000000002</v>
      </c>
      <c r="S345" s="8">
        <v>1.15478E-2</v>
      </c>
      <c r="T345" s="7">
        <f>C345-D345</f>
        <v>34.125977472134807</v>
      </c>
      <c r="U345" s="8">
        <f>D345/C345</f>
        <v>0.3653491457373339</v>
      </c>
      <c r="V345" s="8">
        <v>35.757903831751534</v>
      </c>
      <c r="W345" s="8">
        <v>25.42433552932297</v>
      </c>
      <c r="X345" s="8">
        <v>0.6634128028390367</v>
      </c>
      <c r="Y345" s="8">
        <v>69.05895660956044</v>
      </c>
      <c r="Z345" s="8">
        <v>55.638679367276552</v>
      </c>
      <c r="AA345" s="7">
        <v>37.073524225789917</v>
      </c>
      <c r="AB345" s="7">
        <v>28.39534778796104</v>
      </c>
      <c r="AC345" s="7">
        <v>0.72960832324294078</v>
      </c>
      <c r="AD345" s="7">
        <v>65.642677067490695</v>
      </c>
      <c r="AE345" s="7">
        <v>66.765436694909283</v>
      </c>
      <c r="AF345" s="8">
        <v>39.197524312073902</v>
      </c>
      <c r="AG345" s="8">
        <v>31.478899363822261</v>
      </c>
      <c r="AH345" s="8">
        <v>0.7896680617827968</v>
      </c>
      <c r="AI345" s="8">
        <v>62.465149205316052</v>
      </c>
      <c r="AJ345" s="8">
        <v>74.707645359675965</v>
      </c>
      <c r="AK345" s="8">
        <v>38.260617771211969</v>
      </c>
      <c r="AL345" s="8">
        <v>31.348467063973651</v>
      </c>
      <c r="AM345" s="8">
        <v>0.7967793910465979</v>
      </c>
      <c r="AN345" s="8">
        <v>62.188437639351157</v>
      </c>
      <c r="AO345" s="8">
        <v>78.398515504674435</v>
      </c>
      <c r="AP345" s="8">
        <v>38.803195348142253</v>
      </c>
      <c r="AQ345" s="8">
        <v>31.32984045756378</v>
      </c>
      <c r="AR345" s="8">
        <v>0.77051848132815959</v>
      </c>
      <c r="AS345" s="8">
        <v>59.708028461050247</v>
      </c>
      <c r="AT345" s="8">
        <v>71.657879263137417</v>
      </c>
      <c r="AU345" s="8">
        <v>36.756525038125353</v>
      </c>
      <c r="AV345" s="8">
        <v>30.063707803609091</v>
      </c>
      <c r="AW345" s="8">
        <v>0.75919212223698374</v>
      </c>
      <c r="AX345" s="8">
        <v>59.424618227611113</v>
      </c>
      <c r="AY345" s="8">
        <v>63.846746885951163</v>
      </c>
      <c r="AZ345" s="8">
        <v>40.838023911048673</v>
      </c>
      <c r="BA345" s="8">
        <v>31.448894865273601</v>
      </c>
      <c r="BB345" s="8">
        <v>0.86571811732551496</v>
      </c>
      <c r="BC345" s="8">
        <v>65.354133246587878</v>
      </c>
      <c r="BD345" s="8">
        <v>90.559505698271693</v>
      </c>
      <c r="BE345" s="8">
        <v>39.481997389329742</v>
      </c>
      <c r="BF345" s="8">
        <v>31.85040845144799</v>
      </c>
      <c r="BG345" s="8">
        <v>0.794509243420079</v>
      </c>
      <c r="BH345" s="8">
        <v>61.15134624574992</v>
      </c>
      <c r="BI345" s="8">
        <v>89.318955269134776</v>
      </c>
    </row>
    <row r="346" spans="1:61" x14ac:dyDescent="0.15">
      <c r="A346" s="7">
        <v>2017</v>
      </c>
      <c r="B346" s="7">
        <v>53</v>
      </c>
      <c r="C346" s="7">
        <v>117.39518925928323</v>
      </c>
      <c r="D346" s="7">
        <v>84.388524163257344</v>
      </c>
      <c r="E346" s="8">
        <v>32.491492093471578</v>
      </c>
      <c r="F346" s="8">
        <v>19.108388272648021</v>
      </c>
      <c r="G346" s="8">
        <v>0.63470712053727885</v>
      </c>
      <c r="H346" s="8">
        <v>64.342696352761777</v>
      </c>
      <c r="I346" s="8">
        <v>49.704913222901673</v>
      </c>
      <c r="J346" s="8">
        <v>39.611942780995847</v>
      </c>
      <c r="K346" s="8">
        <v>26.59706301314429</v>
      </c>
      <c r="L346" s="8">
        <v>0.80058678674759487</v>
      </c>
      <c r="M346" s="8">
        <v>63.006923356794893</v>
      </c>
      <c r="N346" s="8">
        <v>62.167278303395207</v>
      </c>
      <c r="O346" s="8">
        <v>277.26100000000002</v>
      </c>
      <c r="P346" s="8">
        <v>270.685</v>
      </c>
      <c r="Q346" s="8">
        <v>97.864500000000007</v>
      </c>
      <c r="R346" s="8">
        <v>1.47746</v>
      </c>
      <c r="S346" s="8">
        <v>0.51825299999999996</v>
      </c>
      <c r="T346" s="7">
        <f>C346-D346</f>
        <v>33.006665096025884</v>
      </c>
      <c r="U346" s="8">
        <f>D346/C346</f>
        <v>0.71884141672001411</v>
      </c>
      <c r="V346" s="8">
        <v>28.440956613047049</v>
      </c>
      <c r="W346" s="8">
        <v>11.978149057754553</v>
      </c>
      <c r="X346" s="8">
        <v>0.56455586689273329</v>
      </c>
      <c r="Y346" s="8">
        <v>66.534593396343695</v>
      </c>
      <c r="Z346" s="8">
        <v>42.455954758580077</v>
      </c>
      <c r="AA346" s="7">
        <v>34.026449697021448</v>
      </c>
      <c r="AB346" s="7">
        <v>19.287606035449421</v>
      </c>
      <c r="AC346" s="7">
        <v>0.68257132682016408</v>
      </c>
      <c r="AD346" s="7">
        <v>64.77075837656929</v>
      </c>
      <c r="AE346" s="7">
        <v>52.311616530987642</v>
      </c>
      <c r="AF346" s="8">
        <v>40.023408882194794</v>
      </c>
      <c r="AG346" s="8">
        <v>27.909658774747989</v>
      </c>
      <c r="AH346" s="8">
        <v>0.80826311033481513</v>
      </c>
      <c r="AI346" s="8">
        <v>61.809356719882658</v>
      </c>
      <c r="AJ346" s="8">
        <v>61.299490145884597</v>
      </c>
      <c r="AK346" s="8">
        <v>39.543182284038473</v>
      </c>
      <c r="AL346" s="8">
        <v>26.37771386965705</v>
      </c>
      <c r="AM346" s="8">
        <v>0.79930398891048304</v>
      </c>
      <c r="AN346" s="8">
        <v>63.207049872329733</v>
      </c>
      <c r="AO346" s="8">
        <v>62.312295219224438</v>
      </c>
      <c r="AP346" s="8">
        <v>34.81033658560883</v>
      </c>
      <c r="AQ346" s="8">
        <v>18.72457717911632</v>
      </c>
      <c r="AR346" s="8">
        <v>0.70424648416307101</v>
      </c>
      <c r="AS346" s="8">
        <v>65.512593050330551</v>
      </c>
      <c r="AT346" s="8">
        <v>53.448303856901887</v>
      </c>
      <c r="AU346" s="8">
        <v>36.612904656915099</v>
      </c>
      <c r="AV346" s="8">
        <v>21.060230345514821</v>
      </c>
      <c r="AW346" s="8">
        <v>0.72886664052761041</v>
      </c>
      <c r="AX346" s="8">
        <v>66.126399176274106</v>
      </c>
      <c r="AY346" s="8">
        <v>58.375679504733647</v>
      </c>
      <c r="AZ346" s="8">
        <v>41.027489137069573</v>
      </c>
      <c r="BA346" s="8">
        <v>28.661555046803208</v>
      </c>
      <c r="BB346" s="8">
        <v>0.85912474334662714</v>
      </c>
      <c r="BC346" s="8">
        <v>60.949515531323676</v>
      </c>
      <c r="BD346" s="8">
        <v>67.08052139584241</v>
      </c>
      <c r="BE346" s="8">
        <v>31.999488646215909</v>
      </c>
      <c r="BF346" s="8">
        <v>21.114542732019231</v>
      </c>
      <c r="BG346" s="8">
        <v>0.74884723436465961</v>
      </c>
      <c r="BH346" s="8">
        <v>66.011328160244531</v>
      </c>
      <c r="BI346" s="8">
        <v>53.850343876089653</v>
      </c>
    </row>
    <row r="347" spans="1:61" x14ac:dyDescent="0.15">
      <c r="A347" s="7">
        <v>2018</v>
      </c>
      <c r="B347" s="7">
        <v>51</v>
      </c>
      <c r="C347" s="7">
        <v>1.55386549357283</v>
      </c>
      <c r="D347" s="7">
        <v>0.16808544655158408</v>
      </c>
      <c r="E347" s="8">
        <v>24.682948745231212</v>
      </c>
      <c r="F347" s="8">
        <v>22.620267558484759</v>
      </c>
      <c r="G347" s="8">
        <v>0.63547702325913147</v>
      </c>
      <c r="H347" s="8">
        <v>59.630858651308579</v>
      </c>
      <c r="I347" s="8">
        <v>38.345996313026539</v>
      </c>
      <c r="J347" s="8">
        <v>30.86854436752526</v>
      </c>
      <c r="K347" s="8">
        <v>26.81267045882166</v>
      </c>
      <c r="L347" s="8">
        <v>0.69355529410805539</v>
      </c>
      <c r="M347" s="8">
        <v>60.184090475460401</v>
      </c>
      <c r="N347" s="8">
        <v>48.519185199334792</v>
      </c>
      <c r="O347" s="8">
        <v>291.31599999999997</v>
      </c>
      <c r="P347" s="8">
        <v>286.00099999999998</v>
      </c>
      <c r="Q347" s="8">
        <v>98.18010000000001</v>
      </c>
      <c r="R347" s="8">
        <v>-0.53629000000000004</v>
      </c>
      <c r="S347" s="8">
        <v>-0.37015999999999999</v>
      </c>
      <c r="T347" s="7">
        <f>C347-D347</f>
        <v>1.385780047021246</v>
      </c>
      <c r="U347" s="8">
        <f>D347/C347</f>
        <v>0.10817245588297497</v>
      </c>
      <c r="V347" s="8">
        <v>23.470933262659202</v>
      </c>
      <c r="W347" s="8">
        <v>20.986250323095181</v>
      </c>
      <c r="X347" s="8">
        <v>0.61975916337721992</v>
      </c>
      <c r="Y347" s="8">
        <v>59.982837662956776</v>
      </c>
      <c r="Z347" s="8">
        <v>36.383258755760274</v>
      </c>
      <c r="AA347" s="7">
        <v>27.169738815092231</v>
      </c>
      <c r="AB347" s="7">
        <v>23.899460390958421</v>
      </c>
      <c r="AC347" s="7">
        <v>0.65665722874263766</v>
      </c>
      <c r="AD347" s="7">
        <v>60.083464069208588</v>
      </c>
      <c r="AE347" s="7">
        <v>42.451221977547533</v>
      </c>
      <c r="AF347" s="8">
        <v>31.329767571050191</v>
      </c>
      <c r="AG347" s="8">
        <v>27.800349659299961</v>
      </c>
      <c r="AH347" s="8">
        <v>0.70713582427817623</v>
      </c>
      <c r="AI347" s="8">
        <v>59.427040978295317</v>
      </c>
      <c r="AJ347" s="8">
        <v>47.706396896060362</v>
      </c>
      <c r="AK347" s="8">
        <v>30.835559379879989</v>
      </c>
      <c r="AL347" s="8">
        <v>26.74203527399947</v>
      </c>
      <c r="AM347" s="8">
        <v>0.69258406452451726</v>
      </c>
      <c r="AN347" s="8">
        <v>60.238231871903601</v>
      </c>
      <c r="AO347" s="8">
        <v>48.57731283024502</v>
      </c>
      <c r="AP347" s="8">
        <v>31.86965041194626</v>
      </c>
      <c r="AQ347" s="8">
        <v>25.549604553298192</v>
      </c>
      <c r="AR347" s="8">
        <v>0.68607612287257869</v>
      </c>
      <c r="AS347" s="8">
        <v>60.856425377911073</v>
      </c>
      <c r="AT347" s="8">
        <v>49.113654086112199</v>
      </c>
      <c r="AU347" s="8">
        <v>21.68503880551231</v>
      </c>
      <c r="AV347" s="8">
        <v>17.939109971141761</v>
      </c>
      <c r="AW347" s="8">
        <v>0.57232230644396254</v>
      </c>
      <c r="AX347" s="8">
        <v>65.451936801947767</v>
      </c>
      <c r="AY347" s="8">
        <v>36.902296666135022</v>
      </c>
      <c r="AZ347" s="8">
        <v>29.63476632281774</v>
      </c>
      <c r="BA347" s="8">
        <v>27.04288005029743</v>
      </c>
      <c r="BB347" s="8">
        <v>0.69256412382415655</v>
      </c>
      <c r="BC347" s="8">
        <v>60.101940596750232</v>
      </c>
      <c r="BD347" s="8">
        <v>49.177229964382917</v>
      </c>
      <c r="BE347" s="8">
        <v>42.431247851651847</v>
      </c>
      <c r="BF347" s="8">
        <v>30.303941711529269</v>
      </c>
      <c r="BG347" s="8">
        <v>0.69520506059408338</v>
      </c>
      <c r="BH347" s="8">
        <v>60.192333180968369</v>
      </c>
      <c r="BI347" s="8">
        <v>63.577811765188777</v>
      </c>
    </row>
    <row r="348" spans="1:61" x14ac:dyDescent="0.15">
      <c r="A348" s="7">
        <v>2023</v>
      </c>
      <c r="B348" s="7">
        <v>76</v>
      </c>
      <c r="C348" s="9">
        <v>45.358563996226593</v>
      </c>
      <c r="D348" s="7">
        <v>31.714032076499564</v>
      </c>
      <c r="E348" s="8">
        <v>19.22914620833625</v>
      </c>
      <c r="F348" s="8">
        <v>12.692993573087071</v>
      </c>
      <c r="G348" s="8">
        <v>0.63571099792135466</v>
      </c>
      <c r="H348" s="8">
        <v>59.733204628448469</v>
      </c>
      <c r="I348" s="8">
        <v>31.999198053421111</v>
      </c>
      <c r="J348" s="8">
        <v>20.69634598426148</v>
      </c>
      <c r="K348" s="8">
        <v>14.058823696025019</v>
      </c>
      <c r="L348" s="8">
        <v>0.66020664203195634</v>
      </c>
      <c r="M348" s="8">
        <v>60.497051253690437</v>
      </c>
      <c r="N348" s="8">
        <v>34.198566097378936</v>
      </c>
      <c r="O348" s="7">
        <v>296.09899999999999</v>
      </c>
      <c r="P348" s="7">
        <v>292.41199999999998</v>
      </c>
      <c r="Q348" s="7">
        <v>99.127800000000008</v>
      </c>
      <c r="R348" s="7">
        <v>-1.14133</v>
      </c>
      <c r="S348" s="7">
        <v>-1.2822E-3</v>
      </c>
      <c r="T348" s="7">
        <f>C348-D348</f>
        <v>13.644531919727029</v>
      </c>
      <c r="U348" s="8">
        <f>D348/C348</f>
        <v>0.69918509940345275</v>
      </c>
      <c r="V348" s="8">
        <v>18.191194433235641</v>
      </c>
      <c r="W348" s="8">
        <v>11.973460847709482</v>
      </c>
      <c r="X348" s="8">
        <v>0.62275208612908761</v>
      </c>
      <c r="Y348" s="8">
        <v>60.322029266972429</v>
      </c>
      <c r="Z348" s="8">
        <v>30.775330456737258</v>
      </c>
      <c r="AA348" s="7">
        <v>19.44377020874856</v>
      </c>
      <c r="AB348" s="7">
        <v>13.016142271867251</v>
      </c>
      <c r="AC348" s="7">
        <v>0.64147936408052197</v>
      </c>
      <c r="AD348" s="7">
        <v>60.409540260331433</v>
      </c>
      <c r="AE348" s="7">
        <v>32.486948277058097</v>
      </c>
      <c r="AF348" s="8">
        <v>20.53672507242889</v>
      </c>
      <c r="AG348" s="8">
        <v>14.47163355076256</v>
      </c>
      <c r="AH348" s="8">
        <v>0.63709265227593781</v>
      </c>
      <c r="AI348" s="8">
        <v>57.276071009678517</v>
      </c>
      <c r="AJ348" s="8">
        <v>33.019698152746599</v>
      </c>
      <c r="AK348" s="8">
        <v>20.708658157133481</v>
      </c>
      <c r="AL348" s="8">
        <v>14.02698208933049</v>
      </c>
      <c r="AM348" s="8">
        <v>0.66198951267447159</v>
      </c>
      <c r="AN348" s="8">
        <v>60.745497808257063</v>
      </c>
      <c r="AO348" s="8">
        <v>34.289496701401553</v>
      </c>
      <c r="AP348" s="8">
        <v>20.082728365676651</v>
      </c>
      <c r="AQ348" s="8">
        <v>13.42470971225792</v>
      </c>
      <c r="AR348" s="8">
        <v>0.66006695296772921</v>
      </c>
      <c r="AS348" s="8">
        <v>61.440445396288169</v>
      </c>
      <c r="AT348" s="8">
        <v>33.726491602485943</v>
      </c>
      <c r="AU348" s="8">
        <v>19.00023368309084</v>
      </c>
      <c r="AV348" s="8">
        <v>12.548575857300831</v>
      </c>
      <c r="AW348" s="8">
        <v>0.67357569933270267</v>
      </c>
      <c r="AX348" s="8">
        <v>65.594150119328532</v>
      </c>
      <c r="AY348" s="8">
        <v>33.742318469684207</v>
      </c>
      <c r="AZ348" s="8">
        <v>19.979257353275209</v>
      </c>
      <c r="BA348" s="8">
        <v>12.943243386397921</v>
      </c>
      <c r="BB348" s="8">
        <v>0.6366535666722285</v>
      </c>
      <c r="BC348" s="8">
        <v>62.338040310143782</v>
      </c>
      <c r="BD348" s="8">
        <v>33.146481560256653</v>
      </c>
      <c r="BE348" s="8">
        <v>17.93563743209835</v>
      </c>
      <c r="BF348" s="8">
        <v>11.72102678644611</v>
      </c>
      <c r="BG348" s="8">
        <v>0.61824904283024495</v>
      </c>
      <c r="BH348" s="8">
        <v>65.700258602135776</v>
      </c>
      <c r="BI348" s="8">
        <v>33.230198059738299</v>
      </c>
    </row>
    <row r="349" spans="1:61" x14ac:dyDescent="0.15">
      <c r="A349" s="7">
        <v>2020</v>
      </c>
      <c r="B349" s="7">
        <v>54</v>
      </c>
      <c r="C349" s="7">
        <v>69.648828613762518</v>
      </c>
      <c r="D349" s="7">
        <v>49.855947122492168</v>
      </c>
      <c r="E349" s="8">
        <v>21.062011906087321</v>
      </c>
      <c r="F349" s="8">
        <v>20.610801368737651</v>
      </c>
      <c r="G349" s="8">
        <v>0.63655682103611322</v>
      </c>
      <c r="H349" s="8">
        <v>58.684467588140308</v>
      </c>
      <c r="I349" s="8">
        <v>30.951210981783159</v>
      </c>
      <c r="J349" s="8">
        <v>21.9230021063671</v>
      </c>
      <c r="K349" s="8">
        <v>21.416981154324731</v>
      </c>
      <c r="L349" s="8">
        <v>0.65414123364100285</v>
      </c>
      <c r="M349" s="8">
        <v>59.659942647119507</v>
      </c>
      <c r="N349" s="8">
        <v>33.295188362835702</v>
      </c>
      <c r="O349" s="8">
        <v>295.66899999999998</v>
      </c>
      <c r="P349" s="8">
        <v>291.29199999999997</v>
      </c>
      <c r="Q349" s="8">
        <v>99.211399999999998</v>
      </c>
      <c r="R349" s="8">
        <v>-0.59266200000000002</v>
      </c>
      <c r="S349" s="8">
        <v>-0.22673099999999999</v>
      </c>
      <c r="T349" s="7">
        <f>C349-D349</f>
        <v>19.79288149127035</v>
      </c>
      <c r="U349" s="8">
        <f>D349/C349</f>
        <v>0.71581888905796609</v>
      </c>
      <c r="V349" s="8">
        <v>21.207085096888122</v>
      </c>
      <c r="W349" s="8">
        <v>20.084062867489472</v>
      </c>
      <c r="X349" s="8">
        <v>0.65035682111826265</v>
      </c>
      <c r="Y349" s="8">
        <v>58.432164574602268</v>
      </c>
      <c r="Z349" s="8">
        <v>30.664719309556681</v>
      </c>
      <c r="AA349" s="7">
        <v>21.565043601627611</v>
      </c>
      <c r="AB349" s="7">
        <v>20.750522010907101</v>
      </c>
      <c r="AC349" s="7">
        <v>0.65224902737963275</v>
      </c>
      <c r="AD349" s="7">
        <v>59.046053610860888</v>
      </c>
      <c r="AE349" s="7">
        <v>31.979953836196191</v>
      </c>
      <c r="AF349" s="8">
        <v>22.57923073960211</v>
      </c>
      <c r="AG349" s="8">
        <v>22.282404372467841</v>
      </c>
      <c r="AH349" s="8">
        <v>0.65876773949135559</v>
      </c>
      <c r="AI349" s="8">
        <v>57.628702322323257</v>
      </c>
      <c r="AJ349" s="8">
        <v>35.899557733994953</v>
      </c>
      <c r="AK349" s="8">
        <v>21.7940511575075</v>
      </c>
      <c r="AL349" s="8">
        <v>21.246922824814561</v>
      </c>
      <c r="AM349" s="8">
        <v>0.65323211098299494</v>
      </c>
      <c r="AN349" s="8">
        <v>60.059087631015018</v>
      </c>
      <c r="AO349" s="8">
        <v>32.7834217550053</v>
      </c>
      <c r="AP349" s="8">
        <v>21.61905523915129</v>
      </c>
      <c r="AQ349" s="8">
        <v>20.166485474846269</v>
      </c>
      <c r="AR349" s="8">
        <v>0.66358265863979726</v>
      </c>
      <c r="AS349" s="8">
        <v>59.347218826116297</v>
      </c>
      <c r="AT349" s="8">
        <v>31.9446675321384</v>
      </c>
      <c r="AU349" s="8">
        <v>22.26478258679079</v>
      </c>
      <c r="AV349" s="8">
        <v>20.06565735158641</v>
      </c>
      <c r="AW349" s="8">
        <v>0.6399083376714011</v>
      </c>
      <c r="AX349" s="8">
        <v>65.076927115535327</v>
      </c>
      <c r="AY349" s="8">
        <v>32.457315417213323</v>
      </c>
      <c r="AZ349" s="8">
        <v>23.35403527235777</v>
      </c>
      <c r="BA349" s="8">
        <v>21.831675897879691</v>
      </c>
      <c r="BB349" s="8">
        <v>0.6617852442100175</v>
      </c>
      <c r="BC349" s="8">
        <v>61.586200391244283</v>
      </c>
      <c r="BD349" s="8">
        <v>35.311374330383458</v>
      </c>
      <c r="BE349" s="8">
        <v>21.92374360563198</v>
      </c>
      <c r="BF349" s="8">
        <v>21.379166927564398</v>
      </c>
      <c r="BG349" s="8">
        <v>0.64396530312875166</v>
      </c>
      <c r="BH349" s="8">
        <v>61.798969969074591</v>
      </c>
      <c r="BI349" s="8">
        <v>33.182987521875702</v>
      </c>
    </row>
    <row r="350" spans="1:61" x14ac:dyDescent="0.15">
      <c r="A350" s="7">
        <v>2020</v>
      </c>
      <c r="B350" s="7">
        <v>61</v>
      </c>
      <c r="C350" s="7">
        <v>33.446638001612349</v>
      </c>
      <c r="D350" s="7">
        <v>3.743121712784129</v>
      </c>
      <c r="E350" s="8">
        <v>31.728940418800239</v>
      </c>
      <c r="F350" s="8">
        <v>17.832651691843491</v>
      </c>
      <c r="G350" s="8">
        <v>0.63660466222707957</v>
      </c>
      <c r="H350" s="8">
        <v>71.197024043245264</v>
      </c>
      <c r="I350" s="8">
        <v>48.111335112246813</v>
      </c>
      <c r="J350" s="8">
        <v>35.657347031425729</v>
      </c>
      <c r="K350" s="8">
        <v>19.864046514385581</v>
      </c>
      <c r="L350" s="8">
        <v>0.7301352997331223</v>
      </c>
      <c r="M350" s="8">
        <v>68.16172283636152</v>
      </c>
      <c r="N350" s="8">
        <v>52.537378893635108</v>
      </c>
      <c r="O350" s="8">
        <v>288.62599999999998</v>
      </c>
      <c r="P350" s="8">
        <v>282.483</v>
      </c>
      <c r="Q350" s="8">
        <v>97.612800000000007</v>
      </c>
      <c r="R350" s="8">
        <v>-0.27477499999999999</v>
      </c>
      <c r="S350" s="8">
        <v>-0.16872899999999999</v>
      </c>
      <c r="T350" s="7">
        <f>C350-D350</f>
        <v>29.703516288828219</v>
      </c>
      <c r="U350" s="8">
        <f>D350/C350</f>
        <v>0.11191324259866375</v>
      </c>
      <c r="V350" s="8">
        <v>29.193888906803565</v>
      </c>
      <c r="W350" s="8">
        <v>20.696760604501836</v>
      </c>
      <c r="X350" s="8">
        <v>0.69267750168151521</v>
      </c>
      <c r="Y350" s="8">
        <v>61.231247297686195</v>
      </c>
      <c r="Z350" s="8">
        <v>45.227244427451026</v>
      </c>
      <c r="AA350" s="7">
        <v>32.425617969114647</v>
      </c>
      <c r="AB350" s="7">
        <v>20.280403559443709</v>
      </c>
      <c r="AC350" s="7">
        <v>0.71140640070731875</v>
      </c>
      <c r="AD350" s="7">
        <v>64.696485067023858</v>
      </c>
      <c r="AE350" s="7">
        <v>48.882311660543067</v>
      </c>
      <c r="AF350" s="8">
        <v>36.013003748837299</v>
      </c>
      <c r="AG350" s="8">
        <v>19.576598861631229</v>
      </c>
      <c r="AH350" s="8">
        <v>0.71068867388362988</v>
      </c>
      <c r="AI350" s="8">
        <v>68.971042773627914</v>
      </c>
      <c r="AJ350" s="8">
        <v>52.286214016593398</v>
      </c>
      <c r="AK350" s="8">
        <v>35.60304690138161</v>
      </c>
      <c r="AL350" s="8">
        <v>19.90793277931834</v>
      </c>
      <c r="AM350" s="8">
        <v>0.73310432649643487</v>
      </c>
      <c r="AN350" s="8">
        <v>68.038159367180626</v>
      </c>
      <c r="AO350" s="8">
        <v>52.575725661229278</v>
      </c>
      <c r="AP350" s="8">
        <v>32.153303107492953</v>
      </c>
      <c r="AQ350" s="8">
        <v>21.596291601650819</v>
      </c>
      <c r="AR350" s="8">
        <v>0.74382398959205043</v>
      </c>
      <c r="AS350" s="8">
        <v>60.642150205324491</v>
      </c>
      <c r="AT350" s="8">
        <v>48.655718435200633</v>
      </c>
      <c r="AU350" s="8">
        <v>29.376511029993591</v>
      </c>
      <c r="AV350" s="8">
        <v>17.368291158395049</v>
      </c>
      <c r="AW350" s="8">
        <v>0.64438038427035493</v>
      </c>
      <c r="AX350" s="8">
        <v>67.118538344097985</v>
      </c>
      <c r="AY350" s="8">
        <v>41.971282688369477</v>
      </c>
      <c r="AZ350" s="8">
        <v>34.105490138794522</v>
      </c>
      <c r="BA350" s="8">
        <v>19.61097889443089</v>
      </c>
      <c r="BB350" s="8">
        <v>0.71736659531652325</v>
      </c>
      <c r="BC350" s="8">
        <v>67.738933017177516</v>
      </c>
      <c r="BD350" s="8">
        <v>50.654773059845098</v>
      </c>
      <c r="BE350" s="8">
        <v>32.863282094901919</v>
      </c>
      <c r="BF350" s="8">
        <v>28.602220365267929</v>
      </c>
      <c r="BG350" s="8">
        <v>0.66301116318883102</v>
      </c>
      <c r="BH350" s="8">
        <v>70.391622721495438</v>
      </c>
      <c r="BI350" s="8">
        <v>62.493237559060042</v>
      </c>
    </row>
    <row r="351" spans="1:61" x14ac:dyDescent="0.15">
      <c r="A351" s="7">
        <v>2020</v>
      </c>
      <c r="B351" s="7">
        <v>121</v>
      </c>
      <c r="C351" s="7">
        <v>19.735929823826719</v>
      </c>
      <c r="D351" s="7">
        <v>3.5728109318070471</v>
      </c>
      <c r="E351" s="8">
        <v>31.913334885654141</v>
      </c>
      <c r="F351" s="8">
        <v>25.970555611394129</v>
      </c>
      <c r="G351" s="8">
        <v>0.63706115864987078</v>
      </c>
      <c r="H351" s="8">
        <v>68.782529535644471</v>
      </c>
      <c r="I351" s="8">
        <v>50.165194843192531</v>
      </c>
      <c r="J351" s="8">
        <v>35.633062402070671</v>
      </c>
      <c r="K351" s="8">
        <v>27.931753259231002</v>
      </c>
      <c r="L351" s="8">
        <v>0.64743493563577903</v>
      </c>
      <c r="M351" s="8">
        <v>63.973522040960347</v>
      </c>
      <c r="N351" s="8">
        <v>55.026557317468502</v>
      </c>
      <c r="O351" s="8">
        <v>289.81099999999998</v>
      </c>
      <c r="P351" s="8">
        <v>285.762</v>
      </c>
      <c r="Q351" s="8">
        <v>98.748000000000005</v>
      </c>
      <c r="R351" s="8">
        <v>-0.52388000000000001</v>
      </c>
      <c r="S351" s="8">
        <v>-0.537852</v>
      </c>
      <c r="T351" s="7">
        <f>C351-D351</f>
        <v>16.163118892019671</v>
      </c>
      <c r="U351" s="8">
        <f>D351/C351</f>
        <v>0.18103078819695018</v>
      </c>
      <c r="V351" s="8">
        <v>31.418592895950702</v>
      </c>
      <c r="W351" s="8">
        <v>25.540000329046535</v>
      </c>
      <c r="X351" s="8">
        <v>0.70079667254740585</v>
      </c>
      <c r="Y351" s="8">
        <v>65.648673693328334</v>
      </c>
      <c r="Z351" s="8">
        <v>47.887246271236052</v>
      </c>
      <c r="AA351" s="7">
        <v>33.525827649010687</v>
      </c>
      <c r="AB351" s="7">
        <v>26.735876794138768</v>
      </c>
      <c r="AC351" s="7">
        <v>0.67411580409159244</v>
      </c>
      <c r="AD351" s="7">
        <v>64.811097867144341</v>
      </c>
      <c r="AE351" s="7">
        <v>51.456901794352277</v>
      </c>
      <c r="AF351" s="8">
        <v>34.294833662463454</v>
      </c>
      <c r="AG351" s="8">
        <v>29.014826480318789</v>
      </c>
      <c r="AH351" s="8">
        <v>0.63218512984247777</v>
      </c>
      <c r="AI351" s="8">
        <v>64.620342091133921</v>
      </c>
      <c r="AJ351" s="8">
        <v>54.089340980188382</v>
      </c>
      <c r="AK351" s="8">
        <v>35.779083210291013</v>
      </c>
      <c r="AL351" s="8">
        <v>27.81357374146674</v>
      </c>
      <c r="AM351" s="8">
        <v>0.64909891795900609</v>
      </c>
      <c r="AN351" s="8">
        <v>63.902944281191743</v>
      </c>
      <c r="AO351" s="8">
        <v>55.128821663612428</v>
      </c>
      <c r="AP351" s="8">
        <v>34.449263058772772</v>
      </c>
      <c r="AQ351" s="8">
        <v>27.672457933413551</v>
      </c>
      <c r="AR351" s="8">
        <v>0.65478469164078579</v>
      </c>
      <c r="AS351" s="8">
        <v>62.86258871706324</v>
      </c>
      <c r="AT351" s="8">
        <v>53.639963337697871</v>
      </c>
      <c r="AU351" s="8">
        <v>34.545472030199647</v>
      </c>
      <c r="AV351" s="8">
        <v>24.979909245490941</v>
      </c>
      <c r="AW351" s="8">
        <v>0.67745230368548726</v>
      </c>
      <c r="AX351" s="8">
        <v>65.212107437506376</v>
      </c>
      <c r="AY351" s="8">
        <v>54.31411599673762</v>
      </c>
      <c r="AZ351" s="8">
        <v>35.829435781596892</v>
      </c>
      <c r="BA351" s="8">
        <v>27.753693229070809</v>
      </c>
      <c r="BB351" s="8">
        <v>0.6616844206216973</v>
      </c>
      <c r="BC351" s="8">
        <v>62.682842887526888</v>
      </c>
      <c r="BD351" s="8">
        <v>55.308650593236962</v>
      </c>
      <c r="BE351" s="8">
        <v>36.675313286752761</v>
      </c>
      <c r="BF351" s="8">
        <v>30.01029717471512</v>
      </c>
      <c r="BG351" s="8">
        <v>0.61885039452497381</v>
      </c>
      <c r="BH351" s="8">
        <v>64.570460932936371</v>
      </c>
      <c r="BI351" s="8">
        <v>61.976442608162337</v>
      </c>
    </row>
    <row r="352" spans="1:61" x14ac:dyDescent="0.15">
      <c r="A352" s="7">
        <v>2020</v>
      </c>
      <c r="B352" s="7">
        <v>115</v>
      </c>
      <c r="C352" s="7">
        <v>51.411793384719935</v>
      </c>
      <c r="D352" s="7">
        <v>37.755156484928207</v>
      </c>
      <c r="E352" s="8">
        <v>20.658276718354699</v>
      </c>
      <c r="F352" s="8">
        <v>13.35685245559818</v>
      </c>
      <c r="G352" s="8">
        <v>0.63707723867967181</v>
      </c>
      <c r="H352" s="8">
        <v>55.333310685817743</v>
      </c>
      <c r="I352" s="8">
        <v>34.852892633948848</v>
      </c>
      <c r="J352" s="8">
        <v>24.005853034017061</v>
      </c>
      <c r="K352" s="8">
        <v>14.19437240516109</v>
      </c>
      <c r="L352" s="8">
        <v>0.60983613733773956</v>
      </c>
      <c r="M352" s="8">
        <v>54.824699675015509</v>
      </c>
      <c r="N352" s="8">
        <v>39.155027206250097</v>
      </c>
      <c r="O352" s="8">
        <v>291.50099999999998</v>
      </c>
      <c r="P352" s="8">
        <v>286.029</v>
      </c>
      <c r="Q352" s="8">
        <v>84.157499999999999</v>
      </c>
      <c r="R352" s="8">
        <v>0.21050099999999999</v>
      </c>
      <c r="S352" s="8">
        <v>1.15662</v>
      </c>
      <c r="T352" s="7">
        <f>C352-D352</f>
        <v>13.656636899791728</v>
      </c>
      <c r="U352" s="8">
        <f>D352/C352</f>
        <v>0.73436762266591915</v>
      </c>
      <c r="V352" s="8">
        <v>20.180355753441081</v>
      </c>
      <c r="W352" s="8">
        <v>12.29059291914843</v>
      </c>
      <c r="X352" s="8">
        <v>0.58201665278806247</v>
      </c>
      <c r="Y352" s="8">
        <v>54.531617007392654</v>
      </c>
      <c r="Z352" s="8">
        <v>34.864599267527439</v>
      </c>
      <c r="AA352" s="7">
        <v>22.093104393729071</v>
      </c>
      <c r="AB352" s="7">
        <v>13.24248266215476</v>
      </c>
      <c r="AC352" s="7">
        <v>0.59592639506290102</v>
      </c>
      <c r="AD352" s="7">
        <v>54.678158341204082</v>
      </c>
      <c r="AE352" s="7">
        <v>37.009813236888768</v>
      </c>
      <c r="AF352" s="8">
        <v>26.014784109086921</v>
      </c>
      <c r="AG352" s="8">
        <v>14.278856789018549</v>
      </c>
      <c r="AH352" s="8">
        <v>0.62235016717402403</v>
      </c>
      <c r="AI352" s="8">
        <v>56.258100061380262</v>
      </c>
      <c r="AJ352" s="8">
        <v>41.384707257198961</v>
      </c>
      <c r="AK352" s="8">
        <v>23.740624723387729</v>
      </c>
      <c r="AL352" s="8">
        <v>14.183218388638</v>
      </c>
      <c r="AM352" s="8">
        <v>0.60818397762263954</v>
      </c>
      <c r="AN352" s="8">
        <v>54.635455570203327</v>
      </c>
      <c r="AO352" s="8">
        <v>38.860654601586937</v>
      </c>
      <c r="AP352" s="8">
        <v>24.326491394502028</v>
      </c>
      <c r="AQ352" s="8">
        <v>12.986188099287441</v>
      </c>
      <c r="AR352" s="8">
        <v>0.52893227369938367</v>
      </c>
      <c r="AS352" s="8">
        <v>53.709034778713857</v>
      </c>
      <c r="AT352" s="8">
        <v>40.23778647220108</v>
      </c>
      <c r="AU352" s="8">
        <v>23.42974395256315</v>
      </c>
      <c r="AV352" s="8">
        <v>12.59589335604327</v>
      </c>
      <c r="AW352" s="8">
        <v>0.48980017088937933</v>
      </c>
      <c r="AX352" s="8">
        <v>54.827594025397737</v>
      </c>
      <c r="AY352" s="8">
        <v>39.524467399216618</v>
      </c>
      <c r="AZ352" s="8">
        <v>24.664859652187541</v>
      </c>
      <c r="BA352" s="8">
        <v>16.359726495526122</v>
      </c>
      <c r="BB352" s="8">
        <v>0.62602206248078318</v>
      </c>
      <c r="BC352" s="8">
        <v>56.198460732637081</v>
      </c>
      <c r="BD352" s="8">
        <v>39.275592444086392</v>
      </c>
      <c r="BE352" s="8">
        <v>21.292518866366109</v>
      </c>
      <c r="BF352" s="8">
        <v>22.646552283410109</v>
      </c>
      <c r="BG352" s="8">
        <v>0.68136478196733641</v>
      </c>
      <c r="BH352" s="8">
        <v>53.21205127889047</v>
      </c>
      <c r="BI352" s="8">
        <v>40.189186818054083</v>
      </c>
    </row>
    <row r="353" spans="1:61" x14ac:dyDescent="0.15">
      <c r="A353" s="7">
        <v>2022</v>
      </c>
      <c r="B353" s="7">
        <v>93</v>
      </c>
      <c r="C353" s="7">
        <v>68.611397605206591</v>
      </c>
      <c r="D353" s="7">
        <v>24.904898529964328</v>
      </c>
      <c r="E353" s="8">
        <v>20.859596968466931</v>
      </c>
      <c r="F353" s="8">
        <v>11.43450488118904</v>
      </c>
      <c r="G353" s="8">
        <v>0.63730591839483608</v>
      </c>
      <c r="H353" s="8">
        <v>61.457187709788819</v>
      </c>
      <c r="I353" s="8">
        <v>29.15548834108273</v>
      </c>
      <c r="J353" s="8">
        <v>26.987063753240321</v>
      </c>
      <c r="K353" s="8">
        <v>19.899983691480131</v>
      </c>
      <c r="L353" s="8">
        <v>0.63722024149908918</v>
      </c>
      <c r="M353" s="8">
        <v>57.304054129381662</v>
      </c>
      <c r="N353" s="8">
        <v>37.592157303671002</v>
      </c>
      <c r="O353" s="8">
        <v>291.78699999999998</v>
      </c>
      <c r="P353" s="8">
        <v>286.47500000000002</v>
      </c>
      <c r="Q353" s="8">
        <v>99.052300000000002</v>
      </c>
      <c r="R353" s="8">
        <v>-0.45223799999999997</v>
      </c>
      <c r="S353" s="8">
        <v>-0.57432700000000003</v>
      </c>
      <c r="T353" s="7">
        <f>C353-D353</f>
        <v>43.706499075242263</v>
      </c>
      <c r="U353" s="8">
        <f>D353/C353</f>
        <v>0.3629848596477856</v>
      </c>
      <c r="V353" s="8">
        <v>19.963959745222262</v>
      </c>
      <c r="W353" s="8">
        <v>9.6181647594664277</v>
      </c>
      <c r="X353" s="8">
        <v>0.62210844007411048</v>
      </c>
      <c r="Y353" s="8">
        <v>61.074473121757414</v>
      </c>
      <c r="Z353" s="8">
        <v>26.306097358797757</v>
      </c>
      <c r="AA353" s="7">
        <v>23.475511749231291</v>
      </c>
      <c r="AB353" s="7">
        <v>14.759074225473279</v>
      </c>
      <c r="AC353" s="7">
        <v>0.62966434078659983</v>
      </c>
      <c r="AD353" s="7">
        <v>59.189263625569538</v>
      </c>
      <c r="AE353" s="7">
        <v>31.949127331234379</v>
      </c>
      <c r="AF353" s="8">
        <v>27.82732197783556</v>
      </c>
      <c r="AG353" s="8">
        <v>21.432222721711781</v>
      </c>
      <c r="AH353" s="8">
        <v>0.68978979201685697</v>
      </c>
      <c r="AI353" s="8">
        <v>57.765906151740893</v>
      </c>
      <c r="AJ353" s="8">
        <v>39.3351640383759</v>
      </c>
      <c r="AK353" s="8">
        <v>26.86326281430085</v>
      </c>
      <c r="AL353" s="8">
        <v>19.674228530661839</v>
      </c>
      <c r="AM353" s="8">
        <v>0.62947481333995303</v>
      </c>
      <c r="AN353" s="8">
        <v>57.236006340802497</v>
      </c>
      <c r="AO353" s="8">
        <v>37.33534830850973</v>
      </c>
      <c r="AP353" s="8">
        <v>26.71104462153227</v>
      </c>
      <c r="AQ353" s="8">
        <v>18.67694584230771</v>
      </c>
      <c r="AR353" s="8">
        <v>0.61773649582691503</v>
      </c>
      <c r="AS353" s="8">
        <v>56.290606439749411</v>
      </c>
      <c r="AT353" s="8">
        <v>34.961711993701151</v>
      </c>
      <c r="AU353" s="8">
        <v>27.421340911966279</v>
      </c>
      <c r="AV353" s="8">
        <v>24.718172796461999</v>
      </c>
      <c r="AW353" s="8">
        <v>0.63270576921855881</v>
      </c>
      <c r="AX353" s="8">
        <v>61.892656022009113</v>
      </c>
      <c r="AY353" s="8">
        <v>40.806368204953543</v>
      </c>
      <c r="AZ353" s="8">
        <v>26.507830100817198</v>
      </c>
      <c r="BA353" s="8">
        <v>20.673299565430831</v>
      </c>
      <c r="BB353" s="8">
        <v>0.59693666266036993</v>
      </c>
      <c r="BC353" s="8">
        <v>57.465487108643273</v>
      </c>
      <c r="BD353" s="8">
        <v>37.041458754022052</v>
      </c>
      <c r="BE353" s="8">
        <v>27.448197414986002</v>
      </c>
      <c r="BF353" s="8">
        <v>24.701822316478431</v>
      </c>
      <c r="BG353" s="8">
        <v>0.57356884400908603</v>
      </c>
      <c r="BH353" s="8">
        <v>58.580221549763628</v>
      </c>
      <c r="BI353" s="8">
        <v>43.055540552741562</v>
      </c>
    </row>
    <row r="354" spans="1:61" x14ac:dyDescent="0.15">
      <c r="A354" s="7">
        <v>2020</v>
      </c>
      <c r="B354" s="7">
        <v>8</v>
      </c>
      <c r="C354" s="7">
        <v>149.09365545576787</v>
      </c>
      <c r="D354" s="7">
        <v>119.14341450228967</v>
      </c>
      <c r="E354" s="8">
        <v>33.929523641028823</v>
      </c>
      <c r="F354" s="8">
        <v>19.777639037871008</v>
      </c>
      <c r="G354" s="8">
        <v>0.63730789225533391</v>
      </c>
      <c r="H354" s="8">
        <v>69.993322315491739</v>
      </c>
      <c r="I354" s="8">
        <v>47.399571632927142</v>
      </c>
      <c r="J354" s="8">
        <v>36.879661324764562</v>
      </c>
      <c r="K354" s="8">
        <v>21.790701169719121</v>
      </c>
      <c r="L354" s="8">
        <v>0.75276512939086804</v>
      </c>
      <c r="M354" s="8">
        <v>69.038322498137205</v>
      </c>
      <c r="N354" s="8">
        <v>53.737069338638022</v>
      </c>
      <c r="O354" s="8">
        <v>290.70699999999999</v>
      </c>
      <c r="P354" s="8">
        <v>286.40800000000002</v>
      </c>
      <c r="Q354" s="8">
        <v>101.057</v>
      </c>
      <c r="R354" s="8">
        <v>-0.479659</v>
      </c>
      <c r="S354" s="8">
        <v>-0.646289</v>
      </c>
      <c r="T354" s="7">
        <f>C354-D354</f>
        <v>29.9502409534782</v>
      </c>
      <c r="U354" s="8">
        <f>D354/C354</f>
        <v>0.79911793790337615</v>
      </c>
      <c r="V354" s="8">
        <v>38.188059376748619</v>
      </c>
      <c r="W354" s="8">
        <v>20.634840752027579</v>
      </c>
      <c r="X354" s="8">
        <v>0.6818913124521383</v>
      </c>
      <c r="Y354" s="8">
        <v>66.8534452864412</v>
      </c>
      <c r="Z354" s="8">
        <v>50.117341343643702</v>
      </c>
      <c r="AA354" s="7">
        <v>37.533860350756591</v>
      </c>
      <c r="AB354" s="7">
        <v>21.21277096087335</v>
      </c>
      <c r="AC354" s="7">
        <v>0.71732822092150317</v>
      </c>
      <c r="AD354" s="7">
        <v>67.945883892289203</v>
      </c>
      <c r="AE354" s="7">
        <v>51.927205341140862</v>
      </c>
      <c r="AF354" s="8">
        <v>38.33992281963063</v>
      </c>
      <c r="AG354" s="8">
        <v>22.871193090441739</v>
      </c>
      <c r="AH354" s="8">
        <v>0.71885151747357001</v>
      </c>
      <c r="AI354" s="8">
        <v>66.852041315996132</v>
      </c>
      <c r="AJ354" s="8">
        <v>53.565690284680713</v>
      </c>
      <c r="AK354" s="8">
        <v>36.686888276839738</v>
      </c>
      <c r="AL354" s="8">
        <v>21.648062524827001</v>
      </c>
      <c r="AM354" s="8">
        <v>0.75724215652499549</v>
      </c>
      <c r="AN354" s="8">
        <v>69.32693935791454</v>
      </c>
      <c r="AO354" s="8">
        <v>53.759693548546977</v>
      </c>
      <c r="AP354" s="8">
        <v>37.180802740664873</v>
      </c>
      <c r="AQ354" s="8">
        <v>20.978623799061591</v>
      </c>
      <c r="AR354" s="8">
        <v>0.68274447533050975</v>
      </c>
      <c r="AS354" s="8">
        <v>68.107826285208347</v>
      </c>
      <c r="AT354" s="8">
        <v>49.982014977719338</v>
      </c>
      <c r="AU354" s="8">
        <v>38.447625723006347</v>
      </c>
      <c r="AV354" s="8">
        <v>26.51964140310233</v>
      </c>
      <c r="AW354" s="8">
        <v>0.74597175984851938</v>
      </c>
      <c r="AX354" s="8">
        <v>64.843034332999736</v>
      </c>
      <c r="AY354" s="8">
        <v>63.554475997618383</v>
      </c>
      <c r="AZ354" s="8">
        <v>36.955252905986299</v>
      </c>
      <c r="BA354" s="8">
        <v>22.979463401749939</v>
      </c>
      <c r="BB354" s="8">
        <v>0.77187404393215064</v>
      </c>
      <c r="BC354" s="8">
        <v>68.907532107080641</v>
      </c>
      <c r="BD354" s="8">
        <v>56.587072221196927</v>
      </c>
      <c r="BE354" s="8">
        <v>38.316192366922152</v>
      </c>
      <c r="BF354" s="8">
        <v>29.641283583945619</v>
      </c>
      <c r="BG354" s="8">
        <v>0.65672694224228267</v>
      </c>
      <c r="BH354" s="8">
        <v>61.502855101211402</v>
      </c>
      <c r="BI354" s="8">
        <v>68.065052335253583</v>
      </c>
    </row>
    <row r="355" spans="1:61" x14ac:dyDescent="0.15">
      <c r="A355" s="7">
        <v>2020</v>
      </c>
      <c r="B355" s="7">
        <v>10</v>
      </c>
      <c r="C355" s="7">
        <v>99.539588738712553</v>
      </c>
      <c r="D355" s="7">
        <v>70.226172045477824</v>
      </c>
      <c r="E355" s="8">
        <v>33.293735914295972</v>
      </c>
      <c r="F355" s="8">
        <v>28.716346124560829</v>
      </c>
      <c r="G355" s="8">
        <v>0.63741837958425751</v>
      </c>
      <c r="H355" s="8">
        <v>74.126327039437115</v>
      </c>
      <c r="I355" s="8">
        <v>45.064676161468583</v>
      </c>
      <c r="J355" s="8">
        <v>36.31046498188217</v>
      </c>
      <c r="K355" s="8">
        <v>35.095640516748723</v>
      </c>
      <c r="L355" s="8">
        <v>0.75177751644393531</v>
      </c>
      <c r="M355" s="8">
        <v>65.592079276832351</v>
      </c>
      <c r="N355" s="8">
        <v>63.031874782365243</v>
      </c>
      <c r="O355" s="8">
        <v>289.988</v>
      </c>
      <c r="P355" s="8">
        <v>285.45100000000002</v>
      </c>
      <c r="Q355" s="8">
        <v>101.34399999999999</v>
      </c>
      <c r="R355" s="8">
        <v>-0.79038399999999998</v>
      </c>
      <c r="S355" s="8">
        <v>-0.26352799999999998</v>
      </c>
      <c r="T355" s="7">
        <f>C355-D355</f>
        <v>29.313416693234728</v>
      </c>
      <c r="U355" s="8">
        <f>D355/C355</f>
        <v>0.70550996779601649</v>
      </c>
      <c r="V355" s="8">
        <v>36.252816210911156</v>
      </c>
      <c r="W355" s="8">
        <v>28.733770440930698</v>
      </c>
      <c r="X355" s="8">
        <v>0.71300105293609395</v>
      </c>
      <c r="Y355" s="8">
        <v>71.213312272388862</v>
      </c>
      <c r="Z355" s="8">
        <v>56.258250613825659</v>
      </c>
      <c r="AA355" s="7">
        <v>36.281640596396663</v>
      </c>
      <c r="AB355" s="7">
        <v>31.914705478839711</v>
      </c>
      <c r="AC355" s="7">
        <v>0.73238928469001463</v>
      </c>
      <c r="AD355" s="7">
        <v>68.402695774610606</v>
      </c>
      <c r="AE355" s="7">
        <v>59.645062698095451</v>
      </c>
      <c r="AF355" s="8">
        <v>35.350712910575488</v>
      </c>
      <c r="AG355" s="8">
        <v>36.637566580635401</v>
      </c>
      <c r="AH355" s="8">
        <v>0.75690945285802769</v>
      </c>
      <c r="AI355" s="8">
        <v>65.392220998713839</v>
      </c>
      <c r="AJ355" s="8">
        <v>60.579923572256831</v>
      </c>
      <c r="AK355" s="8">
        <v>36.411644383147951</v>
      </c>
      <c r="AL355" s="8">
        <v>34.933086915038089</v>
      </c>
      <c r="AM355" s="8">
        <v>0.75123649520601832</v>
      </c>
      <c r="AN355" s="8">
        <v>65.613148823356497</v>
      </c>
      <c r="AO355" s="8">
        <v>63.290365451766853</v>
      </c>
      <c r="AP355" s="8">
        <v>35.775466718695341</v>
      </c>
      <c r="AQ355" s="8">
        <v>31.081357376181991</v>
      </c>
      <c r="AR355" s="8">
        <v>0.70920096921729936</v>
      </c>
      <c r="AS355" s="8">
        <v>68.661527904713523</v>
      </c>
      <c r="AT355" s="8">
        <v>59.463045577960017</v>
      </c>
      <c r="AU355" s="8">
        <v>41.433880884476103</v>
      </c>
      <c r="AV355" s="8">
        <v>30.166417429819319</v>
      </c>
      <c r="AW355" s="8">
        <v>0.64648867891847028</v>
      </c>
      <c r="AX355" s="8">
        <v>69.453892399571814</v>
      </c>
      <c r="AY355" s="8">
        <v>66.456237682153471</v>
      </c>
      <c r="AZ355" s="8">
        <v>37.358065302121169</v>
      </c>
      <c r="BA355" s="8">
        <v>34.503298309101822</v>
      </c>
      <c r="BB355" s="8">
        <v>0.74934837934318554</v>
      </c>
      <c r="BC355" s="8">
        <v>65.88029432967808</v>
      </c>
      <c r="BD355" s="8">
        <v>64.490485941020879</v>
      </c>
      <c r="BE355" s="8">
        <v>38.794924217904601</v>
      </c>
      <c r="BF355" s="8">
        <v>31.387435761239121</v>
      </c>
      <c r="BG355" s="8">
        <v>0.60373786005237806</v>
      </c>
      <c r="BH355" s="8">
        <v>66.211191096240967</v>
      </c>
      <c r="BI355" s="8">
        <v>58.518031922147671</v>
      </c>
    </row>
    <row r="356" spans="1:61" x14ac:dyDescent="0.15">
      <c r="A356" s="7">
        <v>2023</v>
      </c>
      <c r="B356" s="7">
        <v>58</v>
      </c>
      <c r="C356" s="9">
        <v>13.452448051900374</v>
      </c>
      <c r="D356" s="7">
        <v>5.580088423505206</v>
      </c>
      <c r="E356" s="8">
        <v>20.206412160272961</v>
      </c>
      <c r="F356" s="8">
        <v>12.398763397646221</v>
      </c>
      <c r="G356" s="8">
        <v>0.63920656432899847</v>
      </c>
      <c r="H356" s="8">
        <v>51.401220207569963</v>
      </c>
      <c r="I356" s="8">
        <v>32.486904744490957</v>
      </c>
      <c r="J356" s="8">
        <v>23.95339005531072</v>
      </c>
      <c r="K356" s="8">
        <v>12.67552353730923</v>
      </c>
      <c r="L356" s="8">
        <v>0.6428560777182829</v>
      </c>
      <c r="M356" s="8">
        <v>54.294618845913782</v>
      </c>
      <c r="N356" s="8">
        <v>37.657544414521638</v>
      </c>
      <c r="O356" s="7">
        <v>289.28500000000003</v>
      </c>
      <c r="P356" s="7">
        <v>285.12400000000002</v>
      </c>
      <c r="Q356" s="7">
        <v>88.1083</v>
      </c>
      <c r="R356" s="7">
        <v>-0.59238599999999997</v>
      </c>
      <c r="S356" s="7">
        <v>0.425958</v>
      </c>
      <c r="T356" s="7">
        <f>C356-D356</f>
        <v>7.8723596283951682</v>
      </c>
      <c r="U356" s="8">
        <f>D356/C356</f>
        <v>0.41480096425400648</v>
      </c>
      <c r="V356" s="8">
        <v>20.667088256504222</v>
      </c>
      <c r="W356" s="8">
        <v>11.854320863834088</v>
      </c>
      <c r="X356" s="8">
        <v>0.63574411144781717</v>
      </c>
      <c r="Y356" s="8">
        <v>50.840564944974084</v>
      </c>
      <c r="Z356" s="8">
        <v>32.720852161561737</v>
      </c>
      <c r="AA356" s="7">
        <v>22.310239155907471</v>
      </c>
      <c r="AB356" s="7">
        <v>12.264922200571659</v>
      </c>
      <c r="AC356" s="7">
        <v>0.63930009458305004</v>
      </c>
      <c r="AD356" s="7">
        <v>52.567591895443933</v>
      </c>
      <c r="AE356" s="7">
        <v>35.189198288041688</v>
      </c>
      <c r="AF356" s="8">
        <v>23.134545231007081</v>
      </c>
      <c r="AG356" s="8">
        <v>13.12095266180631</v>
      </c>
      <c r="AH356" s="8">
        <v>0.66601700017436261</v>
      </c>
      <c r="AI356" s="8">
        <v>52.988415775084732</v>
      </c>
      <c r="AJ356" s="8">
        <v>36.805174931765457</v>
      </c>
      <c r="AK356" s="8">
        <v>24.101273983633259</v>
      </c>
      <c r="AL356" s="8">
        <v>12.59507873657923</v>
      </c>
      <c r="AM356" s="8">
        <v>0.63867319947967216</v>
      </c>
      <c r="AN356" s="8">
        <v>54.530520002723847</v>
      </c>
      <c r="AO356" s="8">
        <v>37.81148291880347</v>
      </c>
      <c r="AP356" s="8">
        <v>24.301788840643841</v>
      </c>
      <c r="AQ356" s="8">
        <v>11.897401494297229</v>
      </c>
      <c r="AR356" s="8">
        <v>0.6430169570648302</v>
      </c>
      <c r="AS356" s="8">
        <v>53.373910631849668</v>
      </c>
      <c r="AT356" s="8">
        <v>37.694108204068243</v>
      </c>
      <c r="AU356" s="8">
        <v>24.75345182801928</v>
      </c>
      <c r="AV356" s="8">
        <v>12.335132647504169</v>
      </c>
      <c r="AW356" s="8">
        <v>0.59251790568032614</v>
      </c>
      <c r="AX356" s="8">
        <v>55.719862115724872</v>
      </c>
      <c r="AY356" s="8">
        <v>38.281248269987877</v>
      </c>
      <c r="AZ356" s="8">
        <v>24.521578075750309</v>
      </c>
      <c r="BA356" s="8">
        <v>13.518951052012261</v>
      </c>
      <c r="BB356" s="8">
        <v>0.62440925907760436</v>
      </c>
      <c r="BC356" s="8">
        <v>55.888008705726662</v>
      </c>
      <c r="BD356" s="8">
        <v>39.159486316706626</v>
      </c>
      <c r="BE356" s="8">
        <v>25.734388073462231</v>
      </c>
      <c r="BF356" s="8">
        <v>23.6912987152045</v>
      </c>
      <c r="BG356" s="8">
        <v>0.62486914107860203</v>
      </c>
      <c r="BH356" s="8">
        <v>50.033562064536937</v>
      </c>
      <c r="BI356" s="8">
        <v>47.435572058946718</v>
      </c>
    </row>
    <row r="357" spans="1:61" x14ac:dyDescent="0.15">
      <c r="A357" s="7">
        <v>2020</v>
      </c>
      <c r="B357" s="7">
        <v>80</v>
      </c>
      <c r="C357" s="7">
        <v>72.847026124430272</v>
      </c>
      <c r="D357" s="7">
        <v>25.619304401612073</v>
      </c>
      <c r="E357" s="8">
        <v>24.249445102676962</v>
      </c>
      <c r="F357" s="8">
        <v>20.430498667219599</v>
      </c>
      <c r="G357" s="8">
        <v>0.63931028193648731</v>
      </c>
      <c r="H357" s="8">
        <v>59.60788430658895</v>
      </c>
      <c r="I357" s="8">
        <v>35.091293325528618</v>
      </c>
      <c r="J357" s="8">
        <v>24.207702586185729</v>
      </c>
      <c r="K357" s="8">
        <v>23.366726941113772</v>
      </c>
      <c r="L357" s="8">
        <v>0.65918340117424434</v>
      </c>
      <c r="M357" s="8">
        <v>61.334689257261289</v>
      </c>
      <c r="N357" s="8">
        <v>37.156728710144122</v>
      </c>
      <c r="O357" s="8">
        <v>296.358</v>
      </c>
      <c r="P357" s="8">
        <v>292.51600000000002</v>
      </c>
      <c r="Q357" s="8">
        <v>100.33</v>
      </c>
      <c r="R357" s="8">
        <v>-0.97720200000000002</v>
      </c>
      <c r="S357" s="8">
        <v>-0.22898499999999999</v>
      </c>
      <c r="T357" s="7">
        <f>C357-D357</f>
        <v>47.227721722818202</v>
      </c>
      <c r="U357" s="8">
        <f>D357/C357</f>
        <v>0.35168634554623612</v>
      </c>
      <c r="V357" s="8">
        <v>25.378320457179111</v>
      </c>
      <c r="W357" s="8">
        <v>19.903444651245149</v>
      </c>
      <c r="X357" s="8">
        <v>0.68667116482206803</v>
      </c>
      <c r="Y357" s="8">
        <v>60.878480234030818</v>
      </c>
      <c r="Z357" s="8">
        <v>35.66600364638964</v>
      </c>
      <c r="AA357" s="7">
        <v>24.79301152168242</v>
      </c>
      <c r="AB357" s="7">
        <v>21.63508579617946</v>
      </c>
      <c r="AC357" s="7">
        <v>0.67292728299815618</v>
      </c>
      <c r="AD357" s="7">
        <v>61.106584745646053</v>
      </c>
      <c r="AE357" s="7">
        <v>36.411366178266881</v>
      </c>
      <c r="AF357" s="8">
        <v>24.598410773565419</v>
      </c>
      <c r="AG357" s="8">
        <v>23.943606807891289</v>
      </c>
      <c r="AH357" s="8">
        <v>0.64973060041613795</v>
      </c>
      <c r="AI357" s="8">
        <v>60.861044269925998</v>
      </c>
      <c r="AJ357" s="8">
        <v>37.387921192620922</v>
      </c>
      <c r="AK357" s="8">
        <v>24.147375516707321</v>
      </c>
      <c r="AL357" s="8">
        <v>23.277654142211912</v>
      </c>
      <c r="AM357" s="8">
        <v>0.66064295535437112</v>
      </c>
      <c r="AN357" s="8">
        <v>61.407822134897408</v>
      </c>
      <c r="AO357" s="8">
        <v>37.121031569915758</v>
      </c>
      <c r="AP357" s="8">
        <v>23.716566051149449</v>
      </c>
      <c r="AQ357" s="8">
        <v>20.130022587776121</v>
      </c>
      <c r="AR357" s="8">
        <v>0.64403644926091574</v>
      </c>
      <c r="AS357" s="8">
        <v>62.715620102932341</v>
      </c>
      <c r="AT357" s="8">
        <v>35.073651387947763</v>
      </c>
      <c r="AU357" s="8">
        <v>22.91293011647501</v>
      </c>
      <c r="AV357" s="8">
        <v>21.295844944799061</v>
      </c>
      <c r="AW357" s="8">
        <v>0.67048781087138043</v>
      </c>
      <c r="AX357" s="8">
        <v>60.660955148819937</v>
      </c>
      <c r="AY357" s="8">
        <v>34.714300196744198</v>
      </c>
      <c r="AZ357" s="8">
        <v>25.52889524907026</v>
      </c>
      <c r="BA357" s="8">
        <v>25.784233454614341</v>
      </c>
      <c r="BB357" s="8">
        <v>0.69931303772686948</v>
      </c>
      <c r="BC357" s="8">
        <v>59.819491212614658</v>
      </c>
      <c r="BD357" s="8">
        <v>39.848904641186188</v>
      </c>
      <c r="BE357" s="8">
        <v>22.714324965184129</v>
      </c>
      <c r="BF357" s="8">
        <v>20.16835859856484</v>
      </c>
      <c r="BG357" s="8">
        <v>0.69615226423119447</v>
      </c>
      <c r="BH357" s="8">
        <v>55.916909745401242</v>
      </c>
      <c r="BI357" s="8">
        <v>35.89071229409771</v>
      </c>
    </row>
    <row r="358" spans="1:61" x14ac:dyDescent="0.15">
      <c r="A358" s="7">
        <v>2022</v>
      </c>
      <c r="B358" s="7">
        <v>138</v>
      </c>
      <c r="C358" s="7">
        <v>32.851349882428465</v>
      </c>
      <c r="D358" s="7">
        <v>9.868465027106808</v>
      </c>
      <c r="E358" s="8">
        <v>31.593929002507711</v>
      </c>
      <c r="F358" s="8">
        <v>23.753237263259852</v>
      </c>
      <c r="G358" s="8">
        <v>0.63976951749584499</v>
      </c>
      <c r="H358" s="8">
        <v>74.179846635490236</v>
      </c>
      <c r="I358" s="8">
        <v>55.102889216198847</v>
      </c>
      <c r="J358" s="8">
        <v>34.900866351313873</v>
      </c>
      <c r="K358" s="8">
        <v>33.477414296694327</v>
      </c>
      <c r="L358" s="8">
        <v>0.63585243635883526</v>
      </c>
      <c r="M358" s="8">
        <v>62.057901576757281</v>
      </c>
      <c r="N358" s="8">
        <v>76.360407604340281</v>
      </c>
      <c r="O358" s="8">
        <v>282.74900000000002</v>
      </c>
      <c r="P358" s="8">
        <v>272.23500000000001</v>
      </c>
      <c r="Q358" s="8">
        <v>87.686899999999994</v>
      </c>
      <c r="R358" s="8">
        <v>0.44753799999999999</v>
      </c>
      <c r="S358" s="8">
        <v>5.7348499999999997E-2</v>
      </c>
      <c r="T358" s="7">
        <f>C358-D358</f>
        <v>22.982884855321657</v>
      </c>
      <c r="U358" s="8">
        <f>D358/C358</f>
        <v>0.30039755025059878</v>
      </c>
      <c r="V358" s="8">
        <v>33.702503869194281</v>
      </c>
      <c r="W358" s="8">
        <v>26.727030071578312</v>
      </c>
      <c r="X358" s="8">
        <v>0.65429837966222137</v>
      </c>
      <c r="Y358" s="8">
        <v>67.186620646195109</v>
      </c>
      <c r="Z358" s="8">
        <v>53.419967997595165</v>
      </c>
      <c r="AA358" s="7">
        <v>34.301685110254077</v>
      </c>
      <c r="AB358" s="7">
        <v>30.10222218413632</v>
      </c>
      <c r="AC358" s="7">
        <v>0.64507540801052832</v>
      </c>
      <c r="AD358" s="7">
        <v>64.622261111476192</v>
      </c>
      <c r="AE358" s="7">
        <v>64.890187800967723</v>
      </c>
      <c r="AF358" s="8">
        <v>35.154149226191052</v>
      </c>
      <c r="AG358" s="8">
        <v>31.03386413473735</v>
      </c>
      <c r="AH358" s="8">
        <v>0.64564213360572897</v>
      </c>
      <c r="AI358" s="8">
        <v>64.935775491610599</v>
      </c>
      <c r="AJ358" s="8">
        <v>70.550335653106387</v>
      </c>
      <c r="AK358" s="8">
        <v>34.859929746051087</v>
      </c>
      <c r="AL358" s="8">
        <v>33.8723507821095</v>
      </c>
      <c r="AM358" s="8">
        <v>0.63427018579399697</v>
      </c>
      <c r="AN358" s="8">
        <v>61.592767925279468</v>
      </c>
      <c r="AO358" s="8">
        <v>77.299454992093487</v>
      </c>
      <c r="AP358" s="8">
        <v>34.947493957706627</v>
      </c>
      <c r="AQ358" s="8">
        <v>34.632677826453062</v>
      </c>
      <c r="AR358" s="8">
        <v>0.62337681478526841</v>
      </c>
      <c r="AS358" s="8">
        <v>60.534439575253472</v>
      </c>
      <c r="AT358" s="8">
        <v>71.798703875513013</v>
      </c>
      <c r="AU358" s="8">
        <v>35.31721934460073</v>
      </c>
      <c r="AV358" s="8">
        <v>30.700426138127629</v>
      </c>
      <c r="AW358" s="8">
        <v>0.66017009461808096</v>
      </c>
      <c r="AX358" s="8">
        <v>61.657879037045497</v>
      </c>
      <c r="AY358" s="8">
        <v>64.614316040327779</v>
      </c>
      <c r="AZ358" s="8">
        <v>36.40520791477222</v>
      </c>
      <c r="BA358" s="8">
        <v>35.660037173716972</v>
      </c>
      <c r="BB358" s="8">
        <v>0.67704402850557055</v>
      </c>
      <c r="BC358" s="8">
        <v>60.407886803306631</v>
      </c>
      <c r="BD358" s="8">
        <v>87.532228687505565</v>
      </c>
      <c r="BE358" s="8">
        <v>36.399357065855092</v>
      </c>
      <c r="BF358" s="8">
        <v>30.097478562463198</v>
      </c>
      <c r="BG358" s="8">
        <v>0.64484776187736581</v>
      </c>
      <c r="BH358" s="8">
        <v>64.594256189826083</v>
      </c>
      <c r="BI358" s="8">
        <v>97.576641251323878</v>
      </c>
    </row>
    <row r="359" spans="1:61" x14ac:dyDescent="0.15">
      <c r="A359" s="7">
        <v>2023</v>
      </c>
      <c r="B359" s="7">
        <v>100</v>
      </c>
      <c r="C359" s="9">
        <v>47.724619893306723</v>
      </c>
      <c r="D359" s="7">
        <v>27.06034432380466</v>
      </c>
      <c r="E359" s="8">
        <v>20.33151389664512</v>
      </c>
      <c r="F359" s="8">
        <v>11.683065232315681</v>
      </c>
      <c r="G359" s="8">
        <v>0.63993630534112744</v>
      </c>
      <c r="H359" s="8">
        <v>55.149503376327331</v>
      </c>
      <c r="I359" s="8">
        <v>31.63742528212893</v>
      </c>
      <c r="J359" s="8">
        <v>20.163065608857401</v>
      </c>
      <c r="K359" s="8">
        <v>14.20391415111354</v>
      </c>
      <c r="L359" s="8">
        <v>0.53359894175655342</v>
      </c>
      <c r="M359" s="8">
        <v>58.241288795029391</v>
      </c>
      <c r="N359" s="8">
        <v>34.971104516884267</v>
      </c>
      <c r="O359" s="7">
        <v>292.23399999999998</v>
      </c>
      <c r="P359" s="7">
        <v>287.28500000000003</v>
      </c>
      <c r="Q359" s="7">
        <v>99.298199999999994</v>
      </c>
      <c r="R359" s="7">
        <v>-0.518899</v>
      </c>
      <c r="S359" s="7">
        <v>-0.56764400000000004</v>
      </c>
      <c r="T359" s="7">
        <f>C359-D359</f>
        <v>20.664275569502063</v>
      </c>
      <c r="U359" s="8">
        <f>D359/C359</f>
        <v>0.56701015920715203</v>
      </c>
      <c r="V359" s="8">
        <v>20.734709080906278</v>
      </c>
      <c r="W359" s="8">
        <v>11.456251075853139</v>
      </c>
      <c r="X359" s="8">
        <v>0.65858512456911567</v>
      </c>
      <c r="Y359" s="8">
        <v>56.440965730946914</v>
      </c>
      <c r="Z359" s="8">
        <v>31.798372640590955</v>
      </c>
      <c r="AA359" s="7">
        <v>20.44888734488184</v>
      </c>
      <c r="AB359" s="7">
        <v>12.83008261348334</v>
      </c>
      <c r="AC359" s="7">
        <v>0.59609203316283454</v>
      </c>
      <c r="AD359" s="7">
        <v>57.341127262988152</v>
      </c>
      <c r="AE359" s="7">
        <v>33.384738578737611</v>
      </c>
      <c r="AF359" s="8">
        <v>21.333754465570539</v>
      </c>
      <c r="AG359" s="8">
        <v>14.655581052523649</v>
      </c>
      <c r="AH359" s="8">
        <v>0.55889252466198125</v>
      </c>
      <c r="AI359" s="8">
        <v>56.947210294366137</v>
      </c>
      <c r="AJ359" s="8">
        <v>35.714242356514603</v>
      </c>
      <c r="AK359" s="8">
        <v>20.034225779142879</v>
      </c>
      <c r="AL359" s="8">
        <v>14.154206078527331</v>
      </c>
      <c r="AM359" s="8">
        <v>0.53081526367187859</v>
      </c>
      <c r="AN359" s="8">
        <v>58.383708236972993</v>
      </c>
      <c r="AO359" s="8">
        <v>34.889318692953907</v>
      </c>
      <c r="AP359" s="8">
        <v>20.63893641059158</v>
      </c>
      <c r="AQ359" s="8">
        <v>13.659497500523949</v>
      </c>
      <c r="AR359" s="8">
        <v>0.52118580564856964</v>
      </c>
      <c r="AS359" s="8">
        <v>62.545888923327709</v>
      </c>
      <c r="AT359" s="8">
        <v>36.388776752502608</v>
      </c>
      <c r="AU359" s="8">
        <v>19.445441459610961</v>
      </c>
      <c r="AV359" s="8">
        <v>14.73058969936714</v>
      </c>
      <c r="AW359" s="8">
        <v>0.52291927938565907</v>
      </c>
      <c r="AX359" s="8">
        <v>56.223506278452142</v>
      </c>
      <c r="AY359" s="8">
        <v>32.128442994845152</v>
      </c>
      <c r="AZ359" s="8">
        <v>19.479761240760759</v>
      </c>
      <c r="BA359" s="8">
        <v>14.303515947251171</v>
      </c>
      <c r="BB359" s="8">
        <v>0.52912786381437849</v>
      </c>
      <c r="BC359" s="8">
        <v>52.714416210049741</v>
      </c>
      <c r="BD359" s="8">
        <v>33.570240758952536</v>
      </c>
      <c r="BE359" s="8">
        <v>20.960565650712191</v>
      </c>
      <c r="BF359" s="8">
        <v>23.003872295330321</v>
      </c>
      <c r="BG359" s="8">
        <v>0.59992677491863933</v>
      </c>
      <c r="BH359" s="8">
        <v>51.237866112128998</v>
      </c>
      <c r="BI359" s="8">
        <v>34.806303543805427</v>
      </c>
    </row>
    <row r="360" spans="1:61" x14ac:dyDescent="0.15">
      <c r="A360" s="7">
        <v>2022</v>
      </c>
      <c r="B360" s="7">
        <v>62</v>
      </c>
      <c r="C360" s="7">
        <v>88.797880463547742</v>
      </c>
      <c r="D360" s="7">
        <v>85.308968932971936</v>
      </c>
      <c r="E360" s="8">
        <v>18.259887498090229</v>
      </c>
      <c r="F360" s="8">
        <v>10.10799317035319</v>
      </c>
      <c r="G360" s="8">
        <v>0.6422436941620403</v>
      </c>
      <c r="H360" s="8">
        <v>59.282866144935277</v>
      </c>
      <c r="I360" s="8">
        <v>26.17611434098464</v>
      </c>
      <c r="J360" s="8">
        <v>21.166736659733509</v>
      </c>
      <c r="K360" s="8">
        <v>15.00404514305353</v>
      </c>
      <c r="L360" s="8">
        <v>0.59252492823794034</v>
      </c>
      <c r="M360" s="8">
        <v>53.976459402362742</v>
      </c>
      <c r="N360" s="8">
        <v>32.68428372726909</v>
      </c>
      <c r="O360" s="8">
        <v>292.64</v>
      </c>
      <c r="P360" s="8">
        <v>287.56400000000002</v>
      </c>
      <c r="Q360" s="8">
        <v>97.15</v>
      </c>
      <c r="R360" s="8">
        <v>-0.170651</v>
      </c>
      <c r="S360" s="8">
        <v>-0.52158000000000004</v>
      </c>
      <c r="T360" s="7">
        <f>C360-D360</f>
        <v>3.4889115305758054</v>
      </c>
      <c r="U360" s="8">
        <f>D360/C360</f>
        <v>0.96070951792584702</v>
      </c>
      <c r="V360" s="8">
        <v>16.671408391512792</v>
      </c>
      <c r="W360" s="8">
        <v>7.0258093900946488</v>
      </c>
      <c r="X360" s="8">
        <v>0.66792252544516573</v>
      </c>
      <c r="Y360" s="8">
        <v>62.509971812505135</v>
      </c>
      <c r="Z360" s="8">
        <v>21.820562580215231</v>
      </c>
      <c r="AA360" s="7">
        <v>18.91907252562315</v>
      </c>
      <c r="AB360" s="7">
        <v>11.014927266574089</v>
      </c>
      <c r="AC360" s="7">
        <v>0.63022372684155303</v>
      </c>
      <c r="AD360" s="7">
        <v>58.243215607433939</v>
      </c>
      <c r="AE360" s="7">
        <v>27.252423153742161</v>
      </c>
      <c r="AF360" s="8">
        <v>20.49582982240122</v>
      </c>
      <c r="AG360" s="8">
        <v>14.31877725359463</v>
      </c>
      <c r="AH360" s="8">
        <v>0.58283470677908489</v>
      </c>
      <c r="AI360" s="8">
        <v>53.916844049763547</v>
      </c>
      <c r="AJ360" s="8">
        <v>33.652984063833053</v>
      </c>
      <c r="AK360" s="8">
        <v>21.27979213103724</v>
      </c>
      <c r="AL360" s="8">
        <v>15.11952061580342</v>
      </c>
      <c r="AM360" s="8">
        <v>0.59415784132379335</v>
      </c>
      <c r="AN360" s="8">
        <v>53.986505270745653</v>
      </c>
      <c r="AO360" s="8">
        <v>32.521046647233099</v>
      </c>
      <c r="AP360" s="8">
        <v>21.37623762440235</v>
      </c>
      <c r="AQ360" s="8">
        <v>14.00494731976949</v>
      </c>
      <c r="AR360" s="8">
        <v>0.57780478378807576</v>
      </c>
      <c r="AS360" s="8">
        <v>54.295890693311662</v>
      </c>
      <c r="AT360" s="8">
        <v>30.85326195791199</v>
      </c>
      <c r="AU360" s="8">
        <v>20.635845767768739</v>
      </c>
      <c r="AV360" s="8">
        <v>15.63986098185698</v>
      </c>
      <c r="AW360" s="8">
        <v>0.59217256997511691</v>
      </c>
      <c r="AX360" s="8">
        <v>57.892040184799278</v>
      </c>
      <c r="AY360" s="8">
        <v>30.157088601367381</v>
      </c>
      <c r="AZ360" s="8">
        <v>21.346520091362109</v>
      </c>
      <c r="BA360" s="8">
        <v>16.22258885874205</v>
      </c>
      <c r="BB360" s="8">
        <v>0.58983769807434239</v>
      </c>
      <c r="BC360" s="8">
        <v>54.894222711320388</v>
      </c>
      <c r="BD360" s="8">
        <v>32.835305232086057</v>
      </c>
      <c r="BE360" s="8">
        <v>23.836986747673009</v>
      </c>
      <c r="BF360" s="8">
        <v>19.346929924431141</v>
      </c>
      <c r="BG360" s="8">
        <v>0.70132332308467127</v>
      </c>
      <c r="BH360" s="8">
        <v>58.035498707769577</v>
      </c>
      <c r="BI360" s="8">
        <v>35.215272182756571</v>
      </c>
    </row>
    <row r="361" spans="1:61" x14ac:dyDescent="0.15">
      <c r="A361" s="7">
        <v>2021</v>
      </c>
      <c r="B361" s="7">
        <v>62</v>
      </c>
      <c r="C361" s="7">
        <v>81.536745667110083</v>
      </c>
      <c r="D361" s="7">
        <v>72.286550466007185</v>
      </c>
      <c r="E361" s="8">
        <v>17.648051999888931</v>
      </c>
      <c r="F361" s="8">
        <v>9.8651426740976937</v>
      </c>
      <c r="G361" s="8">
        <v>0.64259135033588788</v>
      </c>
      <c r="H361" s="8">
        <v>63.407691236738131</v>
      </c>
      <c r="I361" s="8">
        <v>27.119031407869279</v>
      </c>
      <c r="J361" s="8">
        <v>21.068977109989451</v>
      </c>
      <c r="K361" s="8">
        <v>13.93202298044042</v>
      </c>
      <c r="L361" s="8">
        <v>0.59681020901284587</v>
      </c>
      <c r="M361" s="8">
        <v>59.412294572043528</v>
      </c>
      <c r="N361" s="8">
        <v>35.161490422252797</v>
      </c>
      <c r="O361" s="8">
        <v>293.37700000000001</v>
      </c>
      <c r="P361" s="8">
        <v>288.35599999999999</v>
      </c>
      <c r="Q361" s="8">
        <v>97.131399999999999</v>
      </c>
      <c r="R361" s="8">
        <v>-5.8597400000000001E-2</v>
      </c>
      <c r="S361" s="8">
        <v>-0.43838500000000002</v>
      </c>
      <c r="T361" s="7">
        <f>C361-D361</f>
        <v>9.2501952011028976</v>
      </c>
      <c r="U361" s="8">
        <f>D361/C361</f>
        <v>0.8865518224277843</v>
      </c>
      <c r="V361" s="8">
        <v>15.62092623184169</v>
      </c>
      <c r="W361" s="8">
        <v>7.1646911011162384</v>
      </c>
      <c r="X361" s="8">
        <v>0.65606694500201279</v>
      </c>
      <c r="Y361" s="8">
        <v>65.673220405094639</v>
      </c>
      <c r="Z361" s="8">
        <v>21.552006522871082</v>
      </c>
      <c r="AA361" s="7">
        <v>18.34495167091557</v>
      </c>
      <c r="AB361" s="7">
        <v>10.548357040778329</v>
      </c>
      <c r="AC361" s="7">
        <v>0.62643857700742933</v>
      </c>
      <c r="AD361" s="7">
        <v>62.542757488569087</v>
      </c>
      <c r="AE361" s="7">
        <v>28.356748472561939</v>
      </c>
      <c r="AF361" s="8">
        <v>20.809497719866979</v>
      </c>
      <c r="AG361" s="8">
        <v>13.09718625048062</v>
      </c>
      <c r="AH361" s="8">
        <v>0.60220880915059471</v>
      </c>
      <c r="AI361" s="8">
        <v>58.218183692896773</v>
      </c>
      <c r="AJ361" s="8">
        <v>36.794897351342833</v>
      </c>
      <c r="AK361" s="8">
        <v>21.10947171367236</v>
      </c>
      <c r="AL361" s="8">
        <v>14.062308405050439</v>
      </c>
      <c r="AM361" s="8">
        <v>0.59596769827271556</v>
      </c>
      <c r="AN361" s="8">
        <v>59.598648666608298</v>
      </c>
      <c r="AO361" s="8">
        <v>34.906579362784107</v>
      </c>
      <c r="AP361" s="8">
        <v>20.687213765775091</v>
      </c>
      <c r="AQ361" s="8">
        <v>12.56079514123866</v>
      </c>
      <c r="AR361" s="8">
        <v>0.5499766380708303</v>
      </c>
      <c r="AS361" s="8">
        <v>59.346843852386513</v>
      </c>
      <c r="AT361" s="8">
        <v>32.229548144271611</v>
      </c>
      <c r="AU361" s="8">
        <v>20.81958794588104</v>
      </c>
      <c r="AV361" s="8">
        <v>14.76577943068393</v>
      </c>
      <c r="AW361" s="8">
        <v>0.58055721227966905</v>
      </c>
      <c r="AX361" s="8">
        <v>60.249898775044237</v>
      </c>
      <c r="AY361" s="8">
        <v>32.103770382337849</v>
      </c>
      <c r="AZ361" s="8">
        <v>21.91249086227802</v>
      </c>
      <c r="BA361" s="8">
        <v>15.47198075750098</v>
      </c>
      <c r="BB361" s="8">
        <v>0.60693162657230981</v>
      </c>
      <c r="BC361" s="8">
        <v>59.275304036599387</v>
      </c>
      <c r="BD361" s="8">
        <v>35.947007871312707</v>
      </c>
      <c r="BE361" s="8">
        <v>24.25577144225614</v>
      </c>
      <c r="BF361" s="8">
        <v>20.66701931313095</v>
      </c>
      <c r="BG361" s="8">
        <v>0.68818511394911663</v>
      </c>
      <c r="BH361" s="8">
        <v>60.09860370154955</v>
      </c>
      <c r="BI361" s="8">
        <v>36.964284018919493</v>
      </c>
    </row>
    <row r="362" spans="1:61" x14ac:dyDescent="0.15">
      <c r="A362" s="7">
        <v>2023</v>
      </c>
      <c r="B362" s="7">
        <v>68</v>
      </c>
      <c r="C362" s="9">
        <v>47.670245942129029</v>
      </c>
      <c r="D362" s="7">
        <v>10.055552255546617</v>
      </c>
      <c r="E362" s="8">
        <v>27.927174059851339</v>
      </c>
      <c r="F362" s="8">
        <v>11.6452126921986</v>
      </c>
      <c r="G362" s="8">
        <v>0.64279335444263241</v>
      </c>
      <c r="H362" s="8">
        <v>62.283365446646073</v>
      </c>
      <c r="I362" s="8">
        <v>38.930113251499598</v>
      </c>
      <c r="J362" s="8">
        <v>31.65467173702211</v>
      </c>
      <c r="K362" s="8">
        <v>11.23719627419252</v>
      </c>
      <c r="L362" s="8">
        <v>0.59273928276348309</v>
      </c>
      <c r="M362" s="8">
        <v>67.706896327544257</v>
      </c>
      <c r="N362" s="8">
        <v>44.454492071256873</v>
      </c>
      <c r="O362" s="7">
        <v>290.30599999999998</v>
      </c>
      <c r="P362" s="7">
        <v>285.608</v>
      </c>
      <c r="Q362" s="7">
        <v>97.657200000000003</v>
      </c>
      <c r="R362" s="7">
        <v>-0.31778099999999998</v>
      </c>
      <c r="S362" s="7">
        <v>-0.62460899999999997</v>
      </c>
      <c r="T362" s="7">
        <f>C362-D362</f>
        <v>37.614693686582413</v>
      </c>
      <c r="U362" s="8">
        <f>D362/C362</f>
        <v>0.21093980231933163</v>
      </c>
      <c r="V362" s="8">
        <v>27.23153192169239</v>
      </c>
      <c r="W362" s="8">
        <v>12.256304455087061</v>
      </c>
      <c r="X362" s="8">
        <v>0.62543798730033096</v>
      </c>
      <c r="Y362" s="8">
        <v>66.255340209809304</v>
      </c>
      <c r="Z362" s="8">
        <v>40.511647345537789</v>
      </c>
      <c r="AA362" s="7">
        <v>29.44310182935725</v>
      </c>
      <c r="AB362" s="7">
        <v>11.746750364639791</v>
      </c>
      <c r="AC362" s="7">
        <v>0.60908863503190702</v>
      </c>
      <c r="AD362" s="7">
        <v>66.981118268676781</v>
      </c>
      <c r="AE362" s="7">
        <v>42.483069708397331</v>
      </c>
      <c r="AF362" s="8">
        <v>31.675001977241521</v>
      </c>
      <c r="AG362" s="8">
        <v>10.836181443487421</v>
      </c>
      <c r="AH362" s="8">
        <v>0.59418452272689504</v>
      </c>
      <c r="AI362" s="8">
        <v>67.322493651529371</v>
      </c>
      <c r="AJ362" s="8">
        <v>42.744532945353498</v>
      </c>
      <c r="AK362" s="8">
        <v>31.652571680342671</v>
      </c>
      <c r="AL362" s="8">
        <v>11.27861997920982</v>
      </c>
      <c r="AM362" s="8">
        <v>0.59258999353690189</v>
      </c>
      <c r="AN362" s="8">
        <v>67.7466040436681</v>
      </c>
      <c r="AO362" s="8">
        <v>44.631126043368333</v>
      </c>
      <c r="AP362" s="8">
        <v>31.074390962729101</v>
      </c>
      <c r="AQ362" s="8">
        <v>11.113010310466089</v>
      </c>
      <c r="AR362" s="8">
        <v>0.58094860451541974</v>
      </c>
      <c r="AS362" s="8">
        <v>71.752094804556322</v>
      </c>
      <c r="AT362" s="8">
        <v>45.872920510411873</v>
      </c>
      <c r="AU362" s="8">
        <v>25.913096063894042</v>
      </c>
      <c r="AV362" s="8">
        <v>16.412648384462191</v>
      </c>
      <c r="AW362" s="8">
        <v>0.5591238396179935</v>
      </c>
      <c r="AX362" s="8">
        <v>58.032179298797423</v>
      </c>
      <c r="AY362" s="8">
        <v>43.44908806799377</v>
      </c>
      <c r="AZ362" s="8">
        <v>31.34913171655635</v>
      </c>
      <c r="BA362" s="8">
        <v>12.003477296495021</v>
      </c>
      <c r="BB362" s="8">
        <v>0.58965887947560125</v>
      </c>
      <c r="BC362" s="8">
        <v>63.907464729219363</v>
      </c>
      <c r="BD362" s="8">
        <v>43.779661640905687</v>
      </c>
      <c r="BE362" s="8">
        <v>33.236002900154688</v>
      </c>
      <c r="BF362" s="8">
        <v>27.74053921435555</v>
      </c>
      <c r="BG362" s="8">
        <v>0.681056085516203</v>
      </c>
      <c r="BH362" s="8">
        <v>58.487797489596879</v>
      </c>
      <c r="BI362" s="8">
        <v>59.331079442082292</v>
      </c>
    </row>
    <row r="363" spans="1:61" x14ac:dyDescent="0.15">
      <c r="A363" s="7">
        <v>2023</v>
      </c>
      <c r="B363" s="7">
        <v>62</v>
      </c>
      <c r="C363" s="9">
        <v>25.103490721833815</v>
      </c>
      <c r="D363" s="7">
        <v>1.194100041214083</v>
      </c>
      <c r="E363" s="8">
        <v>18.256697774411631</v>
      </c>
      <c r="F363" s="8">
        <v>13.28016420958156</v>
      </c>
      <c r="G363" s="8">
        <v>0.64337243334478134</v>
      </c>
      <c r="H363" s="8">
        <v>50.990296986261797</v>
      </c>
      <c r="I363" s="8">
        <v>29.6141919923869</v>
      </c>
      <c r="J363" s="8">
        <v>18.767260107625461</v>
      </c>
      <c r="K363" s="8">
        <v>13.0002714288552</v>
      </c>
      <c r="L363" s="8">
        <v>0.55743772735166253</v>
      </c>
      <c r="M363" s="8">
        <v>50.869766706254381</v>
      </c>
      <c r="N363" s="8">
        <v>29.42264309034929</v>
      </c>
      <c r="O363" s="7">
        <v>293.01499999999999</v>
      </c>
      <c r="P363" s="7">
        <v>288.60300000000001</v>
      </c>
      <c r="Q363" s="7">
        <v>97.167100000000005</v>
      </c>
      <c r="R363" s="7">
        <v>-0.13446</v>
      </c>
      <c r="S363" s="7">
        <v>-0.38363399999999998</v>
      </c>
      <c r="T363" s="7">
        <f>C363-D363</f>
        <v>23.909390680619733</v>
      </c>
      <c r="U363" s="8">
        <f>D363/C363</f>
        <v>4.7567091542990547E-2</v>
      </c>
      <c r="V363" s="8">
        <v>17.911993469262882</v>
      </c>
      <c r="W363" s="8">
        <v>13.108846899355822</v>
      </c>
      <c r="X363" s="8">
        <v>0.68744547138858925</v>
      </c>
      <c r="Y363" s="8">
        <v>52.054250043750045</v>
      </c>
      <c r="Z363" s="8">
        <v>29.568363892792533</v>
      </c>
      <c r="AA363" s="7">
        <v>18.339626788444171</v>
      </c>
      <c r="AB363" s="7">
        <v>13.054559164105511</v>
      </c>
      <c r="AC363" s="7">
        <v>0.62244159937012589</v>
      </c>
      <c r="AD363" s="7">
        <v>51.462008375002213</v>
      </c>
      <c r="AE363" s="7">
        <v>29.495503491570911</v>
      </c>
      <c r="AF363" s="8">
        <v>18.386663961730179</v>
      </c>
      <c r="AG363" s="8">
        <v>13.201530503161919</v>
      </c>
      <c r="AH363" s="8">
        <v>0.57364991688097189</v>
      </c>
      <c r="AI363" s="8">
        <v>49.570991347772278</v>
      </c>
      <c r="AJ363" s="8">
        <v>29.163302280680259</v>
      </c>
      <c r="AK363" s="8">
        <v>18.83181934177707</v>
      </c>
      <c r="AL363" s="8">
        <v>12.9661325342725</v>
      </c>
      <c r="AM363" s="8">
        <v>0.55468770859498029</v>
      </c>
      <c r="AN363" s="8">
        <v>51.090073567957752</v>
      </c>
      <c r="AO363" s="8">
        <v>29.466634192826451</v>
      </c>
      <c r="AP363" s="8">
        <v>18.583241346434871</v>
      </c>
      <c r="AQ363" s="8">
        <v>11.942455680547351</v>
      </c>
      <c r="AR363" s="8">
        <v>0.54256576767841835</v>
      </c>
      <c r="AS363" s="8">
        <v>53.662230827564393</v>
      </c>
      <c r="AT363" s="8">
        <v>28.764399124436348</v>
      </c>
      <c r="AU363" s="8">
        <v>19.22753542127581</v>
      </c>
      <c r="AV363" s="8">
        <v>14.4793611651415</v>
      </c>
      <c r="AW363" s="8">
        <v>0.56191692233301505</v>
      </c>
      <c r="AX363" s="8">
        <v>57.084188026041588</v>
      </c>
      <c r="AY363" s="8">
        <v>31.929611476216099</v>
      </c>
      <c r="AZ363" s="8">
        <v>18.705859344464461</v>
      </c>
      <c r="BA363" s="8">
        <v>13.52845854642217</v>
      </c>
      <c r="BB363" s="8">
        <v>0.55077160969390981</v>
      </c>
      <c r="BC363" s="8">
        <v>50.751752818704517</v>
      </c>
      <c r="BD363" s="8">
        <v>30.02738126399198</v>
      </c>
      <c r="BE363" s="8">
        <v>21.250898141122271</v>
      </c>
      <c r="BF363" s="8">
        <v>19.40038856522764</v>
      </c>
      <c r="BG363" s="8">
        <v>0.57327363910380114</v>
      </c>
      <c r="BH363" s="8">
        <v>56.637460841018552</v>
      </c>
      <c r="BI363" s="8">
        <v>37.209813601490687</v>
      </c>
    </row>
    <row r="364" spans="1:61" x14ac:dyDescent="0.15">
      <c r="A364" s="7">
        <v>2023</v>
      </c>
      <c r="B364" s="7">
        <v>146</v>
      </c>
      <c r="C364" s="9">
        <v>11.160120305751478</v>
      </c>
      <c r="D364" s="7">
        <v>6.1231223145375067</v>
      </c>
      <c r="E364" s="8">
        <v>35.367851641125448</v>
      </c>
      <c r="F364" s="8">
        <v>15.66533256070683</v>
      </c>
      <c r="G364" s="8">
        <v>0.64355070291819416</v>
      </c>
      <c r="H364" s="8">
        <v>79.959305637637101</v>
      </c>
      <c r="I364" s="8">
        <v>68.179994796142608</v>
      </c>
      <c r="J364" s="8">
        <v>40.477771219685067</v>
      </c>
      <c r="K364" s="8">
        <v>21.31067881029556</v>
      </c>
      <c r="L364" s="8">
        <v>0.71699619375272305</v>
      </c>
      <c r="M364" s="8">
        <v>86.141214018757395</v>
      </c>
      <c r="N364" s="8">
        <v>85.252982307563386</v>
      </c>
      <c r="O364" s="7">
        <v>287.78500000000003</v>
      </c>
      <c r="P364" s="7">
        <v>279.01900000000001</v>
      </c>
      <c r="Q364" s="7">
        <v>96.323599999999999</v>
      </c>
      <c r="R364" s="7">
        <v>6.9730399999999998E-2</v>
      </c>
      <c r="S364" s="7">
        <v>-0.23808699999999999</v>
      </c>
      <c r="T364" s="7">
        <f>C364-D364</f>
        <v>5.0369979912139717</v>
      </c>
      <c r="U364" s="8">
        <f>D364/C364</f>
        <v>0.54866095945058002</v>
      </c>
      <c r="V364" s="8">
        <v>33.711128754274668</v>
      </c>
      <c r="W364" s="8">
        <v>18.47396048832314</v>
      </c>
      <c r="X364" s="8">
        <v>0.58829982359055732</v>
      </c>
      <c r="Y364" s="8">
        <v>91.801610262875769</v>
      </c>
      <c r="Z364" s="8">
        <v>68.811457881174547</v>
      </c>
      <c r="AA364" s="7">
        <v>37.094449986979868</v>
      </c>
      <c r="AB364" s="7">
        <v>19.89231964930935</v>
      </c>
      <c r="AC364" s="7">
        <v>0.65264800867164019</v>
      </c>
      <c r="AD364" s="7">
        <v>88.971412140816582</v>
      </c>
      <c r="AE364" s="7">
        <v>77.032220094368967</v>
      </c>
      <c r="AF364" s="8">
        <v>40.379041799051343</v>
      </c>
      <c r="AG364" s="8">
        <v>20.53668091906879</v>
      </c>
      <c r="AH364" s="8">
        <v>0.77177647311540321</v>
      </c>
      <c r="AI364" s="8">
        <v>90.650494365660549</v>
      </c>
      <c r="AJ364" s="8">
        <v>83.935679466548422</v>
      </c>
      <c r="AK364" s="8">
        <v>40.486116600879058</v>
      </c>
      <c r="AL364" s="8">
        <v>21.376103152950151</v>
      </c>
      <c r="AM364" s="8">
        <v>0.71236573699261829</v>
      </c>
      <c r="AN364" s="8">
        <v>85.760054449867894</v>
      </c>
      <c r="AO364" s="8">
        <v>85.364331024953074</v>
      </c>
      <c r="AP364" s="8">
        <v>36.08278594261192</v>
      </c>
      <c r="AQ364" s="8">
        <v>19.96271380058975</v>
      </c>
      <c r="AR364" s="8">
        <v>0.64975403024492651</v>
      </c>
      <c r="AS364" s="8">
        <v>93.428340817811986</v>
      </c>
      <c r="AT364" s="8">
        <v>75.323970714271738</v>
      </c>
      <c r="AU364" s="8">
        <v>34.401551305375001</v>
      </c>
      <c r="AV364" s="8">
        <v>15.12221610458205</v>
      </c>
      <c r="AW364" s="8">
        <v>0.58119158269590709</v>
      </c>
      <c r="AX364" s="8">
        <v>81.590160675693497</v>
      </c>
      <c r="AY364" s="8">
        <v>68.123660273361409</v>
      </c>
      <c r="AZ364" s="8">
        <v>40.761160107616682</v>
      </c>
      <c r="BA364" s="8">
        <v>21.42958027201988</v>
      </c>
      <c r="BB364" s="8">
        <v>0.66111686546813253</v>
      </c>
      <c r="BC364" s="8">
        <v>81.716057290387795</v>
      </c>
      <c r="BD364" s="8">
        <v>85.713517259833708</v>
      </c>
      <c r="BE364" s="8">
        <v>33.838698473249401</v>
      </c>
      <c r="BF364" s="8">
        <v>25.183478832069738</v>
      </c>
      <c r="BG364" s="8">
        <v>0.62049182757856713</v>
      </c>
      <c r="BH364" s="8">
        <v>63.643611115483132</v>
      </c>
      <c r="BI364" s="8">
        <v>71.848249618999716</v>
      </c>
    </row>
    <row r="365" spans="1:61" x14ac:dyDescent="0.15">
      <c r="A365" s="7">
        <v>2022</v>
      </c>
      <c r="B365" s="7">
        <v>89</v>
      </c>
      <c r="C365" s="7">
        <v>26.477486018453618</v>
      </c>
      <c r="D365" s="7">
        <v>3.1339129297476793</v>
      </c>
      <c r="E365" s="8">
        <v>19.16116967278116</v>
      </c>
      <c r="F365" s="8">
        <v>10.371997706978201</v>
      </c>
      <c r="G365" s="8">
        <v>0.64369936320842081</v>
      </c>
      <c r="H365" s="8">
        <v>57.07615879963776</v>
      </c>
      <c r="I365" s="8">
        <v>28.025486225018561</v>
      </c>
      <c r="J365" s="8">
        <v>27.444020204257999</v>
      </c>
      <c r="K365" s="8">
        <v>18.069616926013168</v>
      </c>
      <c r="L365" s="8">
        <v>0.62429815025692026</v>
      </c>
      <c r="M365" s="8">
        <v>54.32326777908969</v>
      </c>
      <c r="N365" s="8">
        <v>37.947318046106673</v>
      </c>
      <c r="O365" s="8">
        <v>292.43900000000002</v>
      </c>
      <c r="P365" s="8">
        <v>286.73500000000001</v>
      </c>
      <c r="Q365" s="8">
        <v>98.798600000000008</v>
      </c>
      <c r="R365" s="8">
        <v>-7.9635200000000003E-2</v>
      </c>
      <c r="S365" s="8">
        <v>-0.53951000000000005</v>
      </c>
      <c r="T365" s="7">
        <f>C365-D365</f>
        <v>23.343573088705938</v>
      </c>
      <c r="U365" s="8">
        <f>D365/C365</f>
        <v>0.11836142326969724</v>
      </c>
      <c r="V365" s="8">
        <v>15.958145527057699</v>
      </c>
      <c r="W365" s="8">
        <v>6.4658502078846922</v>
      </c>
      <c r="X365" s="8">
        <v>0.64355730889792029</v>
      </c>
      <c r="Y365" s="8">
        <v>58.112206660029557</v>
      </c>
      <c r="Z365" s="8">
        <v>22.358100631376388</v>
      </c>
      <c r="AA365" s="7">
        <v>21.701082865657849</v>
      </c>
      <c r="AB365" s="7">
        <v>12.26773356694893</v>
      </c>
      <c r="AC365" s="7">
        <v>0.63392772957742027</v>
      </c>
      <c r="AD365" s="7">
        <v>56.217737219559623</v>
      </c>
      <c r="AE365" s="7">
        <v>30.152709338741531</v>
      </c>
      <c r="AF365" s="8">
        <v>27.77927754932551</v>
      </c>
      <c r="AG365" s="8">
        <v>19.06331095260494</v>
      </c>
      <c r="AH365" s="8">
        <v>0.6498723718712115</v>
      </c>
      <c r="AI365" s="8">
        <v>55.295744997133802</v>
      </c>
      <c r="AJ365" s="8">
        <v>40.463230341652377</v>
      </c>
      <c r="AK365" s="8">
        <v>27.39340557715748</v>
      </c>
      <c r="AL365" s="8">
        <v>17.919596491418918</v>
      </c>
      <c r="AM365" s="8">
        <v>0.62043714703227082</v>
      </c>
      <c r="AN365" s="8">
        <v>54.176450498337417</v>
      </c>
      <c r="AO365" s="8">
        <v>37.56748457033008</v>
      </c>
      <c r="AP365" s="8">
        <v>26.675787249691009</v>
      </c>
      <c r="AQ365" s="8">
        <v>15.804878140758589</v>
      </c>
      <c r="AR365" s="8">
        <v>0.60888881539329487</v>
      </c>
      <c r="AS365" s="8">
        <v>54.288392185733713</v>
      </c>
      <c r="AT365" s="8">
        <v>33.805135225597589</v>
      </c>
      <c r="AU365" s="8">
        <v>16.959149273253871</v>
      </c>
      <c r="AV365" s="8">
        <v>10.405256623946981</v>
      </c>
      <c r="AW365" s="8">
        <v>0.54986808304401247</v>
      </c>
      <c r="AX365" s="8">
        <v>63.230800757072103</v>
      </c>
      <c r="AY365" s="8">
        <v>24.60497720785272</v>
      </c>
      <c r="AZ365" s="8">
        <v>28.024552505262552</v>
      </c>
      <c r="BA365" s="8">
        <v>19.213179290540531</v>
      </c>
      <c r="BB365" s="8">
        <v>0.62029930553735924</v>
      </c>
      <c r="BC365" s="8">
        <v>54.697117724815271</v>
      </c>
      <c r="BD365" s="8">
        <v>39.447549247354729</v>
      </c>
      <c r="BE365" s="8">
        <v>28.860076066585339</v>
      </c>
      <c r="BF365" s="8">
        <v>24.246650185011418</v>
      </c>
      <c r="BG365" s="8">
        <v>0.53550531397569689</v>
      </c>
      <c r="BH365" s="8">
        <v>57.546292187844877</v>
      </c>
      <c r="BI365" s="8">
        <v>45.488601568979369</v>
      </c>
    </row>
    <row r="366" spans="1:61" x14ac:dyDescent="0.15">
      <c r="A366" s="7">
        <v>2023</v>
      </c>
      <c r="B366" s="7">
        <v>38</v>
      </c>
      <c r="C366" s="9">
        <v>15.563072992628941</v>
      </c>
      <c r="D366" s="7">
        <v>8.0362332185263892</v>
      </c>
      <c r="E366" s="8">
        <v>36.386356370242552</v>
      </c>
      <c r="F366" s="8">
        <v>20.54320016695922</v>
      </c>
      <c r="G366" s="8">
        <v>0.64442552432217715</v>
      </c>
      <c r="H366" s="8">
        <v>75.263737543894052</v>
      </c>
      <c r="I366" s="8">
        <v>71.395083980573816</v>
      </c>
      <c r="J366" s="8">
        <v>38.674367960896099</v>
      </c>
      <c r="K366" s="8">
        <v>27.958483259561749</v>
      </c>
      <c r="L366" s="8">
        <v>0.71133859647458753</v>
      </c>
      <c r="M366" s="8">
        <v>70.878691805455162</v>
      </c>
      <c r="N366" s="8">
        <v>76.496279783553817</v>
      </c>
      <c r="O366" s="7">
        <v>286.142</v>
      </c>
      <c r="P366" s="7">
        <v>277.08499999999998</v>
      </c>
      <c r="Q366" s="7">
        <v>96.914699999999996</v>
      </c>
      <c r="R366" s="7">
        <v>0.39196700000000001</v>
      </c>
      <c r="S366" s="7">
        <v>-3.4640500000000002E-3</v>
      </c>
      <c r="T366" s="7">
        <f>C366-D366</f>
        <v>7.5268397741025517</v>
      </c>
      <c r="U366" s="8">
        <f>D366/C366</f>
        <v>0.51636545188296357</v>
      </c>
      <c r="V366" s="8">
        <v>31.771782887293178</v>
      </c>
      <c r="W366" s="8">
        <v>20.80597561724915</v>
      </c>
      <c r="X366" s="8">
        <v>0.64714899268626791</v>
      </c>
      <c r="Y366" s="8">
        <v>70.834875709630126</v>
      </c>
      <c r="Z366" s="8">
        <v>69.842935943684822</v>
      </c>
      <c r="AA366" s="7">
        <v>35.223075424094638</v>
      </c>
      <c r="AB366" s="7">
        <v>24.382229438405449</v>
      </c>
      <c r="AC366" s="7">
        <v>0.67924379458042772</v>
      </c>
      <c r="AD366" s="7">
        <v>70.856783757542644</v>
      </c>
      <c r="AE366" s="7">
        <v>73.169607863619319</v>
      </c>
      <c r="AF366" s="8">
        <v>39.663034432952507</v>
      </c>
      <c r="AG366" s="8">
        <v>28.48507179074447</v>
      </c>
      <c r="AH366" s="8">
        <v>0.67818211522306493</v>
      </c>
      <c r="AI366" s="8">
        <v>71.48874391019487</v>
      </c>
      <c r="AJ366" s="8">
        <v>74.95865086909339</v>
      </c>
      <c r="AK366" s="8">
        <v>38.554867289760352</v>
      </c>
      <c r="AL366" s="8">
        <v>27.894834208372799</v>
      </c>
      <c r="AM366" s="8">
        <v>0.71534623896479488</v>
      </c>
      <c r="AN366" s="8">
        <v>70.804954465305926</v>
      </c>
      <c r="AO366" s="8">
        <v>76.682133853079947</v>
      </c>
      <c r="AP366" s="8">
        <v>33.012979778137627</v>
      </c>
      <c r="AQ366" s="8">
        <v>24.663671114441371</v>
      </c>
      <c r="AR366" s="8">
        <v>0.69626789510907605</v>
      </c>
      <c r="AS366" s="8">
        <v>69.728388340828531</v>
      </c>
      <c r="AT366" s="8">
        <v>71.950469034493409</v>
      </c>
      <c r="AU366" s="8">
        <v>37.097482756656277</v>
      </c>
      <c r="AV366" s="8">
        <v>24.04443917833666</v>
      </c>
      <c r="AW366" s="8">
        <v>0.59117142378427345</v>
      </c>
      <c r="AX366" s="8">
        <v>69.959031189039081</v>
      </c>
      <c r="AY366" s="8">
        <v>75.191549151898144</v>
      </c>
      <c r="AZ366" s="8">
        <v>38.840428690934843</v>
      </c>
      <c r="BA366" s="8">
        <v>27.241807682290929</v>
      </c>
      <c r="BB366" s="8">
        <v>0.70385284092995515</v>
      </c>
      <c r="BC366" s="8">
        <v>70.349975655772241</v>
      </c>
      <c r="BD366" s="8">
        <v>77.097255563288684</v>
      </c>
      <c r="BE366" s="8">
        <v>35.831480011920519</v>
      </c>
      <c r="BF366" s="8">
        <v>27.227525962202382</v>
      </c>
      <c r="BG366" s="8">
        <v>0.71831501882596993</v>
      </c>
      <c r="BH366" s="8">
        <v>64.922008252272335</v>
      </c>
      <c r="BI366" s="8">
        <v>73.854110666526978</v>
      </c>
    </row>
    <row r="367" spans="1:61" x14ac:dyDescent="0.15">
      <c r="A367" s="7">
        <v>2021</v>
      </c>
      <c r="B367" s="7">
        <v>142</v>
      </c>
      <c r="C367" s="7">
        <v>16.741432860639804</v>
      </c>
      <c r="D367" s="7">
        <v>13.753299785644174</v>
      </c>
      <c r="E367" s="8">
        <v>38.010549780676307</v>
      </c>
      <c r="F367" s="8">
        <v>22.64222050140436</v>
      </c>
      <c r="G367" s="8">
        <v>0.64446209514033259</v>
      </c>
      <c r="H367" s="8">
        <v>76.404303917033957</v>
      </c>
      <c r="I367" s="8">
        <v>59.735757919351528</v>
      </c>
      <c r="J367" s="8">
        <v>38.663542976945628</v>
      </c>
      <c r="K367" s="8">
        <v>27.895963674037809</v>
      </c>
      <c r="L367" s="8">
        <v>0.82289340401232747</v>
      </c>
      <c r="M367" s="8">
        <v>68.081254645882936</v>
      </c>
      <c r="N367" s="8">
        <v>76.480467768563869</v>
      </c>
      <c r="O367" s="8">
        <v>284.90499999999997</v>
      </c>
      <c r="P367" s="8">
        <v>276.23500000000001</v>
      </c>
      <c r="Q367" s="8">
        <v>90.313600000000008</v>
      </c>
      <c r="R367" s="8">
        <v>0.40131800000000001</v>
      </c>
      <c r="S367" s="8">
        <v>-0.10484499999999999</v>
      </c>
      <c r="T367" s="7">
        <f>C367-D367</f>
        <v>2.9881330749956305</v>
      </c>
      <c r="U367" s="8">
        <f>D367/C367</f>
        <v>0.82151270444593039</v>
      </c>
      <c r="V367" s="8">
        <v>37.144980194905976</v>
      </c>
      <c r="W367" s="8">
        <v>22.111501607070629</v>
      </c>
      <c r="X367" s="8">
        <v>0.65226133867945135</v>
      </c>
      <c r="Y367" s="8">
        <v>75.216070094365065</v>
      </c>
      <c r="Z367" s="8">
        <v>59.143079305483042</v>
      </c>
      <c r="AA367" s="7">
        <v>37.904261585925802</v>
      </c>
      <c r="AB367" s="7">
        <v>25.003732640554219</v>
      </c>
      <c r="AC367" s="7">
        <v>0.73757737134588941</v>
      </c>
      <c r="AD367" s="7">
        <v>71.648662370124001</v>
      </c>
      <c r="AE367" s="7">
        <v>67.811773537023456</v>
      </c>
      <c r="AF367" s="8">
        <v>39.050332694984753</v>
      </c>
      <c r="AG367" s="8">
        <v>27.321230634382552</v>
      </c>
      <c r="AH367" s="8">
        <v>0.78860929037090133</v>
      </c>
      <c r="AI367" s="8">
        <v>68.238413282060364</v>
      </c>
      <c r="AJ367" s="8">
        <v>69.430339655277265</v>
      </c>
      <c r="AK367" s="8">
        <v>38.596297007984219</v>
      </c>
      <c r="AL367" s="8">
        <v>27.995884841388609</v>
      </c>
      <c r="AM367" s="8">
        <v>0.82885392554192983</v>
      </c>
      <c r="AN367" s="8">
        <v>68.053931570119758</v>
      </c>
      <c r="AO367" s="8">
        <v>77.706179503310949</v>
      </c>
      <c r="AP367" s="8">
        <v>37.639711373976724</v>
      </c>
      <c r="AQ367" s="8">
        <v>27.07576257419727</v>
      </c>
      <c r="AR367" s="8">
        <v>0.85020843053803385</v>
      </c>
      <c r="AS367" s="8">
        <v>67.804200631277084</v>
      </c>
      <c r="AT367" s="8">
        <v>77.811081398485598</v>
      </c>
      <c r="AU367" s="8">
        <v>37.515940453216103</v>
      </c>
      <c r="AV367" s="8">
        <v>26.967337590483879</v>
      </c>
      <c r="AW367" s="8">
        <v>0.76763165917617004</v>
      </c>
      <c r="AX367" s="8">
        <v>64.947532159254195</v>
      </c>
      <c r="AY367" s="8">
        <v>67.661417303719716</v>
      </c>
      <c r="AZ367" s="8">
        <v>39.671264478030672</v>
      </c>
      <c r="BA367" s="8">
        <v>30.081736577131839</v>
      </c>
      <c r="BB367" s="8">
        <v>0.86387709698055914</v>
      </c>
      <c r="BC367" s="8">
        <v>67.279571588969972</v>
      </c>
      <c r="BD367" s="8">
        <v>86.157488950748245</v>
      </c>
      <c r="BE367" s="8">
        <v>42.907775293726807</v>
      </c>
      <c r="BF367" s="8">
        <v>29.5923883525005</v>
      </c>
      <c r="BG367" s="8">
        <v>0.80331084089327431</v>
      </c>
      <c r="BH367" s="8">
        <v>62.732511185635602</v>
      </c>
      <c r="BI367" s="8">
        <v>87.852056003634786</v>
      </c>
    </row>
    <row r="368" spans="1:61" x14ac:dyDescent="0.15">
      <c r="A368" s="7">
        <v>2021</v>
      </c>
      <c r="B368" s="7">
        <v>102</v>
      </c>
      <c r="C368" s="7">
        <v>21.520289067876622</v>
      </c>
      <c r="D368" s="7">
        <v>11.508406520698273</v>
      </c>
      <c r="E368" s="8">
        <v>32.579808751145578</v>
      </c>
      <c r="F368" s="8">
        <v>18.660169976241789</v>
      </c>
      <c r="G368" s="8">
        <v>0.64476016755516186</v>
      </c>
      <c r="H368" s="8">
        <v>72.599134410639834</v>
      </c>
      <c r="I368" s="8">
        <v>44.174612523023292</v>
      </c>
      <c r="J368" s="8">
        <v>34.140216615669402</v>
      </c>
      <c r="K368" s="8">
        <v>20.74235308591167</v>
      </c>
      <c r="L368" s="8">
        <v>0.65408304187467448</v>
      </c>
      <c r="M368" s="8">
        <v>72.879514526986668</v>
      </c>
      <c r="N368" s="8">
        <v>53.42951569567699</v>
      </c>
      <c r="O368" s="8">
        <v>289.62299999999999</v>
      </c>
      <c r="P368" s="8">
        <v>283.767</v>
      </c>
      <c r="Q368" s="8">
        <v>100.352</v>
      </c>
      <c r="R368" s="8">
        <v>-0.14198</v>
      </c>
      <c r="S368" s="8">
        <v>-0.284526</v>
      </c>
      <c r="T368" s="7">
        <f>C368-D368</f>
        <v>10.011882547178349</v>
      </c>
      <c r="U368" s="8">
        <f>D368/C368</f>
        <v>0.53477007136846011</v>
      </c>
      <c r="V368" s="8">
        <v>28.577516175597196</v>
      </c>
      <c r="W368" s="8">
        <v>23.292539629859792</v>
      </c>
      <c r="X368" s="8">
        <v>0.73651828542714359</v>
      </c>
      <c r="Y368" s="8">
        <v>60.183475011149596</v>
      </c>
      <c r="Z368" s="8">
        <v>50.297441539578365</v>
      </c>
      <c r="AA368" s="7">
        <v>31.358866395633299</v>
      </c>
      <c r="AB368" s="7">
        <v>22.017446357885731</v>
      </c>
      <c r="AC368" s="7">
        <v>0.69530066365090903</v>
      </c>
      <c r="AD368" s="7">
        <v>66.531494769068132</v>
      </c>
      <c r="AE368" s="7">
        <v>51.863478617627678</v>
      </c>
      <c r="AF368" s="8">
        <v>35.184803187677552</v>
      </c>
      <c r="AG368" s="8">
        <v>19.38133136790438</v>
      </c>
      <c r="AH368" s="8">
        <v>0.61614454351831405</v>
      </c>
      <c r="AI368" s="8">
        <v>74.729753014230738</v>
      </c>
      <c r="AJ368" s="8">
        <v>50.996493787617183</v>
      </c>
      <c r="AK368" s="8">
        <v>34.00221426086437</v>
      </c>
      <c r="AL368" s="8">
        <v>20.922160300611662</v>
      </c>
      <c r="AM368" s="8">
        <v>0.65909517035807941</v>
      </c>
      <c r="AN368" s="8">
        <v>72.635075937564906</v>
      </c>
      <c r="AO368" s="8">
        <v>53.750946931346633</v>
      </c>
      <c r="AP368" s="8">
        <v>30.76164376008489</v>
      </c>
      <c r="AQ368" s="8">
        <v>22.356522032633649</v>
      </c>
      <c r="AR368" s="8">
        <v>0.7047795996592201</v>
      </c>
      <c r="AS368" s="8">
        <v>64.95379295164679</v>
      </c>
      <c r="AT368" s="8">
        <v>52.303452455686561</v>
      </c>
      <c r="AU368" s="8">
        <v>27.492855923525951</v>
      </c>
      <c r="AV368" s="8">
        <v>16.982524041100969</v>
      </c>
      <c r="AW368" s="8">
        <v>0.57085894143542315</v>
      </c>
      <c r="AX368" s="8">
        <v>72.352578239570732</v>
      </c>
      <c r="AY368" s="8">
        <v>44.61401229487349</v>
      </c>
      <c r="AZ368" s="8">
        <v>33.058249702924392</v>
      </c>
      <c r="BA368" s="8">
        <v>20.432667730975819</v>
      </c>
      <c r="BB368" s="8">
        <v>0.65207386967899827</v>
      </c>
      <c r="BC368" s="8">
        <v>73.485689540570775</v>
      </c>
      <c r="BD368" s="8">
        <v>51.971193548376299</v>
      </c>
      <c r="BE368" s="8">
        <v>41.39620973846359</v>
      </c>
      <c r="BF368" s="8">
        <v>27.87468925416244</v>
      </c>
      <c r="BG368" s="8">
        <v>0.77177904454824586</v>
      </c>
      <c r="BH368" s="8">
        <v>66.279955173156537</v>
      </c>
      <c r="BI368" s="8">
        <v>75.079635270138041</v>
      </c>
    </row>
    <row r="369" spans="1:61" x14ac:dyDescent="0.15">
      <c r="A369" s="7">
        <v>2022</v>
      </c>
      <c r="B369" s="7">
        <v>50</v>
      </c>
      <c r="C369" s="7">
        <v>68.041688736389759</v>
      </c>
      <c r="D369" s="7">
        <v>8.5828684043206014</v>
      </c>
      <c r="E369" s="8">
        <v>32.17859978913966</v>
      </c>
      <c r="F369" s="8">
        <v>23.955223015637589</v>
      </c>
      <c r="G369" s="8">
        <v>0.64483727265528523</v>
      </c>
      <c r="H369" s="8">
        <v>74.286865260211925</v>
      </c>
      <c r="I369" s="8">
        <v>56.067446229853061</v>
      </c>
      <c r="J369" s="8">
        <v>36.867096784548821</v>
      </c>
      <c r="K369" s="8">
        <v>35.765309065459398</v>
      </c>
      <c r="L369" s="8">
        <v>0.7287768125650077</v>
      </c>
      <c r="M369" s="8">
        <v>62.279569905211211</v>
      </c>
      <c r="N369" s="8">
        <v>81.23953635305098</v>
      </c>
      <c r="O369" s="8">
        <v>281.69900000000001</v>
      </c>
      <c r="P369" s="8">
        <v>272.04000000000002</v>
      </c>
      <c r="Q369" s="8">
        <v>86.846699999999998</v>
      </c>
      <c r="R369" s="8">
        <v>0.62166699999999997</v>
      </c>
      <c r="S369" s="8">
        <v>-0.115358</v>
      </c>
      <c r="T369" s="7">
        <f>C369-D369</f>
        <v>59.458820332069159</v>
      </c>
      <c r="U369" s="8">
        <f>D369/C369</f>
        <v>0.12614131958971131</v>
      </c>
      <c r="V369" s="8">
        <v>33.624102283430574</v>
      </c>
      <c r="W369" s="8">
        <v>25.04172524700784</v>
      </c>
      <c r="X369" s="8">
        <v>0.61428036954533327</v>
      </c>
      <c r="Y369" s="8">
        <v>68.603166212682822</v>
      </c>
      <c r="Z369" s="8">
        <v>53.93355128378677</v>
      </c>
      <c r="AA369" s="7">
        <v>35.245599533989697</v>
      </c>
      <c r="AB369" s="7">
        <v>30.403517156233619</v>
      </c>
      <c r="AC369" s="7">
        <v>0.67152859105517049</v>
      </c>
      <c r="AD369" s="7">
        <v>65.44136805894702</v>
      </c>
      <c r="AE369" s="7">
        <v>67.586543818418875</v>
      </c>
      <c r="AF369" s="8">
        <v>37.042756627803008</v>
      </c>
      <c r="AG369" s="8">
        <v>33.796875077645602</v>
      </c>
      <c r="AH369" s="8">
        <v>0.70101423984476663</v>
      </c>
      <c r="AI369" s="8">
        <v>64.260395158709244</v>
      </c>
      <c r="AJ369" s="8">
        <v>73.239748734629487</v>
      </c>
      <c r="AK369" s="8">
        <v>36.8502001463075</v>
      </c>
      <c r="AL369" s="8">
        <v>35.954651810949031</v>
      </c>
      <c r="AM369" s="8">
        <v>0.73144728146223725</v>
      </c>
      <c r="AN369" s="8">
        <v>62.089035249665507</v>
      </c>
      <c r="AO369" s="8">
        <v>82.009032185973595</v>
      </c>
      <c r="AP369" s="8">
        <v>35.292924857249382</v>
      </c>
      <c r="AQ369" s="8">
        <v>35.530009114636833</v>
      </c>
      <c r="AR369" s="8">
        <v>0.63879837553687646</v>
      </c>
      <c r="AS369" s="8">
        <v>62.817987004636393</v>
      </c>
      <c r="AT369" s="8">
        <v>76.190195520570214</v>
      </c>
      <c r="AU369" s="8">
        <v>36.827133608898883</v>
      </c>
      <c r="AV369" s="8">
        <v>29.75405529866358</v>
      </c>
      <c r="AW369" s="8">
        <v>0.69496458005993711</v>
      </c>
      <c r="AX369" s="8">
        <v>62.044111278316123</v>
      </c>
      <c r="AY369" s="8">
        <v>63.163928265777571</v>
      </c>
      <c r="AZ369" s="8">
        <v>37.451747826808571</v>
      </c>
      <c r="BA369" s="8">
        <v>37.332337869649137</v>
      </c>
      <c r="BB369" s="8">
        <v>0.74229210061528283</v>
      </c>
      <c r="BC369" s="8">
        <v>60.499745763440188</v>
      </c>
      <c r="BD369" s="8">
        <v>93.869250788962503</v>
      </c>
      <c r="BE369" s="8">
        <v>34.346296695090352</v>
      </c>
      <c r="BF369" s="8">
        <v>31.26849404710611</v>
      </c>
      <c r="BG369" s="8">
        <v>0.60024295653884097</v>
      </c>
      <c r="BH369" s="8">
        <v>63.736825796521799</v>
      </c>
      <c r="BI369" s="8">
        <v>87.045016235205296</v>
      </c>
    </row>
    <row r="370" spans="1:61" x14ac:dyDescent="0.15">
      <c r="A370" s="7">
        <v>2020</v>
      </c>
      <c r="B370" s="7">
        <v>15</v>
      </c>
      <c r="C370" s="7">
        <v>156.27068320582609</v>
      </c>
      <c r="D370" s="7">
        <v>95.570769375294546</v>
      </c>
      <c r="E370" s="8">
        <v>23.090941561069918</v>
      </c>
      <c r="F370" s="8">
        <v>11.057464518204251</v>
      </c>
      <c r="G370" s="8">
        <v>0.64522677293547603</v>
      </c>
      <c r="H370" s="8">
        <v>66.305640636815312</v>
      </c>
      <c r="I370" s="8">
        <v>37.085849876215427</v>
      </c>
      <c r="J370" s="8">
        <v>35.164289123133671</v>
      </c>
      <c r="K370" s="8">
        <v>19.764467552956582</v>
      </c>
      <c r="L370" s="8">
        <v>0.79318382584304392</v>
      </c>
      <c r="M370" s="8">
        <v>60.000110685507359</v>
      </c>
      <c r="N370" s="8">
        <v>48.02022213473294</v>
      </c>
      <c r="O370" s="8">
        <v>291.13099999999997</v>
      </c>
      <c r="P370" s="8">
        <v>287.28100000000001</v>
      </c>
      <c r="Q370" s="8">
        <v>99.698599999999999</v>
      </c>
      <c r="R370" s="8">
        <v>-2.3345600000000001E-2</v>
      </c>
      <c r="S370" s="8">
        <v>-0.71549700000000005</v>
      </c>
      <c r="T370" s="7">
        <f>C370-D370</f>
        <v>60.699913830531543</v>
      </c>
      <c r="U370" s="8">
        <f>D370/C370</f>
        <v>0.6115719686808887</v>
      </c>
      <c r="V370" s="8">
        <v>19.97255723345279</v>
      </c>
      <c r="W370" s="8">
        <v>7.3685321678460198</v>
      </c>
      <c r="X370" s="8">
        <v>0.58339157811831788</v>
      </c>
      <c r="Y370" s="8">
        <v>67.164192438658404</v>
      </c>
      <c r="Z370" s="8">
        <v>32.876955578562153</v>
      </c>
      <c r="AA370" s="7">
        <v>27.56842317829323</v>
      </c>
      <c r="AB370" s="7">
        <v>13.566499860401301</v>
      </c>
      <c r="AC370" s="7">
        <v>0.6882877019806809</v>
      </c>
      <c r="AD370" s="7">
        <v>63.582151562082878</v>
      </c>
      <c r="AE370" s="7">
        <v>40.448588856647547</v>
      </c>
      <c r="AF370" s="8">
        <v>35.580507959978362</v>
      </c>
      <c r="AG370" s="8">
        <v>19.88262227895029</v>
      </c>
      <c r="AH370" s="8">
        <v>0.79410985758562747</v>
      </c>
      <c r="AI370" s="8">
        <v>61.448157056195107</v>
      </c>
      <c r="AJ370" s="8">
        <v>48.903324386801451</v>
      </c>
      <c r="AK370" s="8">
        <v>35.109059086823443</v>
      </c>
      <c r="AL370" s="8">
        <v>19.748789046293279</v>
      </c>
      <c r="AM370" s="8">
        <v>0.79306094633294044</v>
      </c>
      <c r="AN370" s="8">
        <v>59.807962597645073</v>
      </c>
      <c r="AO370" s="8">
        <v>47.903039140764832</v>
      </c>
      <c r="AP370" s="8">
        <v>31.908600787030871</v>
      </c>
      <c r="AQ370" s="8">
        <v>15.501066440967239</v>
      </c>
      <c r="AR370" s="8">
        <v>0.71301150622348619</v>
      </c>
      <c r="AS370" s="8">
        <v>60.639359549136877</v>
      </c>
      <c r="AT370" s="8">
        <v>42.993324596970943</v>
      </c>
      <c r="AU370" s="8">
        <v>32.628416988765771</v>
      </c>
      <c r="AV370" s="8">
        <v>22.114012550264022</v>
      </c>
      <c r="AW370" s="8">
        <v>0.75255745559651543</v>
      </c>
      <c r="AX370" s="8">
        <v>62.34330366843318</v>
      </c>
      <c r="AY370" s="8">
        <v>54.436582149250512</v>
      </c>
      <c r="AZ370" s="8">
        <v>35.138548161883563</v>
      </c>
      <c r="BA370" s="8">
        <v>21.208171836479881</v>
      </c>
      <c r="BB370" s="8">
        <v>0.84094199242563594</v>
      </c>
      <c r="BC370" s="8">
        <v>60.316507544701032</v>
      </c>
      <c r="BD370" s="8">
        <v>49.291154344507959</v>
      </c>
      <c r="BE370" s="8">
        <v>35.547397849079637</v>
      </c>
      <c r="BF370" s="8">
        <v>27.023048979693009</v>
      </c>
      <c r="BG370" s="8">
        <v>0.62889385055888969</v>
      </c>
      <c r="BH370" s="8">
        <v>59.742112453675567</v>
      </c>
      <c r="BI370" s="8">
        <v>64.908082445018366</v>
      </c>
    </row>
    <row r="371" spans="1:61" x14ac:dyDescent="0.15">
      <c r="A371" s="7">
        <v>2023</v>
      </c>
      <c r="B371" s="7">
        <v>149</v>
      </c>
      <c r="C371" s="9">
        <v>5.5241128099690826</v>
      </c>
      <c r="D371" s="7">
        <v>4.2628626269093015</v>
      </c>
      <c r="E371" s="8">
        <v>35.874001488809817</v>
      </c>
      <c r="F371" s="8">
        <v>24.847643850966929</v>
      </c>
      <c r="G371" s="8">
        <v>0.64560766447780327</v>
      </c>
      <c r="H371" s="8">
        <v>77.54700521081655</v>
      </c>
      <c r="I371" s="8">
        <v>74.568106830939499</v>
      </c>
      <c r="J371" s="8">
        <v>33.34254245909009</v>
      </c>
      <c r="K371" s="8">
        <v>24.016171817160011</v>
      </c>
      <c r="L371" s="8">
        <v>0.54313440792340217</v>
      </c>
      <c r="M371" s="8">
        <v>80.772119935342531</v>
      </c>
      <c r="N371" s="8">
        <v>68.302462165456788</v>
      </c>
      <c r="O371" s="7">
        <v>289.334</v>
      </c>
      <c r="P371" s="7">
        <v>282.52800000000002</v>
      </c>
      <c r="Q371" s="7">
        <v>101.238</v>
      </c>
      <c r="R371" s="7">
        <v>-0.59614999999999996</v>
      </c>
      <c r="S371" s="7">
        <v>0.14499699999999999</v>
      </c>
      <c r="T371" s="7">
        <f>C371-D371</f>
        <v>1.2612501830597811</v>
      </c>
      <c r="U371" s="8">
        <f>D371/C371</f>
        <v>0.77168276129631752</v>
      </c>
      <c r="V371" s="8">
        <v>33.480914526524536</v>
      </c>
      <c r="W371" s="8">
        <v>22.953478685636949</v>
      </c>
      <c r="X371" s="8">
        <v>0.54968508965037977</v>
      </c>
      <c r="Y371" s="8">
        <v>82.312764868663507</v>
      </c>
      <c r="Z371" s="8">
        <v>61.990874054828467</v>
      </c>
      <c r="AA371" s="7">
        <v>33.411728492807313</v>
      </c>
      <c r="AB371" s="7">
        <v>23.48482525139848</v>
      </c>
      <c r="AC371" s="7">
        <v>0.54640974878689097</v>
      </c>
      <c r="AD371" s="7">
        <v>81.542442402003019</v>
      </c>
      <c r="AE371" s="7">
        <v>65.146668110142627</v>
      </c>
      <c r="AF371" s="8">
        <v>33.792855780094612</v>
      </c>
      <c r="AG371" s="8">
        <v>24.61863279268422</v>
      </c>
      <c r="AH371" s="8">
        <v>0.539611646857727</v>
      </c>
      <c r="AI371" s="8">
        <v>80.562972894978344</v>
      </c>
      <c r="AJ371" s="8">
        <v>69.43716508136805</v>
      </c>
      <c r="AK371" s="8">
        <v>33.30803204592921</v>
      </c>
      <c r="AL371" s="8">
        <v>23.970001348269001</v>
      </c>
      <c r="AM371" s="8">
        <v>0.5434043798166881</v>
      </c>
      <c r="AN371" s="8">
        <v>80.788148221510582</v>
      </c>
      <c r="AO371" s="8">
        <v>68.215502565070992</v>
      </c>
      <c r="AP371" s="8">
        <v>33.418966777973523</v>
      </c>
      <c r="AQ371" s="8">
        <v>23.5231060069225</v>
      </c>
      <c r="AR371" s="8">
        <v>0.54384070159825726</v>
      </c>
      <c r="AS371" s="8">
        <v>81.7433438560262</v>
      </c>
      <c r="AT371" s="8">
        <v>64.454357135188687</v>
      </c>
      <c r="AU371" s="8">
        <v>32.400598516469437</v>
      </c>
      <c r="AV371" s="8">
        <v>20.11912922596116</v>
      </c>
      <c r="AW371" s="8">
        <v>0.5754630607594855</v>
      </c>
      <c r="AX371" s="8">
        <v>77.285547074084434</v>
      </c>
      <c r="AY371" s="8">
        <v>66.45665564904715</v>
      </c>
      <c r="AZ371" s="8">
        <v>33.310629410637887</v>
      </c>
      <c r="BA371" s="8">
        <v>23.303959164524919</v>
      </c>
      <c r="BB371" s="8">
        <v>0.55427419244759579</v>
      </c>
      <c r="BC371" s="8">
        <v>81.220324374148305</v>
      </c>
      <c r="BD371" s="8">
        <v>68.066387772689609</v>
      </c>
      <c r="BE371" s="8">
        <v>31.472460621044299</v>
      </c>
      <c r="BF371" s="8">
        <v>26.990477759362129</v>
      </c>
      <c r="BG371" s="8">
        <v>0.65161259455766296</v>
      </c>
      <c r="BH371" s="8">
        <v>70.805281120963073</v>
      </c>
      <c r="BI371" s="8">
        <v>64.44339996838039</v>
      </c>
    </row>
    <row r="372" spans="1:61" x14ac:dyDescent="0.15">
      <c r="A372" s="7">
        <v>2023</v>
      </c>
      <c r="B372" s="7">
        <v>136</v>
      </c>
      <c r="C372" s="9">
        <v>21.985678946223427</v>
      </c>
      <c r="D372" s="7">
        <v>9.7398466958106269</v>
      </c>
      <c r="E372" s="8">
        <v>28.05644189137513</v>
      </c>
      <c r="F372" s="8">
        <v>20.635191446648811</v>
      </c>
      <c r="G372" s="8">
        <v>0.645755703202611</v>
      </c>
      <c r="H372" s="8">
        <v>57.183322013948292</v>
      </c>
      <c r="I372" s="8">
        <v>45.161345838647101</v>
      </c>
      <c r="J372" s="8">
        <v>32.031618701819433</v>
      </c>
      <c r="K372" s="8">
        <v>26.115728923897731</v>
      </c>
      <c r="L372" s="8">
        <v>0.63197777734974125</v>
      </c>
      <c r="M372" s="8">
        <v>52.518558464500167</v>
      </c>
      <c r="N372" s="8">
        <v>53.342065824135311</v>
      </c>
      <c r="O372" s="7">
        <v>289.96600000000001</v>
      </c>
      <c r="P372" s="7">
        <v>285.80700000000002</v>
      </c>
      <c r="Q372" s="7">
        <v>93.989899999999992</v>
      </c>
      <c r="R372" s="7">
        <v>-0.64772799999999997</v>
      </c>
      <c r="S372" s="7">
        <v>-0.50643199999999999</v>
      </c>
      <c r="T372" s="7">
        <f>C372-D372</f>
        <v>12.2458322504128</v>
      </c>
      <c r="U372" s="8">
        <f>D372/C372</f>
        <v>0.44300868395441034</v>
      </c>
      <c r="V372" s="8">
        <v>27.876711334823327</v>
      </c>
      <c r="W372" s="8">
        <v>19.381824069500109</v>
      </c>
      <c r="X372" s="8">
        <v>0.64657529887089038</v>
      </c>
      <c r="Y372" s="8">
        <v>58.783589981468573</v>
      </c>
      <c r="Z372" s="8">
        <v>44.678731008876802</v>
      </c>
      <c r="AA372" s="7">
        <v>29.95416501832138</v>
      </c>
      <c r="AB372" s="7">
        <v>22.74877649669892</v>
      </c>
      <c r="AC372" s="7">
        <v>0.63927653811031582</v>
      </c>
      <c r="AD372" s="7">
        <v>55.65107422298437</v>
      </c>
      <c r="AE372" s="7">
        <v>49.010398416506057</v>
      </c>
      <c r="AF372" s="8">
        <v>33.741386478663792</v>
      </c>
      <c r="AG372" s="8">
        <v>28.274127963776159</v>
      </c>
      <c r="AH372" s="8">
        <v>0.69648090379955241</v>
      </c>
      <c r="AI372" s="8">
        <v>52.620345678841502</v>
      </c>
      <c r="AJ372" s="8">
        <v>54.028618693509998</v>
      </c>
      <c r="AK372" s="8">
        <v>31.832551023455721</v>
      </c>
      <c r="AL372" s="8">
        <v>25.864427260788791</v>
      </c>
      <c r="AM372" s="8">
        <v>0.62446770036533172</v>
      </c>
      <c r="AN372" s="8">
        <v>52.506707413895263</v>
      </c>
      <c r="AO372" s="8">
        <v>53.26213070801527</v>
      </c>
      <c r="AP372" s="8">
        <v>32.262328614774972</v>
      </c>
      <c r="AQ372" s="8">
        <v>25.081625827440469</v>
      </c>
      <c r="AR372" s="8">
        <v>0.62995633239776072</v>
      </c>
      <c r="AS372" s="8">
        <v>53.989896037685753</v>
      </c>
      <c r="AT372" s="8">
        <v>53.62084432046656</v>
      </c>
      <c r="AU372" s="8">
        <v>28.425490243084159</v>
      </c>
      <c r="AV372" s="8">
        <v>21.761842886975341</v>
      </c>
      <c r="AW372" s="8">
        <v>0.55937494465065329</v>
      </c>
      <c r="AX372" s="8">
        <v>54.124381106935438</v>
      </c>
      <c r="AY372" s="8">
        <v>48.487196035350209</v>
      </c>
      <c r="AZ372" s="8">
        <v>31.054685631696241</v>
      </c>
      <c r="BA372" s="8">
        <v>28.757073242731</v>
      </c>
      <c r="BB372" s="8">
        <v>0.65932167055011603</v>
      </c>
      <c r="BC372" s="8">
        <v>49.669102878715996</v>
      </c>
      <c r="BD372" s="8">
        <v>50.772861625186152</v>
      </c>
      <c r="BE372" s="8">
        <v>31.196780701833799</v>
      </c>
      <c r="BF372" s="8">
        <v>25.994667677000159</v>
      </c>
      <c r="BG372" s="8">
        <v>0.56940218945155974</v>
      </c>
      <c r="BH372" s="8">
        <v>58.407058651194738</v>
      </c>
      <c r="BI372" s="8">
        <v>53.642191825934738</v>
      </c>
    </row>
    <row r="373" spans="1:61" x14ac:dyDescent="0.15">
      <c r="A373" s="7">
        <v>2020</v>
      </c>
      <c r="B373" s="7">
        <v>117</v>
      </c>
      <c r="C373" s="7">
        <v>8.4895794449544031</v>
      </c>
      <c r="D373" s="7">
        <v>5.0410492030536433</v>
      </c>
      <c r="E373" s="8">
        <v>31.47063587236504</v>
      </c>
      <c r="F373" s="8">
        <v>21.36438793189981</v>
      </c>
      <c r="G373" s="8">
        <v>0.64668576696570979</v>
      </c>
      <c r="H373" s="8">
        <v>64.554447792236175</v>
      </c>
      <c r="I373" s="8">
        <v>50.229606573235479</v>
      </c>
      <c r="J373" s="8">
        <v>32.930384747756889</v>
      </c>
      <c r="K373" s="8">
        <v>22.694891987152499</v>
      </c>
      <c r="L373" s="8">
        <v>0.62907200253047657</v>
      </c>
      <c r="M373" s="8">
        <v>58.698250816849438</v>
      </c>
      <c r="N373" s="8">
        <v>48.833296045692002</v>
      </c>
      <c r="O373" s="8">
        <v>288.47000000000003</v>
      </c>
      <c r="P373" s="8">
        <v>283.74400000000003</v>
      </c>
      <c r="Q373" s="8">
        <v>91.25160000000001</v>
      </c>
      <c r="R373" s="8">
        <v>-0.36901099999999998</v>
      </c>
      <c r="S373" s="8">
        <v>-0.48053099999999999</v>
      </c>
      <c r="T373" s="7">
        <f>C373-D373</f>
        <v>3.4485302419007597</v>
      </c>
      <c r="U373" s="8">
        <f>D373/C373</f>
        <v>0.59379257073207337</v>
      </c>
      <c r="V373" s="8">
        <v>31.937921422696746</v>
      </c>
      <c r="W373" s="8">
        <v>22.049742462165998</v>
      </c>
      <c r="X373" s="8">
        <v>0.63640361340958007</v>
      </c>
      <c r="Y373" s="8">
        <v>61.416728074796836</v>
      </c>
      <c r="Z373" s="8">
        <v>50.089501672093512</v>
      </c>
      <c r="AA373" s="7">
        <v>32.434153085226818</v>
      </c>
      <c r="AB373" s="7">
        <v>22.372317224659248</v>
      </c>
      <c r="AC373" s="7">
        <v>0.63273780797002832</v>
      </c>
      <c r="AD373" s="7">
        <v>60.057489445823137</v>
      </c>
      <c r="AE373" s="7">
        <v>49.461398858892757</v>
      </c>
      <c r="AF373" s="8">
        <v>33.084408521311843</v>
      </c>
      <c r="AG373" s="8">
        <v>23.75334661252371</v>
      </c>
      <c r="AH373" s="8">
        <v>0.64466918024187825</v>
      </c>
      <c r="AI373" s="8">
        <v>57.749361120698858</v>
      </c>
      <c r="AJ373" s="8">
        <v>49.047162375256192</v>
      </c>
      <c r="AK373" s="8">
        <v>32.916227958979213</v>
      </c>
      <c r="AL373" s="8">
        <v>22.597606235633169</v>
      </c>
      <c r="AM373" s="8">
        <v>0.62763841896547312</v>
      </c>
      <c r="AN373" s="8">
        <v>58.785466125835008</v>
      </c>
      <c r="AO373" s="8">
        <v>48.81363894741154</v>
      </c>
      <c r="AP373" s="8">
        <v>32.698318009544437</v>
      </c>
      <c r="AQ373" s="8">
        <v>22.623877602644349</v>
      </c>
      <c r="AR373" s="8">
        <v>0.62722767754026232</v>
      </c>
      <c r="AS373" s="8">
        <v>58.77271556709475</v>
      </c>
      <c r="AT373" s="8">
        <v>49.261185018736889</v>
      </c>
      <c r="AU373" s="8">
        <v>29.400297617488501</v>
      </c>
      <c r="AV373" s="8">
        <v>20.275246449354039</v>
      </c>
      <c r="AW373" s="8">
        <v>0.6418974893317434</v>
      </c>
      <c r="AX373" s="8">
        <v>62.266696389332097</v>
      </c>
      <c r="AY373" s="8">
        <v>44.27909388024036</v>
      </c>
      <c r="AZ373" s="8">
        <v>33.497057798607798</v>
      </c>
      <c r="BA373" s="8">
        <v>23.453110612926132</v>
      </c>
      <c r="BB373" s="8">
        <v>0.63805241097390908</v>
      </c>
      <c r="BC373" s="8">
        <v>58.712843578007217</v>
      </c>
      <c r="BD373" s="8">
        <v>49.880993300450399</v>
      </c>
      <c r="BE373" s="8">
        <v>28.99823243892418</v>
      </c>
      <c r="BF373" s="8">
        <v>21.03567494742903</v>
      </c>
      <c r="BG373" s="8">
        <v>0.76320397785042304</v>
      </c>
      <c r="BH373" s="8">
        <v>58.079589635813619</v>
      </c>
      <c r="BI373" s="8">
        <v>44.512796061857053</v>
      </c>
    </row>
    <row r="374" spans="1:61" x14ac:dyDescent="0.15">
      <c r="A374" s="7">
        <v>2020</v>
      </c>
      <c r="B374" s="7">
        <v>139</v>
      </c>
      <c r="C374" s="7">
        <v>40.17227903402717</v>
      </c>
      <c r="D374" s="7">
        <v>5.2274320882922805</v>
      </c>
      <c r="E374" s="8">
        <v>20.592067688711769</v>
      </c>
      <c r="F374" s="8">
        <v>13.397279992925849</v>
      </c>
      <c r="G374" s="8">
        <v>0.6472842130778379</v>
      </c>
      <c r="H374" s="8">
        <v>59.274842077157942</v>
      </c>
      <c r="I374" s="8">
        <v>31.890496859483331</v>
      </c>
      <c r="J374" s="8">
        <v>26.4302000643764</v>
      </c>
      <c r="K374" s="8">
        <v>16.307850381557721</v>
      </c>
      <c r="L374" s="8">
        <v>0.69058495581831492</v>
      </c>
      <c r="M374" s="8">
        <v>55.188852018748747</v>
      </c>
      <c r="N374" s="8">
        <v>40.769662268000602</v>
      </c>
      <c r="O374" s="8">
        <v>291.47000000000003</v>
      </c>
      <c r="P374" s="8">
        <v>287.49400000000003</v>
      </c>
      <c r="Q374" s="8">
        <v>96.524199999999993</v>
      </c>
      <c r="R374" s="8">
        <v>-0.25317200000000001</v>
      </c>
      <c r="S374" s="8">
        <v>-0.29509400000000002</v>
      </c>
      <c r="T374" s="7">
        <f>C374-D374</f>
        <v>34.944846945734888</v>
      </c>
      <c r="U374" s="8">
        <f>D374/C374</f>
        <v>0.13012535544384929</v>
      </c>
      <c r="V374" s="8">
        <v>18.783309503222</v>
      </c>
      <c r="W374" s="8">
        <v>11.390285188389178</v>
      </c>
      <c r="X374" s="8">
        <v>0.6228252008104348</v>
      </c>
      <c r="Y374" s="8">
        <v>59.443951063286178</v>
      </c>
      <c r="Z374" s="8">
        <v>28.848207300469056</v>
      </c>
      <c r="AA374" s="7">
        <v>22.6067547837992</v>
      </c>
      <c r="AB374" s="7">
        <v>13.84906778497345</v>
      </c>
      <c r="AC374" s="7">
        <v>0.65670507831437486</v>
      </c>
      <c r="AD374" s="7">
        <v>57.316401541017463</v>
      </c>
      <c r="AE374" s="7">
        <v>34.808934784234829</v>
      </c>
      <c r="AF374" s="8">
        <v>27.018994653271339</v>
      </c>
      <c r="AG374" s="8">
        <v>16.190400042713499</v>
      </c>
      <c r="AH374" s="8">
        <v>0.6990884619709884</v>
      </c>
      <c r="AI374" s="8">
        <v>54.455809584993858</v>
      </c>
      <c r="AJ374" s="8">
        <v>41.556396950979398</v>
      </c>
      <c r="AK374" s="8">
        <v>26.35534803799678</v>
      </c>
      <c r="AL374" s="8">
        <v>16.32278155794296</v>
      </c>
      <c r="AM374" s="8">
        <v>0.6895039257292751</v>
      </c>
      <c r="AN374" s="8">
        <v>55.2820419233839</v>
      </c>
      <c r="AO374" s="8">
        <v>40.669646598096747</v>
      </c>
      <c r="AP374" s="8">
        <v>25.98325169023056</v>
      </c>
      <c r="AQ374" s="8">
        <v>14.400441696452621</v>
      </c>
      <c r="AR374" s="8">
        <v>0.66542550052398364</v>
      </c>
      <c r="AS374" s="8">
        <v>53.575532019514569</v>
      </c>
      <c r="AT374" s="8">
        <v>39.677744460973187</v>
      </c>
      <c r="AU374" s="8">
        <v>23.896187972058609</v>
      </c>
      <c r="AV374" s="8">
        <v>14.128308624586341</v>
      </c>
      <c r="AW374" s="8">
        <v>0.64155442104610572</v>
      </c>
      <c r="AX374" s="8">
        <v>60.744446185941968</v>
      </c>
      <c r="AY374" s="8">
        <v>36.678368095189427</v>
      </c>
      <c r="AZ374" s="8">
        <v>27.875803761227221</v>
      </c>
      <c r="BA374" s="8">
        <v>18.14648102427056</v>
      </c>
      <c r="BB374" s="8">
        <v>0.72428667463767937</v>
      </c>
      <c r="BC374" s="8">
        <v>55.898567439687703</v>
      </c>
      <c r="BD374" s="8">
        <v>42.981960783356243</v>
      </c>
      <c r="BE374" s="8">
        <v>28.777849164296519</v>
      </c>
      <c r="BF374" s="8">
        <v>18.75045600269107</v>
      </c>
      <c r="BG374" s="8">
        <v>0.60136837145730182</v>
      </c>
      <c r="BH374" s="8">
        <v>58.769562344172698</v>
      </c>
      <c r="BI374" s="8">
        <v>46.362107469971548</v>
      </c>
    </row>
    <row r="375" spans="1:61" x14ac:dyDescent="0.15">
      <c r="A375" s="7">
        <v>2019</v>
      </c>
      <c r="B375" s="7">
        <v>124</v>
      </c>
      <c r="C375" s="7">
        <v>3.5197698053384143</v>
      </c>
      <c r="D375" s="7">
        <v>1.3890228028749942</v>
      </c>
      <c r="E375" s="8">
        <v>27.708967151241531</v>
      </c>
      <c r="F375" s="8">
        <v>14.68656620331611</v>
      </c>
      <c r="G375" s="8">
        <v>0.64761219677549253</v>
      </c>
      <c r="H375" s="8">
        <v>83.118474215141703</v>
      </c>
      <c r="I375" s="8">
        <v>55.672648745442487</v>
      </c>
      <c r="J375" s="8">
        <v>38.25904758973595</v>
      </c>
      <c r="K375" s="8">
        <v>26.36807246949585</v>
      </c>
      <c r="L375" s="8">
        <v>0.69329507714416683</v>
      </c>
      <c r="M375" s="8">
        <v>62.391976392933053</v>
      </c>
      <c r="N375" s="8">
        <v>71.458103212925224</v>
      </c>
      <c r="O375" s="8">
        <v>283.39</v>
      </c>
      <c r="P375" s="8">
        <v>277.834</v>
      </c>
      <c r="Q375" s="8">
        <v>85.664600000000007</v>
      </c>
      <c r="R375" s="8">
        <v>-0.31328699999999998</v>
      </c>
      <c r="S375" s="8">
        <v>4.0844699999999998E-2</v>
      </c>
      <c r="T375" s="7">
        <f>C375-D375</f>
        <v>2.1307470024634201</v>
      </c>
      <c r="U375" s="8">
        <f>D375/C375</f>
        <v>0.39463455842148298</v>
      </c>
      <c r="V375" s="8">
        <v>23.156343679080393</v>
      </c>
      <c r="W375" s="8">
        <v>9.1927204597635281</v>
      </c>
      <c r="X375" s="8">
        <v>0.62072830893771203</v>
      </c>
      <c r="Y375" s="8">
        <v>90.093852900992573</v>
      </c>
      <c r="Z375" s="8">
        <v>51.023205123742414</v>
      </c>
      <c r="AA375" s="7">
        <v>30.707695634408172</v>
      </c>
      <c r="AB375" s="7">
        <v>17.780396464629689</v>
      </c>
      <c r="AC375" s="7">
        <v>0.65701169304093943</v>
      </c>
      <c r="AD375" s="7">
        <v>76.242914646962817</v>
      </c>
      <c r="AE375" s="7">
        <v>61.240654168333819</v>
      </c>
      <c r="AF375" s="8">
        <v>41.338581161756743</v>
      </c>
      <c r="AG375" s="8">
        <v>29.898081986030451</v>
      </c>
      <c r="AH375" s="8">
        <v>0.7068422424962949</v>
      </c>
      <c r="AI375" s="8">
        <v>58.07395653067487</v>
      </c>
      <c r="AJ375" s="8">
        <v>74.294774483013839</v>
      </c>
      <c r="AK375" s="8">
        <v>37.961059877174812</v>
      </c>
      <c r="AL375" s="8">
        <v>26.02649494272093</v>
      </c>
      <c r="AM375" s="8">
        <v>0.69198420044139419</v>
      </c>
      <c r="AN375" s="8">
        <v>62.809804882688262</v>
      </c>
      <c r="AO375" s="8">
        <v>71.183615806539549</v>
      </c>
      <c r="AP375" s="8">
        <v>35.429876225446932</v>
      </c>
      <c r="AQ375" s="8">
        <v>22.732516641256211</v>
      </c>
      <c r="AR375" s="8">
        <v>0.6680241103761092</v>
      </c>
      <c r="AS375" s="8">
        <v>64.552090156567388</v>
      </c>
      <c r="AT375" s="8">
        <v>70.474517832006285</v>
      </c>
      <c r="AU375" s="8">
        <v>31.0823261950414</v>
      </c>
      <c r="AV375" s="8">
        <v>16.485478917239639</v>
      </c>
      <c r="AW375" s="8">
        <v>0.66372989681956651</v>
      </c>
      <c r="AX375" s="8">
        <v>76.240768672879028</v>
      </c>
      <c r="AY375" s="8">
        <v>64.069159629117706</v>
      </c>
      <c r="AZ375" s="8">
        <v>42.66585320750572</v>
      </c>
      <c r="BA375" s="8">
        <v>32.610525915598643</v>
      </c>
      <c r="BB375" s="8">
        <v>0.71383122407979815</v>
      </c>
      <c r="BC375" s="8">
        <v>55.220320044059122</v>
      </c>
      <c r="BD375" s="8">
        <v>75.747727286481421</v>
      </c>
      <c r="BE375" s="8">
        <v>38.638277212434481</v>
      </c>
      <c r="BF375" s="8">
        <v>34.851479955310261</v>
      </c>
      <c r="BG375" s="8">
        <v>0.62007905347930536</v>
      </c>
      <c r="BH375" s="8">
        <v>61.097131714541668</v>
      </c>
      <c r="BI375" s="8">
        <v>77.686991370315752</v>
      </c>
    </row>
    <row r="376" spans="1:61" x14ac:dyDescent="0.15">
      <c r="A376" s="7">
        <v>2023</v>
      </c>
      <c r="B376" s="7">
        <v>60</v>
      </c>
      <c r="C376" s="9">
        <v>25.071055297783307</v>
      </c>
      <c r="D376" s="7">
        <v>11.500235498647879</v>
      </c>
      <c r="E376" s="8">
        <v>27.43227699021768</v>
      </c>
      <c r="F376" s="8">
        <v>11.6016320604302</v>
      </c>
      <c r="G376" s="8">
        <v>0.64762954138789908</v>
      </c>
      <c r="H376" s="8">
        <v>64.132874660837274</v>
      </c>
      <c r="I376" s="8">
        <v>37.670977411184431</v>
      </c>
      <c r="J376" s="8">
        <v>29.946011855709891</v>
      </c>
      <c r="K376" s="8">
        <v>13.674419584484591</v>
      </c>
      <c r="L376" s="8">
        <v>0.59702322099899019</v>
      </c>
      <c r="M376" s="8">
        <v>64.416907710545473</v>
      </c>
      <c r="N376" s="8">
        <v>43.26819024600492</v>
      </c>
      <c r="O376" s="7">
        <v>291.70800000000003</v>
      </c>
      <c r="P376" s="7">
        <v>286.767</v>
      </c>
      <c r="Q376" s="7">
        <v>100.27</v>
      </c>
      <c r="R376" s="7">
        <v>-0.42478900000000003</v>
      </c>
      <c r="S376" s="7">
        <v>-0.64633600000000002</v>
      </c>
      <c r="T376" s="7">
        <f>C376-D376</f>
        <v>13.570819799135428</v>
      </c>
      <c r="U376" s="8">
        <f>D376/C376</f>
        <v>0.45870568119502686</v>
      </c>
      <c r="V376" s="8">
        <v>27.032428041161587</v>
      </c>
      <c r="W376" s="8">
        <v>12.213099065841709</v>
      </c>
      <c r="X376" s="8">
        <v>0.61815962399213775</v>
      </c>
      <c r="Y376" s="8">
        <v>66.658563506580862</v>
      </c>
      <c r="Z376" s="8">
        <v>38.5318315896169</v>
      </c>
      <c r="AA376" s="7">
        <v>28.489219948435739</v>
      </c>
      <c r="AB376" s="7">
        <v>12.94375932516315</v>
      </c>
      <c r="AC376" s="7">
        <v>0.60759142249556397</v>
      </c>
      <c r="AD376" s="7">
        <v>65.537735608563167</v>
      </c>
      <c r="AE376" s="7">
        <v>40.90001091781091</v>
      </c>
      <c r="AF376" s="8">
        <v>31.53916370414067</v>
      </c>
      <c r="AG376" s="8">
        <v>14.98556658027308</v>
      </c>
      <c r="AH376" s="8">
        <v>0.63036056891412073</v>
      </c>
      <c r="AI376" s="8">
        <v>63.326065192601213</v>
      </c>
      <c r="AJ376" s="8">
        <v>43.710773153257868</v>
      </c>
      <c r="AK376" s="8">
        <v>29.710757473778848</v>
      </c>
      <c r="AL376" s="8">
        <v>13.48080773485532</v>
      </c>
      <c r="AM376" s="8">
        <v>0.59210042774063321</v>
      </c>
      <c r="AN376" s="8">
        <v>64.577988076234291</v>
      </c>
      <c r="AO376" s="8">
        <v>43.202835792566233</v>
      </c>
      <c r="AP376" s="8">
        <v>29.907080067995508</v>
      </c>
      <c r="AQ376" s="8">
        <v>13.003009027667069</v>
      </c>
      <c r="AR376" s="8">
        <v>0.58275989018404395</v>
      </c>
      <c r="AS376" s="8">
        <v>67.908523406186674</v>
      </c>
      <c r="AT376" s="8">
        <v>44.157895208085137</v>
      </c>
      <c r="AU376" s="8">
        <v>23.395783510415001</v>
      </c>
      <c r="AV376" s="8">
        <v>15.844821515369469</v>
      </c>
      <c r="AW376" s="8">
        <v>0.55394981912762231</v>
      </c>
      <c r="AX376" s="8">
        <v>56.502245494586802</v>
      </c>
      <c r="AY376" s="8">
        <v>38.003934790889971</v>
      </c>
      <c r="AZ376" s="8">
        <v>28.966528926853449</v>
      </c>
      <c r="BA376" s="8">
        <v>14.950005891483279</v>
      </c>
      <c r="BB376" s="8">
        <v>0.59483714223465145</v>
      </c>
      <c r="BC376" s="8">
        <v>61.088752226149467</v>
      </c>
      <c r="BD376" s="8">
        <v>43.275251682135163</v>
      </c>
      <c r="BE376" s="8">
        <v>26.99282571110302</v>
      </c>
      <c r="BF376" s="8">
        <v>24.06266645421336</v>
      </c>
      <c r="BG376" s="8">
        <v>0.56011446626249806</v>
      </c>
      <c r="BH376" s="8">
        <v>58.18540815110704</v>
      </c>
      <c r="BI376" s="8">
        <v>48.0284151866733</v>
      </c>
    </row>
    <row r="377" spans="1:61" x14ac:dyDescent="0.15">
      <c r="A377" s="7">
        <v>2020</v>
      </c>
      <c r="B377" s="7">
        <v>85</v>
      </c>
      <c r="C377" s="7">
        <v>4.2633685998308177</v>
      </c>
      <c r="D377" s="7">
        <v>1.0917912933716378</v>
      </c>
      <c r="E377" s="8">
        <v>25.27785478214993</v>
      </c>
      <c r="F377" s="8">
        <v>22.344245871525231</v>
      </c>
      <c r="G377" s="8">
        <v>0.64929334936536576</v>
      </c>
      <c r="H377" s="8">
        <v>61.486018726100099</v>
      </c>
      <c r="I377" s="8">
        <v>37.815059218570113</v>
      </c>
      <c r="J377" s="8">
        <v>25.00229975730366</v>
      </c>
      <c r="K377" s="8">
        <v>27.746820975400791</v>
      </c>
      <c r="L377" s="8">
        <v>0.68487146291023404</v>
      </c>
      <c r="M377" s="8">
        <v>60.304361326613787</v>
      </c>
      <c r="N377" s="8">
        <v>40.18383571069846</v>
      </c>
      <c r="O377" s="8">
        <v>297.13900000000001</v>
      </c>
      <c r="P377" s="8">
        <v>292.69400000000002</v>
      </c>
      <c r="Q377" s="8">
        <v>101.187</v>
      </c>
      <c r="R377" s="8">
        <v>-0.78636399999999995</v>
      </c>
      <c r="S377" s="8">
        <v>-2.10773E-2</v>
      </c>
      <c r="T377" s="7">
        <f>C377-D377</f>
        <v>3.1715773064591799</v>
      </c>
      <c r="U377" s="8">
        <f>D377/C377</f>
        <v>0.25608653528455483</v>
      </c>
      <c r="V377" s="8">
        <v>26.669293440531021</v>
      </c>
      <c r="W377" s="8">
        <v>23.950206359013929</v>
      </c>
      <c r="X377" s="8">
        <v>0.75698124727672267</v>
      </c>
      <c r="Y377" s="8">
        <v>61.747352546432339</v>
      </c>
      <c r="Z377" s="8">
        <v>39.552093269532804</v>
      </c>
      <c r="AA377" s="7">
        <v>25.835796598917341</v>
      </c>
      <c r="AB377" s="7">
        <v>25.84851366720736</v>
      </c>
      <c r="AC377" s="7">
        <v>0.72092635509347835</v>
      </c>
      <c r="AD377" s="7">
        <v>61.025856936523063</v>
      </c>
      <c r="AE377" s="7">
        <v>39.867964490115632</v>
      </c>
      <c r="AF377" s="8">
        <v>25.349721173458729</v>
      </c>
      <c r="AG377" s="8">
        <v>27.64502320576397</v>
      </c>
      <c r="AH377" s="8">
        <v>0.69572038819788118</v>
      </c>
      <c r="AI377" s="8">
        <v>60.489145243857813</v>
      </c>
      <c r="AJ377" s="8">
        <v>40.611595463558118</v>
      </c>
      <c r="AK377" s="8">
        <v>24.96198062266329</v>
      </c>
      <c r="AL377" s="8">
        <v>27.758634864209078</v>
      </c>
      <c r="AM377" s="8">
        <v>0.68361241767284819</v>
      </c>
      <c r="AN377" s="8">
        <v>60.282916685344453</v>
      </c>
      <c r="AO377" s="8">
        <v>40.134193108753678</v>
      </c>
      <c r="AP377" s="8">
        <v>24.573756698915211</v>
      </c>
      <c r="AQ377" s="8">
        <v>24.9283044896987</v>
      </c>
      <c r="AR377" s="8">
        <v>0.67947782144250213</v>
      </c>
      <c r="AS377" s="8">
        <v>61.088942091660492</v>
      </c>
      <c r="AT377" s="8">
        <v>38.477694323242453</v>
      </c>
      <c r="AU377" s="8">
        <v>24.11634357536942</v>
      </c>
      <c r="AV377" s="8">
        <v>24.60825757996388</v>
      </c>
      <c r="AW377" s="8">
        <v>0.69664536275532496</v>
      </c>
      <c r="AX377" s="8">
        <v>59.975223137309392</v>
      </c>
      <c r="AY377" s="8">
        <v>36.91664643640727</v>
      </c>
      <c r="AZ377" s="8">
        <v>25.663116405808999</v>
      </c>
      <c r="BA377" s="8">
        <v>27.85807877020757</v>
      </c>
      <c r="BB377" s="8">
        <v>0.70645054959342701</v>
      </c>
      <c r="BC377" s="8">
        <v>59.71082004564142</v>
      </c>
      <c r="BD377" s="8">
        <v>41.066639648694498</v>
      </c>
      <c r="BE377" s="8">
        <v>25.42711877152685</v>
      </c>
      <c r="BF377" s="8">
        <v>21.92258372909156</v>
      </c>
      <c r="BG377" s="8">
        <v>0.72542898459852745</v>
      </c>
      <c r="BH377" s="8">
        <v>55.506790952196823</v>
      </c>
      <c r="BI377" s="8">
        <v>39.078976479977761</v>
      </c>
    </row>
    <row r="378" spans="1:61" x14ac:dyDescent="0.15">
      <c r="A378" s="7">
        <v>2021</v>
      </c>
      <c r="B378" s="7">
        <v>40</v>
      </c>
      <c r="C378" s="7">
        <v>238.01839380760768</v>
      </c>
      <c r="D378" s="7">
        <v>11.813770185421136</v>
      </c>
      <c r="E378" s="8">
        <v>27.449798965041591</v>
      </c>
      <c r="F378" s="8">
        <v>20.869619133188081</v>
      </c>
      <c r="G378" s="8">
        <v>0.65020337383019056</v>
      </c>
      <c r="H378" s="8">
        <v>53.353283243580549</v>
      </c>
      <c r="I378" s="8">
        <v>39.445678468477659</v>
      </c>
      <c r="J378" s="8">
        <v>37.152073065404672</v>
      </c>
      <c r="K378" s="8">
        <v>28.671188000573149</v>
      </c>
      <c r="L378" s="8">
        <v>0.69297213024137261</v>
      </c>
      <c r="M378" s="8">
        <v>53.462993170531533</v>
      </c>
      <c r="N378" s="8">
        <v>50.759221075414658</v>
      </c>
      <c r="O378" s="8">
        <v>279.66000000000003</v>
      </c>
      <c r="P378" s="8">
        <v>273.036</v>
      </c>
      <c r="Q378" s="8">
        <v>99.061600000000013</v>
      </c>
      <c r="R378" s="8">
        <v>1.2608999999999999</v>
      </c>
      <c r="S378" s="8">
        <v>1.10626</v>
      </c>
      <c r="T378" s="7">
        <f>C378-D378</f>
        <v>226.20462362218655</v>
      </c>
      <c r="U378" s="8">
        <f>D378/C378</f>
        <v>4.9633853906981273E-2</v>
      </c>
      <c r="V378" s="8">
        <v>23.916332434841848</v>
      </c>
      <c r="W378" s="8">
        <v>16.328890548366292</v>
      </c>
      <c r="X378" s="8">
        <v>0.56659563137310542</v>
      </c>
      <c r="Y378" s="8">
        <v>49.920404645325902</v>
      </c>
      <c r="Z378" s="8">
        <v>32.476307618529844</v>
      </c>
      <c r="AA378" s="7">
        <v>30.53420275012326</v>
      </c>
      <c r="AB378" s="7">
        <v>22.500039274469721</v>
      </c>
      <c r="AC378" s="7">
        <v>0.62978388080723902</v>
      </c>
      <c r="AD378" s="7">
        <v>51.691698907928718</v>
      </c>
      <c r="AE378" s="7">
        <v>41.617764346972251</v>
      </c>
      <c r="AF378" s="8">
        <v>38.280632506421462</v>
      </c>
      <c r="AG378" s="8">
        <v>30.03641439974642</v>
      </c>
      <c r="AH378" s="8">
        <v>0.7403227127481099</v>
      </c>
      <c r="AI378" s="8">
        <v>53.970830219849638</v>
      </c>
      <c r="AJ378" s="8">
        <v>51.365302443581008</v>
      </c>
      <c r="AK378" s="8">
        <v>37.061815885159987</v>
      </c>
      <c r="AL378" s="8">
        <v>28.562003246357691</v>
      </c>
      <c r="AM378" s="8">
        <v>0.6891852405972172</v>
      </c>
      <c r="AN378" s="8">
        <v>53.422378614993463</v>
      </c>
      <c r="AO378" s="8">
        <v>50.710749374854323</v>
      </c>
      <c r="AP378" s="8">
        <v>30.222008076783489</v>
      </c>
      <c r="AQ378" s="8">
        <v>21.876070640945422</v>
      </c>
      <c r="AR378" s="8">
        <v>0.61908181191437883</v>
      </c>
      <c r="AS378" s="8">
        <v>51.407556440806083</v>
      </c>
      <c r="AT378" s="8">
        <v>40.872300512969552</v>
      </c>
      <c r="AU378" s="8">
        <v>29.291195020547139</v>
      </c>
      <c r="AV378" s="8">
        <v>23.087272954167251</v>
      </c>
      <c r="AW378" s="8">
        <v>0.6153627326008797</v>
      </c>
      <c r="AX378" s="8">
        <v>53.828531699104637</v>
      </c>
      <c r="AY378" s="8">
        <v>40.840349023655612</v>
      </c>
      <c r="AZ378" s="8">
        <v>36.810346770448881</v>
      </c>
      <c r="BA378" s="8">
        <v>29.005484967011039</v>
      </c>
      <c r="BB378" s="8">
        <v>0.6847753213592942</v>
      </c>
      <c r="BC378" s="8">
        <v>53.258696352038001</v>
      </c>
      <c r="BD378" s="8">
        <v>51.508761256184513</v>
      </c>
      <c r="BE378" s="8">
        <v>26.45679022646905</v>
      </c>
      <c r="BF378" s="8">
        <v>23.839025276003241</v>
      </c>
      <c r="BG378" s="8">
        <v>0.57885747912024355</v>
      </c>
      <c r="BH378" s="8">
        <v>57.208011912437968</v>
      </c>
      <c r="BI378" s="8">
        <v>40.987499162641242</v>
      </c>
    </row>
    <row r="379" spans="1:61" x14ac:dyDescent="0.15">
      <c r="A379" s="7">
        <v>2020</v>
      </c>
      <c r="B379" s="7">
        <v>120</v>
      </c>
      <c r="C379" s="7">
        <v>8.0005083633524681</v>
      </c>
      <c r="D379" s="7">
        <v>0.1456863538387011</v>
      </c>
      <c r="E379" s="8">
        <v>34.132761938470502</v>
      </c>
      <c r="F379" s="8">
        <v>19.285484943120188</v>
      </c>
      <c r="G379" s="8">
        <v>0.65150753302762465</v>
      </c>
      <c r="H379" s="8">
        <v>71.017538480160056</v>
      </c>
      <c r="I379" s="8">
        <v>46.440420714720993</v>
      </c>
      <c r="J379" s="8">
        <v>35.935273451096847</v>
      </c>
      <c r="K379" s="8">
        <v>19.291701491044758</v>
      </c>
      <c r="L379" s="8">
        <v>0.70307079529035488</v>
      </c>
      <c r="M379" s="8">
        <v>70.845786045524108</v>
      </c>
      <c r="N379" s="8">
        <v>49.961206083316377</v>
      </c>
      <c r="O379" s="8">
        <v>290.00299999999999</v>
      </c>
      <c r="P379" s="8">
        <v>285.33300000000003</v>
      </c>
      <c r="Q379" s="8">
        <v>100.46599999999999</v>
      </c>
      <c r="R379" s="8">
        <v>-0.472022</v>
      </c>
      <c r="S379" s="8">
        <v>-0.68977900000000003</v>
      </c>
      <c r="T379" s="7">
        <f>C379-D379</f>
        <v>7.8548220095137671</v>
      </c>
      <c r="U379" s="8">
        <f>D379/C379</f>
        <v>1.8209637090817798E-2</v>
      </c>
      <c r="V379" s="8">
        <v>34.937377141637199</v>
      </c>
      <c r="W379" s="8">
        <v>19.095932630985882</v>
      </c>
      <c r="X379" s="8">
        <v>0.65917427547815033</v>
      </c>
      <c r="Y379" s="8">
        <v>67.37444571936004</v>
      </c>
      <c r="Z379" s="8">
        <v>45.789688650441043</v>
      </c>
      <c r="AA379" s="7">
        <v>35.436325296367023</v>
      </c>
      <c r="AB379" s="7">
        <v>19.19381706101532</v>
      </c>
      <c r="AC379" s="7">
        <v>0.6811225353842526</v>
      </c>
      <c r="AD379" s="7">
        <v>69.110115882442074</v>
      </c>
      <c r="AE379" s="7">
        <v>47.87544736687871</v>
      </c>
      <c r="AF379" s="8">
        <v>38.058873926883429</v>
      </c>
      <c r="AG379" s="8">
        <v>20.373643518445089</v>
      </c>
      <c r="AH379" s="8">
        <v>0.68269965286361811</v>
      </c>
      <c r="AI379" s="8">
        <v>70.483849364193659</v>
      </c>
      <c r="AJ379" s="8">
        <v>52.47417677311838</v>
      </c>
      <c r="AK379" s="8">
        <v>35.567802431942177</v>
      </c>
      <c r="AL379" s="8">
        <v>19.104480615928029</v>
      </c>
      <c r="AM379" s="8">
        <v>0.70659584840380607</v>
      </c>
      <c r="AN379" s="8">
        <v>70.908416113031834</v>
      </c>
      <c r="AO379" s="8">
        <v>49.526357856911957</v>
      </c>
      <c r="AP379" s="8">
        <v>35.249731478642587</v>
      </c>
      <c r="AQ379" s="8">
        <v>19.106488209210632</v>
      </c>
      <c r="AR379" s="8">
        <v>0.67528111036589644</v>
      </c>
      <c r="AS379" s="8">
        <v>68.654383730011219</v>
      </c>
      <c r="AT379" s="8">
        <v>47.095530127206672</v>
      </c>
      <c r="AU379" s="8">
        <v>29.46044370100056</v>
      </c>
      <c r="AV379" s="8">
        <v>15.388522701637941</v>
      </c>
      <c r="AW379" s="8">
        <v>0.6706313519229895</v>
      </c>
      <c r="AX379" s="8">
        <v>69.589589107309351</v>
      </c>
      <c r="AY379" s="8">
        <v>35.981651249146452</v>
      </c>
      <c r="AZ379" s="8">
        <v>36.026771651428497</v>
      </c>
      <c r="BA379" s="8">
        <v>20.477754166706479</v>
      </c>
      <c r="BB379" s="8">
        <v>0.7110368539208286</v>
      </c>
      <c r="BC379" s="8">
        <v>71.595095457170103</v>
      </c>
      <c r="BD379" s="8">
        <v>52.951215071937341</v>
      </c>
      <c r="BE379" s="8">
        <v>36.773172038927932</v>
      </c>
      <c r="BF379" s="8">
        <v>28.964262946373239</v>
      </c>
      <c r="BG379" s="8">
        <v>0.67701615311349539</v>
      </c>
      <c r="BH379" s="8">
        <v>65.242112953646114</v>
      </c>
      <c r="BI379" s="8">
        <v>72.173507064310343</v>
      </c>
    </row>
    <row r="380" spans="1:61" x14ac:dyDescent="0.15">
      <c r="A380" s="7">
        <v>2020</v>
      </c>
      <c r="B380" s="7">
        <v>40</v>
      </c>
      <c r="C380" s="7">
        <v>137.56866714859905</v>
      </c>
      <c r="D380" s="7">
        <v>69.675356605670032</v>
      </c>
      <c r="E380" s="8">
        <v>28.183352131473409</v>
      </c>
      <c r="F380" s="8">
        <v>19.87509162673512</v>
      </c>
      <c r="G380" s="8">
        <v>0.65153958096665288</v>
      </c>
      <c r="H380" s="8">
        <v>56.513975353285957</v>
      </c>
      <c r="I380" s="8">
        <v>43.262492676657118</v>
      </c>
      <c r="J380" s="8">
        <v>37.218986659672908</v>
      </c>
      <c r="K380" s="8">
        <v>28.5953262927951</v>
      </c>
      <c r="L380" s="8">
        <v>0.74714824765202703</v>
      </c>
      <c r="M380" s="8">
        <v>55.426192066533801</v>
      </c>
      <c r="N380" s="8">
        <v>55.546494848641537</v>
      </c>
      <c r="O380" s="8">
        <v>279.553</v>
      </c>
      <c r="P380" s="8">
        <v>272.72300000000001</v>
      </c>
      <c r="Q380" s="8">
        <v>99.093899999999991</v>
      </c>
      <c r="R380" s="8">
        <v>1.2859700000000001</v>
      </c>
      <c r="S380" s="8">
        <v>0.70357800000000004</v>
      </c>
      <c r="T380" s="7">
        <f>C380-D380</f>
        <v>67.893310542929015</v>
      </c>
      <c r="U380" s="8">
        <f>D380/C380</f>
        <v>0.50647693293712037</v>
      </c>
      <c r="V380" s="8">
        <v>24.732092993238155</v>
      </c>
      <c r="W380" s="8">
        <v>14.656531707601921</v>
      </c>
      <c r="X380" s="8">
        <v>0.62224640260468012</v>
      </c>
      <c r="Y380" s="8">
        <v>51.443785180985813</v>
      </c>
      <c r="Z380" s="8">
        <v>36.566669716564185</v>
      </c>
      <c r="AA380" s="7">
        <v>30.975539826455531</v>
      </c>
      <c r="AB380" s="7">
        <v>21.625929000198511</v>
      </c>
      <c r="AC380" s="7">
        <v>0.68469732512835357</v>
      </c>
      <c r="AD380" s="7">
        <v>53.434988623759807</v>
      </c>
      <c r="AE380" s="7">
        <v>46.056582282602861</v>
      </c>
      <c r="AF380" s="8">
        <v>37.259342262725703</v>
      </c>
      <c r="AG380" s="8">
        <v>28.89624014159245</v>
      </c>
      <c r="AH380" s="8">
        <v>0.77176217414105386</v>
      </c>
      <c r="AI380" s="8">
        <v>55.755195042823239</v>
      </c>
      <c r="AJ380" s="8">
        <v>56.420821691452709</v>
      </c>
      <c r="AK380" s="8">
        <v>37.21548577773364</v>
      </c>
      <c r="AL380" s="8">
        <v>28.569221767553419</v>
      </c>
      <c r="AM380" s="8">
        <v>0.74501296917316184</v>
      </c>
      <c r="AN380" s="8">
        <v>55.3976507862522</v>
      </c>
      <c r="AO380" s="8">
        <v>55.470646271951367</v>
      </c>
      <c r="AP380" s="8">
        <v>30.541568208485529</v>
      </c>
      <c r="AQ380" s="8">
        <v>20.746943551792121</v>
      </c>
      <c r="AR380" s="8">
        <v>0.67973371403026217</v>
      </c>
      <c r="AS380" s="8">
        <v>52.97155012316766</v>
      </c>
      <c r="AT380" s="8">
        <v>45.173633822697077</v>
      </c>
      <c r="AU380" s="8">
        <v>31.950432029152889</v>
      </c>
      <c r="AV380" s="8">
        <v>23.275965659649501</v>
      </c>
      <c r="AW380" s="8">
        <v>0.64591766521359473</v>
      </c>
      <c r="AX380" s="8">
        <v>57.387059835659173</v>
      </c>
      <c r="AY380" s="8">
        <v>46.300131564253817</v>
      </c>
      <c r="AZ380" s="8">
        <v>37.242403843310854</v>
      </c>
      <c r="BA380" s="8">
        <v>29.062893471760759</v>
      </c>
      <c r="BB380" s="8">
        <v>0.74276453027535005</v>
      </c>
      <c r="BC380" s="8">
        <v>55.234321409033193</v>
      </c>
      <c r="BD380" s="8">
        <v>55.503970673141332</v>
      </c>
      <c r="BE380" s="8">
        <v>28.294584001311652</v>
      </c>
      <c r="BF380" s="8">
        <v>23.895701175229679</v>
      </c>
      <c r="BG380" s="8">
        <v>0.58328553139301453</v>
      </c>
      <c r="BH380" s="8">
        <v>60.699061535348491</v>
      </c>
      <c r="BI380" s="8">
        <v>48.286555618846023</v>
      </c>
    </row>
    <row r="381" spans="1:61" x14ac:dyDescent="0.15">
      <c r="A381" s="7">
        <v>2020</v>
      </c>
      <c r="B381" s="7">
        <v>105</v>
      </c>
      <c r="C381" s="7">
        <v>55.822164452819102</v>
      </c>
      <c r="D381" s="7">
        <v>34.051363340704491</v>
      </c>
      <c r="E381" s="8">
        <v>34.047698672445797</v>
      </c>
      <c r="F381" s="8">
        <v>20.21306648664628</v>
      </c>
      <c r="G381" s="8">
        <v>0.65176123224792248</v>
      </c>
      <c r="H381" s="8">
        <v>71.834126490210267</v>
      </c>
      <c r="I381" s="8">
        <v>46.655394395611353</v>
      </c>
      <c r="J381" s="8">
        <v>37.518866767474961</v>
      </c>
      <c r="K381" s="8">
        <v>20.7878685618624</v>
      </c>
      <c r="L381" s="8">
        <v>0.70399228728242669</v>
      </c>
      <c r="M381" s="8">
        <v>72.040514216457623</v>
      </c>
      <c r="N381" s="8">
        <v>53.894949191650497</v>
      </c>
      <c r="O381" s="8">
        <v>289.61500000000001</v>
      </c>
      <c r="P381" s="8">
        <v>284.346</v>
      </c>
      <c r="Q381" s="8">
        <v>100.414</v>
      </c>
      <c r="R381" s="8">
        <v>-0.44602700000000001</v>
      </c>
      <c r="S381" s="8">
        <v>-0.306975</v>
      </c>
      <c r="T381" s="7">
        <f>C381-D381</f>
        <v>21.770801112114611</v>
      </c>
      <c r="U381" s="8">
        <f>D381/C381</f>
        <v>0.60999718793571156</v>
      </c>
      <c r="V381" s="8">
        <v>34.424115619346253</v>
      </c>
      <c r="W381" s="8">
        <v>22.112163956523521</v>
      </c>
      <c r="X381" s="8">
        <v>0.7156502208692872</v>
      </c>
      <c r="Y381" s="8">
        <v>67.830840186100929</v>
      </c>
      <c r="Z381" s="8">
        <v>47.081068100422996</v>
      </c>
      <c r="AA381" s="7">
        <v>35.971491193410607</v>
      </c>
      <c r="AB381" s="7">
        <v>21.45001625919296</v>
      </c>
      <c r="AC381" s="7">
        <v>0.70982125407585694</v>
      </c>
      <c r="AD381" s="7">
        <v>69.935677201279276</v>
      </c>
      <c r="AE381" s="7">
        <v>50.488008646036747</v>
      </c>
      <c r="AF381" s="8">
        <v>39.267147197016207</v>
      </c>
      <c r="AG381" s="8">
        <v>21.2529775602722</v>
      </c>
      <c r="AH381" s="8">
        <v>0.66092458280102739</v>
      </c>
      <c r="AI381" s="8">
        <v>72.567951980705644</v>
      </c>
      <c r="AJ381" s="8">
        <v>55.752535781708353</v>
      </c>
      <c r="AK381" s="8">
        <v>37.266620655700308</v>
      </c>
      <c r="AL381" s="8">
        <v>20.720761515179358</v>
      </c>
      <c r="AM381" s="8">
        <v>0.71020619943000096</v>
      </c>
      <c r="AN381" s="8">
        <v>71.964414225296821</v>
      </c>
      <c r="AO381" s="8">
        <v>53.626932123730917</v>
      </c>
      <c r="AP381" s="8">
        <v>36.233308417081027</v>
      </c>
      <c r="AQ381" s="8">
        <v>21.74740815125292</v>
      </c>
      <c r="AR381" s="8">
        <v>0.72523880758523673</v>
      </c>
      <c r="AS381" s="8">
        <v>69.222311796236667</v>
      </c>
      <c r="AT381" s="8">
        <v>50.899357968053693</v>
      </c>
      <c r="AU381" s="8">
        <v>34.158448161396791</v>
      </c>
      <c r="AV381" s="8">
        <v>21.732306162079691</v>
      </c>
      <c r="AW381" s="8">
        <v>0.66833978313406128</v>
      </c>
      <c r="AX381" s="8">
        <v>69.551146922906966</v>
      </c>
      <c r="AY381" s="8">
        <v>52.747602859964708</v>
      </c>
      <c r="AZ381" s="8">
        <v>36.600683135282303</v>
      </c>
      <c r="BA381" s="8">
        <v>21.362592652654261</v>
      </c>
      <c r="BB381" s="8">
        <v>0.70358708195520703</v>
      </c>
      <c r="BC381" s="8">
        <v>70.811144248718165</v>
      </c>
      <c r="BD381" s="8">
        <v>53.619594039886309</v>
      </c>
      <c r="BE381" s="8">
        <v>38.431004448473367</v>
      </c>
      <c r="BF381" s="8">
        <v>29.546659142780008</v>
      </c>
      <c r="BG381" s="8">
        <v>0.65543528778244964</v>
      </c>
      <c r="BH381" s="8">
        <v>68.4737555682768</v>
      </c>
      <c r="BI381" s="8">
        <v>67.242592457053817</v>
      </c>
    </row>
    <row r="382" spans="1:61" x14ac:dyDescent="0.15">
      <c r="A382" s="7">
        <v>2023</v>
      </c>
      <c r="B382" s="7">
        <v>127</v>
      </c>
      <c r="C382" s="9">
        <v>20.844209708178507</v>
      </c>
      <c r="D382" s="7">
        <v>19.046204036039086</v>
      </c>
      <c r="E382" s="8">
        <v>29.41965228463911</v>
      </c>
      <c r="F382" s="8">
        <v>23.233447021389811</v>
      </c>
      <c r="G382" s="8">
        <v>0.65265424776522674</v>
      </c>
      <c r="H382" s="8">
        <v>55.175842387522657</v>
      </c>
      <c r="I382" s="8">
        <v>49.465053710016548</v>
      </c>
      <c r="J382" s="8">
        <v>31.812606137513448</v>
      </c>
      <c r="K382" s="8">
        <v>24.997011480073311</v>
      </c>
      <c r="L382" s="8">
        <v>0.59614856870807853</v>
      </c>
      <c r="M382" s="8">
        <v>57.116251378026163</v>
      </c>
      <c r="N382" s="8">
        <v>56.64324759388122</v>
      </c>
      <c r="O382" s="7">
        <v>291.49900000000002</v>
      </c>
      <c r="P382" s="7">
        <v>286.24200000000002</v>
      </c>
      <c r="Q382" s="7">
        <v>96.328999999999994</v>
      </c>
      <c r="R382" s="7">
        <v>-0.86103499999999999</v>
      </c>
      <c r="S382" s="7">
        <v>-0.86127600000000004</v>
      </c>
      <c r="T382" s="7">
        <f>C382-D382</f>
        <v>1.7980056721394213</v>
      </c>
      <c r="U382" s="8">
        <f>D382/C382</f>
        <v>0.91374076075266364</v>
      </c>
      <c r="V382" s="8">
        <v>30.591745319970713</v>
      </c>
      <c r="W382" s="8">
        <v>20.782446260149527</v>
      </c>
      <c r="X382" s="8">
        <v>0.60176385112457442</v>
      </c>
      <c r="Y382" s="8">
        <v>56.829542981799577</v>
      </c>
      <c r="Z382" s="8">
        <v>53.595735873759502</v>
      </c>
      <c r="AA382" s="7">
        <v>31.20217572874208</v>
      </c>
      <c r="AB382" s="7">
        <v>22.889728870111419</v>
      </c>
      <c r="AC382" s="7">
        <v>0.59895620991632648</v>
      </c>
      <c r="AD382" s="7">
        <v>56.97289717991287</v>
      </c>
      <c r="AE382" s="7">
        <v>55.119491733820361</v>
      </c>
      <c r="AF382" s="8">
        <v>33.2476234977727</v>
      </c>
      <c r="AG382" s="8">
        <v>26.75829689147389</v>
      </c>
      <c r="AH382" s="8">
        <v>0.64791363514025191</v>
      </c>
      <c r="AI382" s="8">
        <v>58.037880354182917</v>
      </c>
      <c r="AJ382" s="8">
        <v>57.24555931580894</v>
      </c>
      <c r="AK382" s="8">
        <v>31.631574427244441</v>
      </c>
      <c r="AL382" s="8">
        <v>24.774820084256259</v>
      </c>
      <c r="AM382" s="8">
        <v>0.58961825153706371</v>
      </c>
      <c r="AN382" s="8">
        <v>56.9999851401341</v>
      </c>
      <c r="AO382" s="8">
        <v>56.567264177822793</v>
      </c>
      <c r="AP382" s="8">
        <v>31.834530438213761</v>
      </c>
      <c r="AQ382" s="8">
        <v>22.662265896655029</v>
      </c>
      <c r="AR382" s="8">
        <v>0.58198112383774314</v>
      </c>
      <c r="AS382" s="8">
        <v>57.499636466784168</v>
      </c>
      <c r="AT382" s="8">
        <v>56.859650066478864</v>
      </c>
      <c r="AU382" s="8">
        <v>29.34529866080274</v>
      </c>
      <c r="AV382" s="8">
        <v>30.35215958233254</v>
      </c>
      <c r="AW382" s="8">
        <v>0.5799094674288785</v>
      </c>
      <c r="AX382" s="8">
        <v>54.321972974274821</v>
      </c>
      <c r="AY382" s="8">
        <v>54.434213664540962</v>
      </c>
      <c r="AZ382" s="8">
        <v>31.403020907000769</v>
      </c>
      <c r="BA382" s="8">
        <v>27.98269295081867</v>
      </c>
      <c r="BB382" s="8">
        <v>0.61518718754416224</v>
      </c>
      <c r="BC382" s="8">
        <v>54.592307689278428</v>
      </c>
      <c r="BD382" s="8">
        <v>54.144579511534047</v>
      </c>
      <c r="BE382" s="8">
        <v>28.5419607699531</v>
      </c>
      <c r="BF382" s="8">
        <v>32.186837205791768</v>
      </c>
      <c r="BG382" s="8">
        <v>0.59843585025855983</v>
      </c>
      <c r="BH382" s="8">
        <v>58.553645552491901</v>
      </c>
      <c r="BI382" s="8">
        <v>62.264382496408693</v>
      </c>
    </row>
    <row r="383" spans="1:61" x14ac:dyDescent="0.15">
      <c r="A383" s="7">
        <v>2019</v>
      </c>
      <c r="B383" s="7">
        <v>129</v>
      </c>
      <c r="C383" s="7">
        <v>53.897863818650499</v>
      </c>
      <c r="D383" s="7">
        <v>37.139097857127929</v>
      </c>
      <c r="E383" s="8">
        <v>27.496197556345692</v>
      </c>
      <c r="F383" s="8">
        <v>18.09350156862466</v>
      </c>
      <c r="G383" s="8">
        <v>0.65280050656038069</v>
      </c>
      <c r="H383" s="8">
        <v>56.963015753165791</v>
      </c>
      <c r="I383" s="8">
        <v>40.596992662482293</v>
      </c>
      <c r="J383" s="8">
        <v>35.577695189992127</v>
      </c>
      <c r="K383" s="8">
        <v>24.82312897297086</v>
      </c>
      <c r="L383" s="8">
        <v>0.65646545625011687</v>
      </c>
      <c r="M383" s="8">
        <v>53.691009171530673</v>
      </c>
      <c r="N383" s="8">
        <v>48.787531507578713</v>
      </c>
      <c r="O383" s="8">
        <v>290.33300000000003</v>
      </c>
      <c r="P383" s="8">
        <v>286.84399999999999</v>
      </c>
      <c r="Q383" s="8">
        <v>94.124399999999994</v>
      </c>
      <c r="R383" s="8">
        <v>3.18347E-2</v>
      </c>
      <c r="S383" s="8">
        <v>-0.12695999999999999</v>
      </c>
      <c r="T383" s="7">
        <f>C383-D383</f>
        <v>16.75876596152257</v>
      </c>
      <c r="U383" s="8">
        <f>D383/C383</f>
        <v>0.68906437520584141</v>
      </c>
      <c r="V383" s="8">
        <v>29.100228326245286</v>
      </c>
      <c r="W383" s="8">
        <v>18.033618258576542</v>
      </c>
      <c r="X383" s="8">
        <v>0.63300185946998355</v>
      </c>
      <c r="Y383" s="8">
        <v>56.682332638337904</v>
      </c>
      <c r="Z383" s="8">
        <v>42.038661600626732</v>
      </c>
      <c r="AA383" s="7">
        <v>32.338961758118707</v>
      </c>
      <c r="AB383" s="7">
        <v>21.428373615773701</v>
      </c>
      <c r="AC383" s="7">
        <v>0.64473365786005021</v>
      </c>
      <c r="AD383" s="7">
        <v>55.186670904934289</v>
      </c>
      <c r="AE383" s="7">
        <v>45.413096554102722</v>
      </c>
      <c r="AF383" s="8">
        <v>36.767124868281307</v>
      </c>
      <c r="AG383" s="8">
        <v>25.484493187211449</v>
      </c>
      <c r="AH383" s="8">
        <v>0.66189936099215485</v>
      </c>
      <c r="AI383" s="8">
        <v>53.971053876392467</v>
      </c>
      <c r="AJ383" s="8">
        <v>49.098479684056031</v>
      </c>
      <c r="AK383" s="8">
        <v>35.433496856053708</v>
      </c>
      <c r="AL383" s="8">
        <v>24.742949690781469</v>
      </c>
      <c r="AM383" s="8">
        <v>0.65580668673655562</v>
      </c>
      <c r="AN383" s="8">
        <v>53.657058463383343</v>
      </c>
      <c r="AO383" s="8">
        <v>48.749834273511262</v>
      </c>
      <c r="AP383" s="8">
        <v>35.983825540543677</v>
      </c>
      <c r="AQ383" s="8">
        <v>23.769042150922921</v>
      </c>
      <c r="AR383" s="8">
        <v>0.62912005080212363</v>
      </c>
      <c r="AS383" s="8">
        <v>53.890281140365794</v>
      </c>
      <c r="AT383" s="8">
        <v>48.863148555627518</v>
      </c>
      <c r="AU383" s="8">
        <v>28.074452845300389</v>
      </c>
      <c r="AV383" s="8">
        <v>22.312238305437731</v>
      </c>
      <c r="AW383" s="8">
        <v>0.64455299311823355</v>
      </c>
      <c r="AX383" s="8">
        <v>59.69080826780003</v>
      </c>
      <c r="AY383" s="8">
        <v>44.513252571303809</v>
      </c>
      <c r="AZ383" s="8">
        <v>38.215773175441058</v>
      </c>
      <c r="BA383" s="8">
        <v>32.08532903838838</v>
      </c>
      <c r="BB383" s="8">
        <v>0.75215116566921625</v>
      </c>
      <c r="BC383" s="8">
        <v>51.800697879090492</v>
      </c>
      <c r="BD383" s="8">
        <v>55.019300567308683</v>
      </c>
      <c r="BE383" s="8"/>
      <c r="BF383" s="8"/>
      <c r="BG383" s="8"/>
      <c r="BH383" s="8"/>
      <c r="BI383" s="8"/>
    </row>
    <row r="384" spans="1:61" x14ac:dyDescent="0.15">
      <c r="A384" s="7">
        <v>2020</v>
      </c>
      <c r="B384" s="7">
        <v>93</v>
      </c>
      <c r="C384" s="7">
        <v>29.420197843364175</v>
      </c>
      <c r="D384" s="7">
        <v>17.913620300335609</v>
      </c>
      <c r="E384" s="8">
        <v>22.978500256240629</v>
      </c>
      <c r="F384" s="8">
        <v>12.114683291090531</v>
      </c>
      <c r="G384" s="8">
        <v>0.6529356323512111</v>
      </c>
      <c r="H384" s="8">
        <v>66.595570040329363</v>
      </c>
      <c r="I384" s="8">
        <v>37.25542962883592</v>
      </c>
      <c r="J384" s="8">
        <v>29.055706880840429</v>
      </c>
      <c r="K384" s="8">
        <v>18.635513129720181</v>
      </c>
      <c r="L384" s="8">
        <v>0.70835930254775503</v>
      </c>
      <c r="M384" s="8">
        <v>60.872773669330712</v>
      </c>
      <c r="N384" s="8">
        <v>45.881909724543149</v>
      </c>
      <c r="O384" s="8">
        <v>291.57</v>
      </c>
      <c r="P384" s="8">
        <v>287.41699999999997</v>
      </c>
      <c r="Q384" s="8">
        <v>99.093500000000006</v>
      </c>
      <c r="R384" s="8">
        <v>-0.34501100000000001</v>
      </c>
      <c r="S384" s="8">
        <v>-0.50019000000000002</v>
      </c>
      <c r="T384" s="7">
        <f>C384-D384</f>
        <v>11.506577543028566</v>
      </c>
      <c r="U384" s="8">
        <f>D384/C384</f>
        <v>0.60888850563512054</v>
      </c>
      <c r="V384" s="8">
        <v>22.631700361861871</v>
      </c>
      <c r="W384" s="8">
        <v>11.511160519862401</v>
      </c>
      <c r="X384" s="8">
        <v>0.63489741453637816</v>
      </c>
      <c r="Y384" s="8">
        <v>66.069118519976641</v>
      </c>
      <c r="Z384" s="8">
        <v>35.487915496472624</v>
      </c>
      <c r="AA384" s="7">
        <v>25.84370362135115</v>
      </c>
      <c r="AB384" s="7">
        <v>15.073336824791291</v>
      </c>
      <c r="AC384" s="7">
        <v>0.67162835854206659</v>
      </c>
      <c r="AD384" s="7">
        <v>63.470946094653677</v>
      </c>
      <c r="AE384" s="7">
        <v>40.684912610507887</v>
      </c>
      <c r="AF384" s="8">
        <v>29.61070929219548</v>
      </c>
      <c r="AG384" s="8">
        <v>18.990707839681448</v>
      </c>
      <c r="AH384" s="8">
        <v>0.72298053729609257</v>
      </c>
      <c r="AI384" s="8">
        <v>61.181451086004117</v>
      </c>
      <c r="AJ384" s="8">
        <v>46.317717785971411</v>
      </c>
      <c r="AK384" s="8">
        <v>28.956760070645409</v>
      </c>
      <c r="AL384" s="8">
        <v>18.572188389449231</v>
      </c>
      <c r="AM384" s="8">
        <v>0.70575260299139042</v>
      </c>
      <c r="AN384" s="8">
        <v>60.81774211427043</v>
      </c>
      <c r="AO384" s="8">
        <v>45.804213093585602</v>
      </c>
      <c r="AP384" s="8">
        <v>29.017699043866109</v>
      </c>
      <c r="AQ384" s="8">
        <v>18.381989180551749</v>
      </c>
      <c r="AR384" s="8">
        <v>0.68117138159777046</v>
      </c>
      <c r="AS384" s="8">
        <v>59.673913897103091</v>
      </c>
      <c r="AT384" s="8">
        <v>44.166737544706969</v>
      </c>
      <c r="AU384" s="8">
        <v>30.731343829100989</v>
      </c>
      <c r="AV384" s="8">
        <v>22.058862792951722</v>
      </c>
      <c r="AW384" s="8">
        <v>0.74418237352542549</v>
      </c>
      <c r="AX384" s="8">
        <v>60.848650314379881</v>
      </c>
      <c r="AY384" s="8">
        <v>48.486929263328292</v>
      </c>
      <c r="AZ384" s="8">
        <v>30.114523120890642</v>
      </c>
      <c r="BA384" s="8">
        <v>20.10866017842827</v>
      </c>
      <c r="BB384" s="8">
        <v>0.75720326877710253</v>
      </c>
      <c r="BC384" s="8">
        <v>60.155589271408843</v>
      </c>
      <c r="BD384" s="8">
        <v>47.666832774300119</v>
      </c>
      <c r="BE384" s="8">
        <v>33.378894074500238</v>
      </c>
      <c r="BF384" s="8">
        <v>25.838231937602629</v>
      </c>
      <c r="BG384" s="8">
        <v>0.68484925411969588</v>
      </c>
      <c r="BH384" s="8">
        <v>61.815755269516259</v>
      </c>
      <c r="BI384" s="8">
        <v>51.203377381591288</v>
      </c>
    </row>
    <row r="385" spans="1:61" x14ac:dyDescent="0.15">
      <c r="A385" s="7">
        <v>2019</v>
      </c>
      <c r="B385" s="7">
        <v>140</v>
      </c>
      <c r="C385" s="7">
        <v>13.187400682236866</v>
      </c>
      <c r="D385" s="7">
        <v>11.052152478818849</v>
      </c>
      <c r="E385" s="8">
        <v>31.2360685252597</v>
      </c>
      <c r="F385" s="8">
        <v>20.48428786468163</v>
      </c>
      <c r="G385" s="8">
        <v>0.65317598340894711</v>
      </c>
      <c r="H385" s="8">
        <v>67.750517890457431</v>
      </c>
      <c r="I385" s="8">
        <v>45.508635090710278</v>
      </c>
      <c r="J385" s="8">
        <v>35.560583697320183</v>
      </c>
      <c r="K385" s="8">
        <v>22.201774085284178</v>
      </c>
      <c r="L385" s="8">
        <v>0.66098510910725028</v>
      </c>
      <c r="M385" s="8">
        <v>61.658682588034686</v>
      </c>
      <c r="N385" s="8">
        <v>50.271211518764908</v>
      </c>
      <c r="O385" s="8">
        <v>287.85300000000001</v>
      </c>
      <c r="P385" s="8">
        <v>284.82900000000001</v>
      </c>
      <c r="Q385" s="8">
        <v>89.781000000000006</v>
      </c>
      <c r="R385" s="8">
        <v>-0.144427</v>
      </c>
      <c r="S385" s="8">
        <v>-0.43104300000000001</v>
      </c>
      <c r="T385" s="7">
        <f>C385-D385</f>
        <v>2.1352482034180174</v>
      </c>
      <c r="U385" s="8">
        <f>D385/C385</f>
        <v>0.83808422486971612</v>
      </c>
      <c r="V385" s="8">
        <v>30.132255359664512</v>
      </c>
      <c r="W385" s="8">
        <v>20.383348309526141</v>
      </c>
      <c r="X385" s="8">
        <v>0.64858721608305925</v>
      </c>
      <c r="Y385" s="8">
        <v>69.310620868034079</v>
      </c>
      <c r="Z385" s="8">
        <v>44.86535532437177</v>
      </c>
      <c r="AA385" s="7">
        <v>32.846419528492348</v>
      </c>
      <c r="AB385" s="7">
        <v>21.29256119740516</v>
      </c>
      <c r="AC385" s="7">
        <v>0.65478616259515476</v>
      </c>
      <c r="AD385" s="7">
        <v>65.484651728034379</v>
      </c>
      <c r="AE385" s="7">
        <v>47.568283421568339</v>
      </c>
      <c r="AF385" s="8">
        <v>36.11191357778538</v>
      </c>
      <c r="AG385" s="8">
        <v>21.438075195400639</v>
      </c>
      <c r="AH385" s="8">
        <v>0.64987003684960898</v>
      </c>
      <c r="AI385" s="8">
        <v>61.686014324507731</v>
      </c>
      <c r="AJ385" s="8">
        <v>49.46867905376655</v>
      </c>
      <c r="AK385" s="8">
        <v>35.489594048926527</v>
      </c>
      <c r="AL385" s="8">
        <v>22.3001085264099</v>
      </c>
      <c r="AM385" s="8">
        <v>0.662416294137117</v>
      </c>
      <c r="AN385" s="8">
        <v>61.655163333173022</v>
      </c>
      <c r="AO385" s="8">
        <v>50.374546200111503</v>
      </c>
      <c r="AP385" s="8">
        <v>35.240624373669142</v>
      </c>
      <c r="AQ385" s="8">
        <v>22.24028374047812</v>
      </c>
      <c r="AR385" s="8">
        <v>0.6529955269075447</v>
      </c>
      <c r="AS385" s="8">
        <v>62.92184292552394</v>
      </c>
      <c r="AT385" s="8">
        <v>50.489016171375752</v>
      </c>
      <c r="AU385" s="8">
        <v>19.46975159098287</v>
      </c>
      <c r="AV385" s="8">
        <v>13.51866379316426</v>
      </c>
      <c r="AW385" s="8">
        <v>0.48854671486190521</v>
      </c>
      <c r="AX385" s="8">
        <v>64.264711113178862</v>
      </c>
      <c r="AY385" s="8">
        <v>30.54994615123821</v>
      </c>
      <c r="AZ385" s="8">
        <v>38.00949581691517</v>
      </c>
      <c r="BA385" s="8">
        <v>25.30512697369813</v>
      </c>
      <c r="BB385" s="8">
        <v>0.70235645085473453</v>
      </c>
      <c r="BC385" s="8">
        <v>58.210164318019643</v>
      </c>
      <c r="BD385" s="8">
        <v>54.824438326626947</v>
      </c>
      <c r="BE385" s="8">
        <v>41.387052749411467</v>
      </c>
      <c r="BF385" s="8">
        <v>21.454243436078109</v>
      </c>
      <c r="BG385" s="8">
        <v>1.0467797513699111</v>
      </c>
      <c r="BH385" s="8">
        <v>71.687688030105861</v>
      </c>
      <c r="BI385" s="8">
        <v>50.961479965733851</v>
      </c>
    </row>
    <row r="386" spans="1:61" x14ac:dyDescent="0.15">
      <c r="A386" s="7">
        <v>2023</v>
      </c>
      <c r="B386" s="7">
        <v>36</v>
      </c>
      <c r="C386" s="9">
        <v>141.88086642255908</v>
      </c>
      <c r="D386" s="7">
        <v>125.10358865843601</v>
      </c>
      <c r="E386" s="8">
        <v>22.60188129456942</v>
      </c>
      <c r="F386" s="8">
        <v>10.468717605157799</v>
      </c>
      <c r="G386" s="8">
        <v>0.65419681599126678</v>
      </c>
      <c r="H386" s="8">
        <v>52.044688147653211</v>
      </c>
      <c r="I386" s="8">
        <v>33.211575278392417</v>
      </c>
      <c r="J386" s="8">
        <v>23.785822299939159</v>
      </c>
      <c r="K386" s="8">
        <v>15.27318502720046</v>
      </c>
      <c r="L386" s="8">
        <v>0.55183043947837884</v>
      </c>
      <c r="M386" s="8">
        <v>57.551063103082932</v>
      </c>
      <c r="N386" s="8">
        <v>38.263668128001633</v>
      </c>
      <c r="O386" s="7">
        <v>292.59300000000002</v>
      </c>
      <c r="P386" s="7">
        <v>287.89499999999998</v>
      </c>
      <c r="Q386" s="7">
        <v>100.864</v>
      </c>
      <c r="R386" s="7">
        <v>-0.34273500000000001</v>
      </c>
      <c r="S386" s="7">
        <v>-1.0346599999999999</v>
      </c>
      <c r="T386" s="7">
        <f>C386-D386</f>
        <v>16.77727776412307</v>
      </c>
      <c r="U386" s="8">
        <f>D386/C386</f>
        <v>0.88175094932000297</v>
      </c>
      <c r="V386" s="8">
        <v>21.26763247895904</v>
      </c>
      <c r="W386" s="8">
        <v>12.631665388758341</v>
      </c>
      <c r="X386" s="8">
        <v>0.55410021235122708</v>
      </c>
      <c r="Y386" s="8">
        <v>59.782085102458645</v>
      </c>
      <c r="Z386" s="8">
        <v>34.755349142508088</v>
      </c>
      <c r="AA386" s="7">
        <v>22.5267273894491</v>
      </c>
      <c r="AB386" s="7">
        <v>13.952425207979401</v>
      </c>
      <c r="AC386" s="7">
        <v>0.55296532591480296</v>
      </c>
      <c r="AD386" s="7">
        <v>58.666574102770788</v>
      </c>
      <c r="AE386" s="7">
        <v>36.509508635254861</v>
      </c>
      <c r="AF386" s="8">
        <v>24.076947235857311</v>
      </c>
      <c r="AG386" s="8">
        <v>14.527186041693509</v>
      </c>
      <c r="AH386" s="8">
        <v>0.57466664298438153</v>
      </c>
      <c r="AI386" s="8">
        <v>56.407303833049767</v>
      </c>
      <c r="AJ386" s="8">
        <v>37.272051589874913</v>
      </c>
      <c r="AK386" s="8">
        <v>23.757837208367359</v>
      </c>
      <c r="AL386" s="8">
        <v>15.34489599162211</v>
      </c>
      <c r="AM386" s="8">
        <v>0.54963525395003421</v>
      </c>
      <c r="AN386" s="8">
        <v>57.661009740965483</v>
      </c>
      <c r="AO386" s="8">
        <v>38.358989676243702</v>
      </c>
      <c r="AP386" s="8">
        <v>22.42516345546882</v>
      </c>
      <c r="AQ386" s="8">
        <v>12.86642833384326</v>
      </c>
      <c r="AR386" s="8">
        <v>0.52443086609711376</v>
      </c>
      <c r="AS386" s="8">
        <v>61.815649479012073</v>
      </c>
      <c r="AT386" s="8">
        <v>37.218053064817973</v>
      </c>
      <c r="AU386" s="8">
        <v>23.374792984957409</v>
      </c>
      <c r="AV386" s="8">
        <v>23.71035343600759</v>
      </c>
      <c r="AW386" s="8">
        <v>0.56979796296559404</v>
      </c>
      <c r="AX386" s="8">
        <v>60.444696951935242</v>
      </c>
      <c r="AY386" s="8">
        <v>40.884698407166432</v>
      </c>
      <c r="AZ386" s="8">
        <v>23.556351869090939</v>
      </c>
      <c r="BA386" s="8">
        <v>15.965778794987219</v>
      </c>
      <c r="BB386" s="8">
        <v>0.54622869304118604</v>
      </c>
      <c r="BC386" s="8">
        <v>54.69936363031205</v>
      </c>
      <c r="BD386" s="8">
        <v>37.74695362218872</v>
      </c>
      <c r="BE386" s="8">
        <v>23.450982086924249</v>
      </c>
      <c r="BF386" s="8">
        <v>24.79582297653808</v>
      </c>
      <c r="BG386" s="8">
        <v>0.59029869583816963</v>
      </c>
      <c r="BH386" s="8">
        <v>59.29682147415329</v>
      </c>
      <c r="BI386" s="8">
        <v>41.501411481796062</v>
      </c>
    </row>
    <row r="387" spans="1:61" x14ac:dyDescent="0.15">
      <c r="A387" s="7">
        <v>2021</v>
      </c>
      <c r="B387" s="7">
        <v>56</v>
      </c>
      <c r="C387" s="7">
        <v>67.344506557725381</v>
      </c>
      <c r="D387" s="7">
        <v>49.781332198483774</v>
      </c>
      <c r="E387" s="8">
        <v>24.00876793323922</v>
      </c>
      <c r="F387" s="8">
        <v>11.939931131823959</v>
      </c>
      <c r="G387" s="8">
        <v>0.65481562638907043</v>
      </c>
      <c r="H387" s="8">
        <v>54.265487145766762</v>
      </c>
      <c r="I387" s="8">
        <v>35.478047406940178</v>
      </c>
      <c r="J387" s="8">
        <v>25.13257026075221</v>
      </c>
      <c r="K387" s="8">
        <v>14.03535587617335</v>
      </c>
      <c r="L387" s="8">
        <v>0.68168508970870789</v>
      </c>
      <c r="M387" s="8">
        <v>57.386892896280649</v>
      </c>
      <c r="N387" s="8">
        <v>40.087113612702382</v>
      </c>
      <c r="O387" s="8">
        <v>295.25</v>
      </c>
      <c r="P387" s="8">
        <v>291.02199999999999</v>
      </c>
      <c r="Q387" s="8">
        <v>98.379000000000005</v>
      </c>
      <c r="R387" s="8">
        <v>-0.68693499999999996</v>
      </c>
      <c r="S387" s="8">
        <v>-6.5594100000000002E-2</v>
      </c>
      <c r="T387" s="7">
        <f>C387-D387</f>
        <v>17.563174359241607</v>
      </c>
      <c r="U387" s="8">
        <f>D387/C387</f>
        <v>0.73920405305535852</v>
      </c>
      <c r="V387" s="8">
        <v>24.910289944306932</v>
      </c>
      <c r="W387" s="8">
        <v>11.363160526409152</v>
      </c>
      <c r="X387" s="8">
        <v>0.68329255943163281</v>
      </c>
      <c r="Y387" s="8">
        <v>53.671467850725811</v>
      </c>
      <c r="Z387" s="8">
        <v>35.785956904759004</v>
      </c>
      <c r="AA387" s="7">
        <v>25.021430102529571</v>
      </c>
      <c r="AB387" s="7">
        <v>12.699258201291251</v>
      </c>
      <c r="AC387" s="7">
        <v>0.68248882457017035</v>
      </c>
      <c r="AD387" s="7">
        <v>55.52918037350323</v>
      </c>
      <c r="AE387" s="7">
        <v>37.936535258730693</v>
      </c>
      <c r="AF387" s="8">
        <v>25.42451347333747</v>
      </c>
      <c r="AG387" s="8">
        <v>13.74504685430743</v>
      </c>
      <c r="AH387" s="8">
        <v>0.67600054479603899</v>
      </c>
      <c r="AI387" s="8">
        <v>57.758766017208828</v>
      </c>
      <c r="AJ387" s="8">
        <v>39.601554923979762</v>
      </c>
      <c r="AK387" s="8">
        <v>25.074503709268662</v>
      </c>
      <c r="AL387" s="8">
        <v>14.093097392460169</v>
      </c>
      <c r="AM387" s="8">
        <v>0.68281572712585858</v>
      </c>
      <c r="AN387" s="8">
        <v>57.312928547082393</v>
      </c>
      <c r="AO387" s="8">
        <v>40.18368965003279</v>
      </c>
      <c r="AP387" s="8">
        <v>26.489401674802199</v>
      </c>
      <c r="AQ387" s="8">
        <v>13.622071891408771</v>
      </c>
      <c r="AR387" s="8">
        <v>0.71797584573866369</v>
      </c>
      <c r="AS387" s="8">
        <v>57.366114669173683</v>
      </c>
      <c r="AT387" s="8">
        <v>41.184303020754982</v>
      </c>
      <c r="AU387" s="8">
        <v>24.818353550087501</v>
      </c>
      <c r="AV387" s="8">
        <v>15.08866151877424</v>
      </c>
      <c r="AW387" s="8">
        <v>0.67130904863900187</v>
      </c>
      <c r="AX387" s="8">
        <v>56.860916851259887</v>
      </c>
      <c r="AY387" s="8">
        <v>39.467685038868673</v>
      </c>
      <c r="AZ387" s="8">
        <v>23.934211322641239</v>
      </c>
      <c r="BA387" s="8">
        <v>14.60351284606125</v>
      </c>
      <c r="BB387" s="8">
        <v>0.66082068557502882</v>
      </c>
      <c r="BC387" s="8">
        <v>57.545232224249389</v>
      </c>
      <c r="BD387" s="8">
        <v>39.791599714863217</v>
      </c>
      <c r="BE387" s="8">
        <v>24.752937290843381</v>
      </c>
      <c r="BF387" s="8">
        <v>14.967020440157089</v>
      </c>
      <c r="BG387" s="8">
        <v>0.65602150795952596</v>
      </c>
      <c r="BH387" s="8">
        <v>56.065952797121312</v>
      </c>
      <c r="BI387" s="8">
        <v>38.438584464774088</v>
      </c>
    </row>
    <row r="388" spans="1:61" x14ac:dyDescent="0.15">
      <c r="A388" s="7">
        <v>2020</v>
      </c>
      <c r="B388" s="7">
        <v>141</v>
      </c>
      <c r="C388" s="7">
        <v>38.076263454139387</v>
      </c>
      <c r="D388" s="7">
        <v>7.972877214143538</v>
      </c>
      <c r="E388" s="8">
        <v>37.664265654658337</v>
      </c>
      <c r="F388" s="8">
        <v>28.9245227887886</v>
      </c>
      <c r="G388" s="8">
        <v>0.65496498890360677</v>
      </c>
      <c r="H388" s="8">
        <v>71.646245312237241</v>
      </c>
      <c r="I388" s="8">
        <v>61.883026259000779</v>
      </c>
      <c r="J388" s="8">
        <v>39.362378075717587</v>
      </c>
      <c r="K388" s="8">
        <v>26.055756446692399</v>
      </c>
      <c r="L388" s="8">
        <v>0.66461768384136644</v>
      </c>
      <c r="M388" s="8">
        <v>77.328299466863697</v>
      </c>
      <c r="N388" s="8">
        <v>70.203749776188644</v>
      </c>
      <c r="O388" s="8">
        <v>287.00799999999998</v>
      </c>
      <c r="P388" s="8">
        <v>280.92700000000002</v>
      </c>
      <c r="Q388" s="8">
        <v>100.11799999999999</v>
      </c>
      <c r="R388" s="8">
        <v>3.1390599999999998E-2</v>
      </c>
      <c r="S388" s="8">
        <v>-0.16300300000000001</v>
      </c>
      <c r="T388" s="7">
        <f>C388-D388</f>
        <v>30.103386239995849</v>
      </c>
      <c r="U388" s="8">
        <f>D388/C388</f>
        <v>0.20939232190538859</v>
      </c>
      <c r="V388" s="8">
        <v>35.067718753378799</v>
      </c>
      <c r="W388" s="8">
        <v>25.12613001082638</v>
      </c>
      <c r="X388" s="8">
        <v>0.65890316884907385</v>
      </c>
      <c r="Y388" s="8">
        <v>70.916137976328841</v>
      </c>
      <c r="Z388" s="8">
        <v>67.03760374359733</v>
      </c>
      <c r="AA388" s="7">
        <v>37.215048414548193</v>
      </c>
      <c r="AB388" s="7">
        <v>25.590943228759389</v>
      </c>
      <c r="AC388" s="7">
        <v>0.66176042634522014</v>
      </c>
      <c r="AD388" s="7">
        <v>74.122218721596269</v>
      </c>
      <c r="AE388" s="7">
        <v>68.620676759892987</v>
      </c>
      <c r="AF388" s="8">
        <v>39.378945853665194</v>
      </c>
      <c r="AG388" s="8">
        <v>24.711899122994801</v>
      </c>
      <c r="AH388" s="8">
        <v>0.65749601024524684</v>
      </c>
      <c r="AI388" s="8">
        <v>79.780947811047866</v>
      </c>
      <c r="AJ388" s="8">
        <v>68.131667210528633</v>
      </c>
      <c r="AK388" s="8">
        <v>39.360902864640401</v>
      </c>
      <c r="AL388" s="8">
        <v>26.17541481104</v>
      </c>
      <c r="AM388" s="8">
        <v>0.66525180459131639</v>
      </c>
      <c r="AN388" s="8">
        <v>77.109913270643517</v>
      </c>
      <c r="AO388" s="8">
        <v>70.388250025008105</v>
      </c>
      <c r="AP388" s="8">
        <v>36.369048063539992</v>
      </c>
      <c r="AQ388" s="8">
        <v>24.505564904351559</v>
      </c>
      <c r="AR388" s="8">
        <v>0.6478100298720848</v>
      </c>
      <c r="AS388" s="8">
        <v>74.061148187703296</v>
      </c>
      <c r="AT388" s="8">
        <v>68.584671181064095</v>
      </c>
      <c r="AU388" s="8">
        <v>34.370947130580113</v>
      </c>
      <c r="AV388" s="8">
        <v>23.263533368917731</v>
      </c>
      <c r="AW388" s="8">
        <v>0.65572926856622238</v>
      </c>
      <c r="AX388" s="8">
        <v>74.341742908412172</v>
      </c>
      <c r="AY388" s="8">
        <v>67.49348746157446</v>
      </c>
      <c r="AZ388" s="8">
        <v>39.383004607190443</v>
      </c>
      <c r="BA388" s="8">
        <v>26.758848986165969</v>
      </c>
      <c r="BB388" s="8">
        <v>0.67538217467740158</v>
      </c>
      <c r="BC388" s="8">
        <v>76.042675639566482</v>
      </c>
      <c r="BD388" s="8">
        <v>72.547482817494824</v>
      </c>
      <c r="BE388" s="8">
        <v>42.657042605053732</v>
      </c>
      <c r="BF388" s="8">
        <v>30.842753029347652</v>
      </c>
      <c r="BG388" s="8">
        <v>0.77978591204799186</v>
      </c>
      <c r="BH388" s="8">
        <v>71.520303244275823</v>
      </c>
      <c r="BI388" s="8">
        <v>75.39734343701474</v>
      </c>
    </row>
    <row r="389" spans="1:61" x14ac:dyDescent="0.15">
      <c r="A389" s="7">
        <v>2019</v>
      </c>
      <c r="B389" s="7">
        <v>115</v>
      </c>
      <c r="C389" s="7">
        <v>38.922674577667273</v>
      </c>
      <c r="D389" s="7">
        <v>9.7754216266300347</v>
      </c>
      <c r="E389" s="8">
        <v>21.463458019051451</v>
      </c>
      <c r="F389" s="8">
        <v>14.76478470319403</v>
      </c>
      <c r="G389" s="8">
        <v>0.65571903555959576</v>
      </c>
      <c r="H389" s="8">
        <v>54.983089970090958</v>
      </c>
      <c r="I389" s="8">
        <v>37.890594786847458</v>
      </c>
      <c r="J389" s="8">
        <v>25.546638353376888</v>
      </c>
      <c r="K389" s="8">
        <v>15.22107293896622</v>
      </c>
      <c r="L389" s="8">
        <v>0.64827657986665321</v>
      </c>
      <c r="M389" s="8">
        <v>54.895099400315473</v>
      </c>
      <c r="N389" s="8">
        <v>42.006538552926912</v>
      </c>
      <c r="O389" s="8">
        <v>292.22699999999998</v>
      </c>
      <c r="P389" s="8">
        <v>285.767</v>
      </c>
      <c r="Q389" s="8">
        <v>84.132499999999993</v>
      </c>
      <c r="R389" s="8">
        <v>0.37670700000000001</v>
      </c>
      <c r="S389" s="8">
        <v>1.1335500000000001</v>
      </c>
      <c r="T389" s="7">
        <f>C389-D389</f>
        <v>29.147252951037238</v>
      </c>
      <c r="U389" s="8">
        <f>D389/C389</f>
        <v>0.25114979206076693</v>
      </c>
      <c r="V389" s="8">
        <v>21.310317834374413</v>
      </c>
      <c r="W389" s="8">
        <v>13.768540045746519</v>
      </c>
      <c r="X389" s="8">
        <v>0.59829974638406558</v>
      </c>
      <c r="Y389" s="8">
        <v>54.06577720785738</v>
      </c>
      <c r="Z389" s="8">
        <v>38.333956118748873</v>
      </c>
      <c r="AA389" s="7">
        <v>23.428478093875651</v>
      </c>
      <c r="AB389" s="7">
        <v>14.49480649235637</v>
      </c>
      <c r="AC389" s="7">
        <v>0.6232881631253594</v>
      </c>
      <c r="AD389" s="7">
        <v>54.480438304086427</v>
      </c>
      <c r="AE389" s="7">
        <v>40.170247335837892</v>
      </c>
      <c r="AF389" s="8">
        <v>28.628691522798562</v>
      </c>
      <c r="AG389" s="8">
        <v>14.98510223355164</v>
      </c>
      <c r="AH389" s="8">
        <v>0.68971425212201976</v>
      </c>
      <c r="AI389" s="8">
        <v>56.630635635822671</v>
      </c>
      <c r="AJ389" s="8">
        <v>44.873189830760538</v>
      </c>
      <c r="AK389" s="8">
        <v>25.202644545066271</v>
      </c>
      <c r="AL389" s="8">
        <v>15.24741007760181</v>
      </c>
      <c r="AM389" s="8">
        <v>0.64365164255925245</v>
      </c>
      <c r="AN389" s="8">
        <v>54.701392904581922</v>
      </c>
      <c r="AO389" s="8">
        <v>41.68658615887216</v>
      </c>
      <c r="AP389" s="8">
        <v>26.589836785066179</v>
      </c>
      <c r="AQ389" s="8">
        <v>13.948700325026291</v>
      </c>
      <c r="AR389" s="8">
        <v>0.57251245119105532</v>
      </c>
      <c r="AS389" s="8">
        <v>53.748042125968553</v>
      </c>
      <c r="AT389" s="8">
        <v>43.755638705778523</v>
      </c>
      <c r="AU389" s="8">
        <v>25.475666110053201</v>
      </c>
      <c r="AV389" s="8">
        <v>13.3385542210015</v>
      </c>
      <c r="AW389" s="8">
        <v>0.5245752154743073</v>
      </c>
      <c r="AX389" s="8">
        <v>54.786777032862247</v>
      </c>
      <c r="AY389" s="8">
        <v>42.461741292972611</v>
      </c>
      <c r="AZ389" s="8">
        <v>24.65831688011281</v>
      </c>
      <c r="BA389" s="8">
        <v>17.696971896282491</v>
      </c>
      <c r="BB389" s="8">
        <v>0.68201313288743159</v>
      </c>
      <c r="BC389" s="8">
        <v>56.131119651363441</v>
      </c>
      <c r="BD389" s="8">
        <v>40.157009037866302</v>
      </c>
      <c r="BE389" s="8">
        <v>21.553552683202689</v>
      </c>
      <c r="BF389" s="8">
        <v>23.117724719532131</v>
      </c>
      <c r="BG389" s="8">
        <v>0.70347697761644656</v>
      </c>
      <c r="BH389" s="8">
        <v>52.13471948611199</v>
      </c>
      <c r="BI389" s="8">
        <v>40.803110858630561</v>
      </c>
    </row>
    <row r="390" spans="1:61" x14ac:dyDescent="0.15">
      <c r="A390" s="7">
        <v>2019</v>
      </c>
      <c r="B390" s="7">
        <v>74</v>
      </c>
      <c r="C390" s="7">
        <v>15.377537129275753</v>
      </c>
      <c r="D390" s="7">
        <v>12.044087445510012</v>
      </c>
      <c r="E390" s="8">
        <v>28.701847126607479</v>
      </c>
      <c r="F390" s="8">
        <v>16.517850945333102</v>
      </c>
      <c r="G390" s="8">
        <v>0.65710946210217924</v>
      </c>
      <c r="H390" s="8">
        <v>66.768679888921113</v>
      </c>
      <c r="I390" s="8">
        <v>44.129730393991899</v>
      </c>
      <c r="J390" s="8">
        <v>36.8415348015509</v>
      </c>
      <c r="K390" s="8">
        <v>22.809607281871418</v>
      </c>
      <c r="L390" s="8">
        <v>0.75118617411535071</v>
      </c>
      <c r="M390" s="8">
        <v>61.974227753302841</v>
      </c>
      <c r="N390" s="8">
        <v>53.816704454405738</v>
      </c>
      <c r="O390" s="8">
        <v>291.06400000000002</v>
      </c>
      <c r="P390" s="8">
        <v>286.524</v>
      </c>
      <c r="Q390" s="8">
        <v>99.606100000000012</v>
      </c>
      <c r="R390" s="8">
        <v>-0.62406099999999998</v>
      </c>
      <c r="S390" s="8">
        <v>-0.76774399999999998</v>
      </c>
      <c r="T390" s="7">
        <f>C390-D390</f>
        <v>3.3334496837657408</v>
      </c>
      <c r="U390" s="8">
        <f>D390/C390</f>
        <v>0.78322603575968486</v>
      </c>
      <c r="V390" s="8">
        <v>27.368279738734834</v>
      </c>
      <c r="W390" s="8">
        <v>14.836315172819422</v>
      </c>
      <c r="X390" s="8">
        <v>0.64588341124712234</v>
      </c>
      <c r="Y390" s="8">
        <v>68.103255394106924</v>
      </c>
      <c r="Z390" s="8">
        <v>42.182715564911746</v>
      </c>
      <c r="AA390" s="7">
        <v>32.104907270142867</v>
      </c>
      <c r="AB390" s="7">
        <v>18.82296122734542</v>
      </c>
      <c r="AC390" s="7">
        <v>0.69853479268123653</v>
      </c>
      <c r="AD390" s="7">
        <v>65.038741573704883</v>
      </c>
      <c r="AE390" s="7">
        <v>47.999710009658742</v>
      </c>
      <c r="AF390" s="8">
        <v>35.321232861306562</v>
      </c>
      <c r="AG390" s="8">
        <v>22.466455582353401</v>
      </c>
      <c r="AH390" s="8">
        <v>0.7406928783198734</v>
      </c>
      <c r="AI390" s="8">
        <v>61.246278766450253</v>
      </c>
      <c r="AJ390" s="8">
        <v>52.519971762127703</v>
      </c>
      <c r="AK390" s="8">
        <v>37.142763268840532</v>
      </c>
      <c r="AL390" s="8">
        <v>22.87759842084019</v>
      </c>
      <c r="AM390" s="8">
        <v>0.75326528703734097</v>
      </c>
      <c r="AN390" s="8">
        <v>62.118461574078843</v>
      </c>
      <c r="AO390" s="8">
        <v>54.073635522530608</v>
      </c>
      <c r="AP390" s="8">
        <v>35.757815790792861</v>
      </c>
      <c r="AQ390" s="8">
        <v>20.941008321766962</v>
      </c>
      <c r="AR390" s="8">
        <v>0.7109333809173608</v>
      </c>
      <c r="AS390" s="8">
        <v>62.674356211849393</v>
      </c>
      <c r="AT390" s="8">
        <v>50.649703211217911</v>
      </c>
      <c r="AU390" s="8">
        <v>33.552505493371022</v>
      </c>
      <c r="AV390" s="8">
        <v>22.56602527470881</v>
      </c>
      <c r="AW390" s="8">
        <v>0.71268440708402381</v>
      </c>
      <c r="AX390" s="8">
        <v>65.052609142147034</v>
      </c>
      <c r="AY390" s="8">
        <v>50.161485807719991</v>
      </c>
      <c r="AZ390" s="8">
        <v>37.967086320155133</v>
      </c>
      <c r="BA390" s="8">
        <v>24.71658805576276</v>
      </c>
      <c r="BB390" s="8">
        <v>0.78796624992750042</v>
      </c>
      <c r="BC390" s="8">
        <v>62.3318342636694</v>
      </c>
      <c r="BD390" s="8">
        <v>56.561233172056383</v>
      </c>
      <c r="BE390" s="8">
        <v>36.929992422595973</v>
      </c>
      <c r="BF390" s="8">
        <v>28.832705181362151</v>
      </c>
      <c r="BG390" s="8">
        <v>0.65965436385341558</v>
      </c>
      <c r="BH390" s="8">
        <v>66.294056712696261</v>
      </c>
      <c r="BI390" s="8">
        <v>54.152965564864743</v>
      </c>
    </row>
    <row r="391" spans="1:61" x14ac:dyDescent="0.15">
      <c r="A391" s="7">
        <v>2022</v>
      </c>
      <c r="B391" s="7">
        <v>43</v>
      </c>
      <c r="C391" s="7">
        <v>21.446788404934662</v>
      </c>
      <c r="D391" s="7">
        <v>8.6006414292935904</v>
      </c>
      <c r="E391" s="8">
        <v>31.749832839398771</v>
      </c>
      <c r="F391" s="8">
        <v>31.04075232995439</v>
      </c>
      <c r="G391" s="8">
        <v>0.65758926292902387</v>
      </c>
      <c r="H391" s="8">
        <v>67.087984503720449</v>
      </c>
      <c r="I391" s="8">
        <v>48.164400702592943</v>
      </c>
      <c r="J391" s="8">
        <v>26.745185972401782</v>
      </c>
      <c r="K391" s="8">
        <v>28.370218793933649</v>
      </c>
      <c r="L391" s="8">
        <v>0.5889954219698057</v>
      </c>
      <c r="M391" s="8">
        <v>68.569259593512882</v>
      </c>
      <c r="N391" s="8">
        <v>41.723407542977867</v>
      </c>
      <c r="O391" s="8">
        <v>289.74400000000003</v>
      </c>
      <c r="P391" s="8">
        <v>284.03199999999998</v>
      </c>
      <c r="Q391" s="8">
        <v>101.663</v>
      </c>
      <c r="R391" s="8">
        <v>-0.76466500000000004</v>
      </c>
      <c r="S391" s="8">
        <v>-0.30036499999999999</v>
      </c>
      <c r="T391" s="7">
        <f>C391-D391</f>
        <v>12.846146975641071</v>
      </c>
      <c r="U391" s="8">
        <f>D391/C391</f>
        <v>0.40102234735130232</v>
      </c>
      <c r="V391" s="8">
        <v>26.276398469782759</v>
      </c>
      <c r="W391" s="8">
        <v>28.134475425714992</v>
      </c>
      <c r="X391" s="8">
        <v>0.5871347127825397</v>
      </c>
      <c r="Y391" s="8">
        <v>70.648474788986292</v>
      </c>
      <c r="Z391" s="8">
        <v>41.187128373833332</v>
      </c>
      <c r="AA391" s="7">
        <v>26.51079222109227</v>
      </c>
      <c r="AB391" s="7">
        <v>28.252347109824321</v>
      </c>
      <c r="AC391" s="7">
        <v>0.5880650673761727</v>
      </c>
      <c r="AD391" s="7">
        <v>69.608867191249587</v>
      </c>
      <c r="AE391" s="7">
        <v>41.455267958405599</v>
      </c>
      <c r="AF391" s="8">
        <v>25.067607019056641</v>
      </c>
      <c r="AG391" s="8">
        <v>29.640909092162701</v>
      </c>
      <c r="AH391" s="8">
        <v>0.56240687614717522</v>
      </c>
      <c r="AI391" s="8">
        <v>68.040577154323245</v>
      </c>
      <c r="AJ391" s="8">
        <v>39.719382312982752</v>
      </c>
      <c r="AK391" s="8">
        <v>26.84517355036412</v>
      </c>
      <c r="AL391" s="8">
        <v>28.294482719034271</v>
      </c>
      <c r="AM391" s="8">
        <v>0.59058016067497621</v>
      </c>
      <c r="AN391" s="8">
        <v>68.600770287242298</v>
      </c>
      <c r="AO391" s="8">
        <v>41.842852072562039</v>
      </c>
      <c r="AP391" s="8">
        <v>25.708516026693239</v>
      </c>
      <c r="AQ391" s="8">
        <v>28.481351568423861</v>
      </c>
      <c r="AR391" s="8">
        <v>0.56946422748966996</v>
      </c>
      <c r="AS391" s="8">
        <v>70.06002710431585</v>
      </c>
      <c r="AT391" s="8">
        <v>40.159348857888432</v>
      </c>
      <c r="AU391" s="8">
        <v>34.514843938919689</v>
      </c>
      <c r="AV391" s="8">
        <v>34.244680487934417</v>
      </c>
      <c r="AW391" s="8">
        <v>0.48000343067638668</v>
      </c>
      <c r="AX391" s="8">
        <v>56.633173702419931</v>
      </c>
      <c r="AY391" s="8">
        <v>51.011935331872273</v>
      </c>
      <c r="AZ391" s="8">
        <v>28.673251364344921</v>
      </c>
      <c r="BA391" s="8">
        <v>27.158775840321301</v>
      </c>
      <c r="BB391" s="8">
        <v>0.59779655289067601</v>
      </c>
      <c r="BC391" s="8">
        <v>69.076646432976958</v>
      </c>
      <c r="BD391" s="8">
        <v>44.748896630541708</v>
      </c>
      <c r="BE391" s="8">
        <v>28.825109662242969</v>
      </c>
      <c r="BF391" s="8">
        <v>29.393611245861589</v>
      </c>
      <c r="BG391" s="8">
        <v>0.50520570076262639</v>
      </c>
      <c r="BH391" s="8">
        <v>54.257609527182829</v>
      </c>
      <c r="BI391" s="8">
        <v>46.32815385886353</v>
      </c>
    </row>
    <row r="392" spans="1:61" x14ac:dyDescent="0.15">
      <c r="A392" s="7">
        <v>2019</v>
      </c>
      <c r="B392" s="7">
        <v>65</v>
      </c>
      <c r="C392" s="7">
        <v>0.20791937401539437</v>
      </c>
      <c r="D392" s="7">
        <v>1.3427560942044954E-2</v>
      </c>
      <c r="E392" s="8">
        <v>24.433507003190009</v>
      </c>
      <c r="F392" s="8">
        <v>15.8920145981901</v>
      </c>
      <c r="G392" s="8">
        <v>0.6576437699386255</v>
      </c>
      <c r="H392" s="8">
        <v>58.593855157682242</v>
      </c>
      <c r="I392" s="8">
        <v>38.212401770723133</v>
      </c>
      <c r="J392" s="8">
        <v>28.263600273775701</v>
      </c>
      <c r="K392" s="8">
        <v>18.303238009789052</v>
      </c>
      <c r="L392" s="8">
        <v>0.64119943818256087</v>
      </c>
      <c r="M392" s="8">
        <v>49.967970048759867</v>
      </c>
      <c r="N392" s="8">
        <v>42.103487055180288</v>
      </c>
      <c r="O392" s="8">
        <v>288.92399999999998</v>
      </c>
      <c r="P392" s="8">
        <v>285.596</v>
      </c>
      <c r="Q392" s="8">
        <v>91.453800000000001</v>
      </c>
      <c r="R392" s="8">
        <v>-0.474298</v>
      </c>
      <c r="S392" s="8">
        <v>5.1781000000000001E-2</v>
      </c>
      <c r="T392" s="7">
        <f>C392-D392</f>
        <v>0.19449181307334942</v>
      </c>
      <c r="U392" s="8">
        <f>D392/C392</f>
        <v>6.4580614508058187E-2</v>
      </c>
      <c r="V392" s="8">
        <v>23.365024533572097</v>
      </c>
      <c r="W392" s="8">
        <v>14.025493815282449</v>
      </c>
      <c r="X392" s="8">
        <v>0.62546336442651917</v>
      </c>
      <c r="Y392" s="8">
        <v>61.666744221583727</v>
      </c>
      <c r="Z392" s="8">
        <v>36.482112064715047</v>
      </c>
      <c r="AA392" s="7">
        <v>25.814312403673899</v>
      </c>
      <c r="AB392" s="7">
        <v>16.16436591253575</v>
      </c>
      <c r="AC392" s="7">
        <v>0.63333140130454002</v>
      </c>
      <c r="AD392" s="7">
        <v>55.817357135171797</v>
      </c>
      <c r="AE392" s="7">
        <v>39.292799559947667</v>
      </c>
      <c r="AF392" s="8">
        <v>28.012377925888941</v>
      </c>
      <c r="AG392" s="8">
        <v>19.092148258652799</v>
      </c>
      <c r="AH392" s="8">
        <v>0.65692210190479161</v>
      </c>
      <c r="AI392" s="8">
        <v>49.73080210497541</v>
      </c>
      <c r="AJ392" s="8">
        <v>42.596622526140628</v>
      </c>
      <c r="AK392" s="8">
        <v>28.311729145114121</v>
      </c>
      <c r="AL392" s="8">
        <v>18.15209954545848</v>
      </c>
      <c r="AM392" s="8">
        <v>0.63818730942192403</v>
      </c>
      <c r="AN392" s="8">
        <v>50.013406394483141</v>
      </c>
      <c r="AO392" s="8">
        <v>42.009012762451533</v>
      </c>
      <c r="AP392" s="8">
        <v>27.848706866995151</v>
      </c>
      <c r="AQ392" s="8">
        <v>16.462994158704511</v>
      </c>
      <c r="AR392" s="8">
        <v>0.5916405964093685</v>
      </c>
      <c r="AS392" s="8">
        <v>51.298506270823523</v>
      </c>
      <c r="AT392" s="8">
        <v>40.820227858952151</v>
      </c>
      <c r="AU392" s="8">
        <v>26.667840945449111</v>
      </c>
      <c r="AV392" s="8">
        <v>18.62431274345829</v>
      </c>
      <c r="AW392" s="8">
        <v>0.68295153795274877</v>
      </c>
      <c r="AX392" s="8">
        <v>56.741817202322657</v>
      </c>
      <c r="AY392" s="8">
        <v>41.855107144338056</v>
      </c>
      <c r="AZ392" s="8">
        <v>29.128621823530441</v>
      </c>
      <c r="BA392" s="8">
        <v>20.549116463354341</v>
      </c>
      <c r="BB392" s="8">
        <v>0.70358071117301113</v>
      </c>
      <c r="BC392" s="8">
        <v>51.094702625869623</v>
      </c>
      <c r="BD392" s="8">
        <v>43.45693816677344</v>
      </c>
      <c r="BE392" s="8">
        <v>28.656591569999541</v>
      </c>
      <c r="BF392" s="8">
        <v>28.99458327556626</v>
      </c>
      <c r="BG392" s="8">
        <v>0.59899709418974034</v>
      </c>
      <c r="BH392" s="8">
        <v>60.440094565697663</v>
      </c>
      <c r="BI392" s="8">
        <v>55.921416877947351</v>
      </c>
    </row>
    <row r="393" spans="1:61" x14ac:dyDescent="0.15">
      <c r="A393" s="7">
        <v>2023</v>
      </c>
      <c r="B393" s="7">
        <v>65</v>
      </c>
      <c r="C393" s="9">
        <v>94.818029865903739</v>
      </c>
      <c r="D393" s="7">
        <v>87.655649047781765</v>
      </c>
      <c r="E393" s="8">
        <v>25.25383092084359</v>
      </c>
      <c r="F393" s="8">
        <v>15.843094868887951</v>
      </c>
      <c r="G393" s="8">
        <v>0.65830435802066745</v>
      </c>
      <c r="H393" s="8">
        <v>55.691203398440763</v>
      </c>
      <c r="I393" s="8">
        <v>38.390602996584008</v>
      </c>
      <c r="J393" s="8">
        <v>27.463899721794181</v>
      </c>
      <c r="K393" s="8">
        <v>14.994882035100741</v>
      </c>
      <c r="L393" s="8">
        <v>0.65296624582311702</v>
      </c>
      <c r="M393" s="8">
        <v>54.51264979921929</v>
      </c>
      <c r="N393" s="8">
        <v>41.222831698245663</v>
      </c>
      <c r="O393" s="7">
        <v>289.68200000000002</v>
      </c>
      <c r="P393" s="7">
        <v>285.83800000000002</v>
      </c>
      <c r="Q393" s="7">
        <v>91.482500000000002</v>
      </c>
      <c r="R393" s="7">
        <v>-0.42081299999999999</v>
      </c>
      <c r="S393" s="7">
        <v>0.11559</v>
      </c>
      <c r="T393" s="7">
        <f>C393-D393</f>
        <v>7.1623808181219744</v>
      </c>
      <c r="U393" s="8">
        <f>D393/C393</f>
        <v>0.92446182621331241</v>
      </c>
      <c r="V393" s="8">
        <v>24.462312969042738</v>
      </c>
      <c r="W393" s="8">
        <v>15.001758361834501</v>
      </c>
      <c r="X393" s="8">
        <v>0.64684096571385397</v>
      </c>
      <c r="Y393" s="8">
        <v>56.94079012017427</v>
      </c>
      <c r="Z393" s="8">
        <v>37.19158129942614</v>
      </c>
      <c r="AA393" s="7">
        <v>25.96310634541846</v>
      </c>
      <c r="AB393" s="7">
        <v>14.998320198467621</v>
      </c>
      <c r="AC393" s="7">
        <v>0.64990360576848549</v>
      </c>
      <c r="AD393" s="7">
        <v>55.72671995969678</v>
      </c>
      <c r="AE393" s="7">
        <v>39.207206498835902</v>
      </c>
      <c r="AF393" s="8">
        <v>27.15299082984026</v>
      </c>
      <c r="AG393" s="8">
        <v>15.683325273834919</v>
      </c>
      <c r="AH393" s="8">
        <v>0.66807057318031082</v>
      </c>
      <c r="AI393" s="8">
        <v>54.675453255144639</v>
      </c>
      <c r="AJ393" s="8">
        <v>41.364125023779437</v>
      </c>
      <c r="AK393" s="8">
        <v>27.531868410468139</v>
      </c>
      <c r="AL393" s="8">
        <v>14.84437947510918</v>
      </c>
      <c r="AM393" s="8">
        <v>0.64966424530033173</v>
      </c>
      <c r="AN393" s="8">
        <v>54.477058866643219</v>
      </c>
      <c r="AO393" s="8">
        <v>41.1919431572504</v>
      </c>
      <c r="AP393" s="8">
        <v>27.187152817336781</v>
      </c>
      <c r="AQ393" s="8">
        <v>13.46586566233173</v>
      </c>
      <c r="AR393" s="8">
        <v>0.63557319794113387</v>
      </c>
      <c r="AS393" s="8">
        <v>55.800658710741068</v>
      </c>
      <c r="AT393" s="8">
        <v>40.567142303221033</v>
      </c>
      <c r="AU393" s="8">
        <v>26.24862121658002</v>
      </c>
      <c r="AV393" s="8">
        <v>16.183687664530421</v>
      </c>
      <c r="AW393" s="8">
        <v>0.61424472597477309</v>
      </c>
      <c r="AX393" s="8">
        <v>51.050325451687613</v>
      </c>
      <c r="AY393" s="8">
        <v>40.567332171088211</v>
      </c>
      <c r="AZ393" s="8">
        <v>27.151373320702689</v>
      </c>
      <c r="BA393" s="8">
        <v>16.697451835522209</v>
      </c>
      <c r="BB393" s="8">
        <v>0.65316746515925661</v>
      </c>
      <c r="BC393" s="8">
        <v>53.378749036290962</v>
      </c>
      <c r="BD393" s="8">
        <v>42.176944193326172</v>
      </c>
      <c r="BE393" s="8">
        <v>29.223883069947</v>
      </c>
      <c r="BF393" s="8">
        <v>26.6900548231818</v>
      </c>
      <c r="BG393" s="8">
        <v>0.61499480860376898</v>
      </c>
      <c r="BH393" s="8">
        <v>48.183528990878557</v>
      </c>
      <c r="BI393" s="8">
        <v>50.203027252705951</v>
      </c>
    </row>
    <row r="394" spans="1:61" x14ac:dyDescent="0.15">
      <c r="A394" s="7">
        <v>2022</v>
      </c>
      <c r="B394" s="7">
        <v>118</v>
      </c>
      <c r="C394" s="7">
        <v>37.754328620513633</v>
      </c>
      <c r="D394" s="7">
        <v>32.545189552654428</v>
      </c>
      <c r="E394" s="8">
        <v>31.9462173711193</v>
      </c>
      <c r="F394" s="8">
        <v>22.70205782223471</v>
      </c>
      <c r="G394" s="8">
        <v>0.65866873649177904</v>
      </c>
      <c r="H394" s="8">
        <v>73.88798178562277</v>
      </c>
      <c r="I394" s="8">
        <v>53.902074967990508</v>
      </c>
      <c r="J394" s="8">
        <v>36.373036729944317</v>
      </c>
      <c r="K394" s="8">
        <v>28.19063877469635</v>
      </c>
      <c r="L394" s="8">
        <v>0.71356883022209583</v>
      </c>
      <c r="M394" s="8">
        <v>65.084893175088581</v>
      </c>
      <c r="N394" s="8">
        <v>70.885770485563015</v>
      </c>
      <c r="O394" s="8">
        <v>283.58499999999998</v>
      </c>
      <c r="P394" s="8">
        <v>275.048</v>
      </c>
      <c r="Q394" s="8">
        <v>88.812899999999999</v>
      </c>
      <c r="R394" s="8">
        <v>0.40949200000000002</v>
      </c>
      <c r="S394" s="8">
        <v>0.251052</v>
      </c>
      <c r="T394" s="7">
        <f>C394-D394</f>
        <v>5.2091390678592049</v>
      </c>
      <c r="U394" s="8">
        <f>D394/C394</f>
        <v>0.86202538203715151</v>
      </c>
      <c r="V394" s="8">
        <v>32.540512586898899</v>
      </c>
      <c r="W394" s="8">
        <v>24.31246271433891</v>
      </c>
      <c r="X394" s="8">
        <v>0.68014773941875351</v>
      </c>
      <c r="Y394" s="8">
        <v>66.742378550932528</v>
      </c>
      <c r="Z394" s="8">
        <v>54.752115301939341</v>
      </c>
      <c r="AA394" s="7">
        <v>34.456774658421608</v>
      </c>
      <c r="AB394" s="7">
        <v>26.25155074451763</v>
      </c>
      <c r="AC394" s="7">
        <v>0.69685828482042467</v>
      </c>
      <c r="AD394" s="7">
        <v>65.913635863010555</v>
      </c>
      <c r="AE394" s="7">
        <v>62.818942893751178</v>
      </c>
      <c r="AF394" s="8">
        <v>37.148564135267037</v>
      </c>
      <c r="AG394" s="8">
        <v>27.03057547529064</v>
      </c>
      <c r="AH394" s="8">
        <v>0.72096077462507691</v>
      </c>
      <c r="AI394" s="8">
        <v>66.980150496336734</v>
      </c>
      <c r="AJ394" s="8">
        <v>66.104486094198876</v>
      </c>
      <c r="AK394" s="8">
        <v>36.296522509088987</v>
      </c>
      <c r="AL394" s="8">
        <v>28.305091647525462</v>
      </c>
      <c r="AM394" s="8">
        <v>0.71283953443871262</v>
      </c>
      <c r="AN394" s="8">
        <v>64.897905408749978</v>
      </c>
      <c r="AO394" s="8">
        <v>71.357496239394678</v>
      </c>
      <c r="AP394" s="8">
        <v>35.708048358481079</v>
      </c>
      <c r="AQ394" s="8">
        <v>28.41888585194436</v>
      </c>
      <c r="AR394" s="8">
        <v>0.71123390403006315</v>
      </c>
      <c r="AS394" s="8">
        <v>61.577512189048129</v>
      </c>
      <c r="AT394" s="8">
        <v>68.326584624111192</v>
      </c>
      <c r="AU394" s="8">
        <v>35.654040228264478</v>
      </c>
      <c r="AV394" s="8">
        <v>27.104108110002329</v>
      </c>
      <c r="AW394" s="8">
        <v>0.72943785709698639</v>
      </c>
      <c r="AX394" s="8">
        <v>60.63588322147114</v>
      </c>
      <c r="AY394" s="8">
        <v>63.728024089421069</v>
      </c>
      <c r="AZ394" s="8">
        <v>37.303777325868182</v>
      </c>
      <c r="BA394" s="8">
        <v>30.46312346498453</v>
      </c>
      <c r="BB394" s="8">
        <v>0.72164758446222421</v>
      </c>
      <c r="BC394" s="8">
        <v>66.454843504542666</v>
      </c>
      <c r="BD394" s="8">
        <v>80.564362064812258</v>
      </c>
      <c r="BE394" s="8">
        <v>41.697826494967607</v>
      </c>
      <c r="BF394" s="8">
        <v>32.764103255678279</v>
      </c>
      <c r="BG394" s="8">
        <v>0.81441871154306766</v>
      </c>
      <c r="BH394" s="8">
        <v>61.803263267492461</v>
      </c>
      <c r="BI394" s="8">
        <v>95.806044319095136</v>
      </c>
    </row>
    <row r="395" spans="1:61" x14ac:dyDescent="0.15">
      <c r="A395" s="7">
        <v>2023</v>
      </c>
      <c r="B395" s="7">
        <v>32</v>
      </c>
      <c r="C395" s="9">
        <v>69.933393181222897</v>
      </c>
      <c r="D395" s="7">
        <v>17.189013968238317</v>
      </c>
      <c r="E395" s="8">
        <v>32.610500831984517</v>
      </c>
      <c r="F395" s="8">
        <v>24.289102066616881</v>
      </c>
      <c r="G395" s="8">
        <v>0.65879798255145938</v>
      </c>
      <c r="H395" s="8">
        <v>61.730935996598433</v>
      </c>
      <c r="I395" s="8">
        <v>51.639771864403947</v>
      </c>
      <c r="J395" s="8">
        <v>32.474629192034847</v>
      </c>
      <c r="K395" s="8">
        <v>26.091836513255831</v>
      </c>
      <c r="L395" s="8">
        <v>0.70164844945717209</v>
      </c>
      <c r="M395" s="8">
        <v>57.506511332550687</v>
      </c>
      <c r="N395" s="8">
        <v>53.642225969304043</v>
      </c>
      <c r="O395" s="7">
        <v>282.86599999999999</v>
      </c>
      <c r="P395" s="7">
        <v>274.16199999999998</v>
      </c>
      <c r="Q395" s="7">
        <v>100.568</v>
      </c>
      <c r="R395" s="7">
        <v>1.0410200000000001</v>
      </c>
      <c r="S395" s="7">
        <v>0.54633500000000002</v>
      </c>
      <c r="T395" s="7">
        <f>C395-D395</f>
        <v>52.744379212984583</v>
      </c>
      <c r="U395" s="8">
        <f>D395/C395</f>
        <v>0.24579121913468893</v>
      </c>
      <c r="V395" s="8">
        <v>18.441443797809391</v>
      </c>
      <c r="W395" s="8">
        <v>12.046573017079428</v>
      </c>
      <c r="X395" s="8">
        <v>0.60650718107977408</v>
      </c>
      <c r="Y395" s="8">
        <v>61.264332617616887</v>
      </c>
      <c r="Z395" s="8">
        <v>31.334426957161675</v>
      </c>
      <c r="AA395" s="7">
        <v>25.458036494922119</v>
      </c>
      <c r="AB395" s="7">
        <v>19.06920476516763</v>
      </c>
      <c r="AC395" s="7">
        <v>0.65407781526847308</v>
      </c>
      <c r="AD395" s="7">
        <v>59.385421975083787</v>
      </c>
      <c r="AE395" s="7">
        <v>42.488326463232859</v>
      </c>
      <c r="AF395" s="8">
        <v>35.644423292939727</v>
      </c>
      <c r="AG395" s="8">
        <v>28.77312287259031</v>
      </c>
      <c r="AH395" s="8">
        <v>0.72060567203876302</v>
      </c>
      <c r="AI395" s="8">
        <v>57.34262224645849</v>
      </c>
      <c r="AJ395" s="8">
        <v>58.024592777350293</v>
      </c>
      <c r="AK395" s="8">
        <v>32.09148039101742</v>
      </c>
      <c r="AL395" s="8">
        <v>25.76773607611069</v>
      </c>
      <c r="AM395" s="8">
        <v>0.69935699554201602</v>
      </c>
      <c r="AN395" s="8">
        <v>57.526321422681818</v>
      </c>
      <c r="AO395" s="8">
        <v>53.112507465618869</v>
      </c>
      <c r="AP395" s="8">
        <v>24.28254968888341</v>
      </c>
      <c r="AQ395" s="8">
        <v>17.699092478509669</v>
      </c>
      <c r="AR395" s="8">
        <v>0.64798718552282497</v>
      </c>
      <c r="AS395" s="8">
        <v>59.81975812053674</v>
      </c>
      <c r="AT395" s="8">
        <v>40.406895144069523</v>
      </c>
      <c r="AU395" s="8">
        <v>21.16444318118976</v>
      </c>
      <c r="AV395" s="8">
        <v>17.542937800015132</v>
      </c>
      <c r="AW395" s="8">
        <v>0.56855857409851829</v>
      </c>
      <c r="AX395" s="8">
        <v>57.488900533170231</v>
      </c>
      <c r="AY395" s="8">
        <v>37.400415739832432</v>
      </c>
      <c r="AZ395" s="8">
        <v>29.255711783759441</v>
      </c>
      <c r="BA395" s="8">
        <v>23.825120106211319</v>
      </c>
      <c r="BB395" s="8">
        <v>0.68294353871424696</v>
      </c>
      <c r="BC395" s="8">
        <v>56.92430972755524</v>
      </c>
      <c r="BD395" s="8">
        <v>49.406378144513369</v>
      </c>
      <c r="BE395" s="8">
        <v>22.04306288034303</v>
      </c>
      <c r="BF395" s="8">
        <v>26.43643108249054</v>
      </c>
      <c r="BG395" s="8">
        <v>0.49139769610971318</v>
      </c>
      <c r="BH395" s="8">
        <v>56.348240992317614</v>
      </c>
      <c r="BI395" s="8">
        <v>49.731117403444387</v>
      </c>
    </row>
    <row r="396" spans="1:61" x14ac:dyDescent="0.15">
      <c r="A396" s="7">
        <v>2019</v>
      </c>
      <c r="B396" s="7">
        <v>53</v>
      </c>
      <c r="C396" s="7">
        <v>166.22133059275257</v>
      </c>
      <c r="D396" s="7">
        <v>143.29206514314112</v>
      </c>
      <c r="E396" s="8">
        <v>27.902426886924349</v>
      </c>
      <c r="F396" s="8">
        <v>15.38395600284959</v>
      </c>
      <c r="G396" s="8">
        <v>0.66050708581547612</v>
      </c>
      <c r="H396" s="8">
        <v>58.054365768129259</v>
      </c>
      <c r="I396" s="8">
        <v>46.158342170360498</v>
      </c>
      <c r="J396" s="8">
        <v>34.050891754297929</v>
      </c>
      <c r="K396" s="8">
        <v>22.378835295604372</v>
      </c>
      <c r="L396" s="8">
        <v>0.66866911327024003</v>
      </c>
      <c r="M396" s="8">
        <v>58.480554672227363</v>
      </c>
      <c r="N396" s="8">
        <v>56.716833844791701</v>
      </c>
      <c r="O396" s="8">
        <v>278.12200000000001</v>
      </c>
      <c r="P396" s="8">
        <v>270.61799999999999</v>
      </c>
      <c r="Q396" s="8">
        <v>97.870899999999992</v>
      </c>
      <c r="R396" s="8">
        <v>1.4140200000000001</v>
      </c>
      <c r="S396" s="8">
        <v>0.56854700000000002</v>
      </c>
      <c r="T396" s="7">
        <f>C396-D396</f>
        <v>22.929265449611449</v>
      </c>
      <c r="U396" s="8">
        <f>D396/C396</f>
        <v>0.86205581818022581</v>
      </c>
      <c r="V396" s="8">
        <v>29.189792832310353</v>
      </c>
      <c r="W396" s="8">
        <v>16.625189694794191</v>
      </c>
      <c r="X396" s="8">
        <v>0.64520175887655662</v>
      </c>
      <c r="Y396" s="8">
        <v>58.413696420319333</v>
      </c>
      <c r="Z396" s="8">
        <v>46.398413657827255</v>
      </c>
      <c r="AA396" s="7">
        <v>31.620342293304141</v>
      </c>
      <c r="AB396" s="7">
        <v>19.502012495199281</v>
      </c>
      <c r="AC396" s="7">
        <v>0.65693543607339833</v>
      </c>
      <c r="AD396" s="7">
        <v>58.447125546273348</v>
      </c>
      <c r="AE396" s="7">
        <v>51.557623751309478</v>
      </c>
      <c r="AF396" s="8">
        <v>34.216407534288052</v>
      </c>
      <c r="AG396" s="8">
        <v>21.924614939664622</v>
      </c>
      <c r="AH396" s="8">
        <v>0.68665827494727505</v>
      </c>
      <c r="AI396" s="8">
        <v>58.037571801909593</v>
      </c>
      <c r="AJ396" s="8">
        <v>56.772646616604092</v>
      </c>
      <c r="AK396" s="8">
        <v>34.0322599251841</v>
      </c>
      <c r="AL396" s="8">
        <v>22.42996610653006</v>
      </c>
      <c r="AM396" s="8">
        <v>0.66664410401560859</v>
      </c>
      <c r="AN396" s="8">
        <v>58.530420498558883</v>
      </c>
      <c r="AO396" s="8">
        <v>56.710551096241453</v>
      </c>
      <c r="AP396" s="8">
        <v>34.544127007561542</v>
      </c>
      <c r="AQ396" s="8">
        <v>22.37228848825605</v>
      </c>
      <c r="AR396" s="8">
        <v>0.6514448081964711</v>
      </c>
      <c r="AS396" s="8">
        <v>58.807997643860411</v>
      </c>
      <c r="AT396" s="8">
        <v>55.615944987295329</v>
      </c>
      <c r="AU396" s="8">
        <v>30.761242099515549</v>
      </c>
      <c r="AV396" s="8">
        <v>20.26866048660747</v>
      </c>
      <c r="AW396" s="8">
        <v>0.61766794850952678</v>
      </c>
      <c r="AX396" s="8">
        <v>60.787503477071077</v>
      </c>
      <c r="AY396" s="8">
        <v>53.470972294773837</v>
      </c>
      <c r="AZ396" s="8">
        <v>34.168604403702297</v>
      </c>
      <c r="BA396" s="8">
        <v>23.06138287289351</v>
      </c>
      <c r="BB396" s="8">
        <v>0.67030953943497151</v>
      </c>
      <c r="BC396" s="8">
        <v>58.133961420109543</v>
      </c>
      <c r="BD396" s="8">
        <v>58.013388028183321</v>
      </c>
      <c r="BE396" s="8">
        <v>29.866562622859629</v>
      </c>
      <c r="BF396" s="8">
        <v>21.50927185280252</v>
      </c>
      <c r="BG396" s="8">
        <v>0.59322412047361661</v>
      </c>
      <c r="BH396" s="8">
        <v>63.541774676958688</v>
      </c>
      <c r="BI396" s="8">
        <v>53.163985867318523</v>
      </c>
    </row>
    <row r="397" spans="1:61" x14ac:dyDescent="0.15">
      <c r="A397" s="7">
        <v>2020</v>
      </c>
      <c r="B397" s="7">
        <v>6</v>
      </c>
      <c r="C397" s="7">
        <v>201.12197776503413</v>
      </c>
      <c r="D397" s="7">
        <v>24.315610973407541</v>
      </c>
      <c r="E397" s="8">
        <v>30.55466395218172</v>
      </c>
      <c r="F397" s="8">
        <v>30.03397107188632</v>
      </c>
      <c r="G397" s="8">
        <v>0.66054234534003076</v>
      </c>
      <c r="H397" s="8">
        <v>65.634917607663894</v>
      </c>
      <c r="I397" s="8">
        <v>44.267499102697997</v>
      </c>
      <c r="J397" s="8">
        <v>33.603544616625747</v>
      </c>
      <c r="K397" s="8">
        <v>34.330477919758827</v>
      </c>
      <c r="L397" s="8">
        <v>0.7537937253458733</v>
      </c>
      <c r="M397" s="8">
        <v>69.275916341083203</v>
      </c>
      <c r="N397" s="8">
        <v>49.829350360748457</v>
      </c>
      <c r="O397" s="8">
        <v>290.63299999999998</v>
      </c>
      <c r="P397" s="8">
        <v>286.32400000000001</v>
      </c>
      <c r="Q397" s="8">
        <v>101.61</v>
      </c>
      <c r="R397" s="8">
        <v>-0.74046999999999996</v>
      </c>
      <c r="S397" s="8">
        <v>-0.28312399999999999</v>
      </c>
      <c r="T397" s="7">
        <f>C397-D397</f>
        <v>176.8063667916266</v>
      </c>
      <c r="U397" s="8">
        <f>D397/C397</f>
        <v>0.12089982031608137</v>
      </c>
      <c r="V397" s="8">
        <v>34.027399456755752</v>
      </c>
      <c r="W397" s="8">
        <v>28.814483311000551</v>
      </c>
      <c r="X397" s="8">
        <v>0.85797808721642266</v>
      </c>
      <c r="Y397" s="8">
        <v>70.466430536544678</v>
      </c>
      <c r="Z397" s="8">
        <v>49.341727415868725</v>
      </c>
      <c r="AA397" s="7">
        <v>33.81547203669075</v>
      </c>
      <c r="AB397" s="7">
        <v>31.572480615379689</v>
      </c>
      <c r="AC397" s="7">
        <v>0.80588590628114798</v>
      </c>
      <c r="AD397" s="7">
        <v>69.87117343881394</v>
      </c>
      <c r="AE397" s="7">
        <v>49.585538888308591</v>
      </c>
      <c r="AF397" s="8">
        <v>33.442755070506657</v>
      </c>
      <c r="AG397" s="8">
        <v>35.766266693464267</v>
      </c>
      <c r="AH397" s="8">
        <v>0.7249664451213228</v>
      </c>
      <c r="AI397" s="8">
        <v>69.17422492329456</v>
      </c>
      <c r="AJ397" s="8">
        <v>47.87223052239716</v>
      </c>
      <c r="AK397" s="8">
        <v>33.613599485562382</v>
      </c>
      <c r="AL397" s="8">
        <v>34.240691809350942</v>
      </c>
      <c r="AM397" s="8">
        <v>0.7555964204305553</v>
      </c>
      <c r="AN397" s="8">
        <v>69.28227554727863</v>
      </c>
      <c r="AO397" s="8">
        <v>49.951737567770692</v>
      </c>
      <c r="AP397" s="8">
        <v>32.184275063512949</v>
      </c>
      <c r="AQ397" s="8">
        <v>31.755793783044329</v>
      </c>
      <c r="AR397" s="8">
        <v>0.72224163746798975</v>
      </c>
      <c r="AS397" s="8">
        <v>69.404229839244238</v>
      </c>
      <c r="AT397" s="8">
        <v>46.110258027736293</v>
      </c>
      <c r="AU397" s="8">
        <v>32.583713166613947</v>
      </c>
      <c r="AV397" s="8">
        <v>28.915763992705759</v>
      </c>
      <c r="AW397" s="8">
        <v>0.77286606238890987</v>
      </c>
      <c r="AX397" s="8">
        <v>63.436579700654413</v>
      </c>
      <c r="AY397" s="8">
        <v>58.863814078559813</v>
      </c>
      <c r="AZ397" s="8">
        <v>34.320176384094481</v>
      </c>
      <c r="BA397" s="8">
        <v>33.254000481414671</v>
      </c>
      <c r="BB397" s="8">
        <v>0.77313029805756073</v>
      </c>
      <c r="BC397" s="8">
        <v>68.576836867330684</v>
      </c>
      <c r="BD397" s="8">
        <v>52.795154365831372</v>
      </c>
      <c r="BE397" s="8">
        <v>40.962147825020139</v>
      </c>
      <c r="BF397" s="8">
        <v>33.07371465646613</v>
      </c>
      <c r="BG397" s="8">
        <v>0.61385236344170402</v>
      </c>
      <c r="BH397" s="8">
        <v>62.451144469313341</v>
      </c>
      <c r="BI397" s="8">
        <v>58.214748832080133</v>
      </c>
    </row>
    <row r="398" spans="1:61" x14ac:dyDescent="0.15">
      <c r="A398" s="7">
        <v>2020</v>
      </c>
      <c r="B398" s="7">
        <v>5</v>
      </c>
      <c r="C398" s="7">
        <v>133.88152297969802</v>
      </c>
      <c r="D398" s="7">
        <v>121.1345116893828</v>
      </c>
      <c r="E398" s="8">
        <v>22.479446784385271</v>
      </c>
      <c r="F398" s="8">
        <v>20.759997538417409</v>
      </c>
      <c r="G398" s="8">
        <v>0.66073921409886816</v>
      </c>
      <c r="H398" s="8">
        <v>57.463768716759787</v>
      </c>
      <c r="I398" s="8">
        <v>34.237595871709352</v>
      </c>
      <c r="J398" s="8">
        <v>25.277721679662591</v>
      </c>
      <c r="K398" s="8">
        <v>26.434905677866581</v>
      </c>
      <c r="L398" s="8">
        <v>0.71866587124452963</v>
      </c>
      <c r="M398" s="8">
        <v>56.198330542668863</v>
      </c>
      <c r="N398" s="8">
        <v>41.545202982072823</v>
      </c>
      <c r="O398" s="8">
        <v>296.18900000000002</v>
      </c>
      <c r="P398" s="8">
        <v>291.61700000000002</v>
      </c>
      <c r="Q398" s="8">
        <v>100.23099999999999</v>
      </c>
      <c r="R398" s="8">
        <v>-0.619896</v>
      </c>
      <c r="S398" s="8">
        <v>-0.27493800000000002</v>
      </c>
      <c r="T398" s="7">
        <f>C398-D398</f>
        <v>12.747011290315214</v>
      </c>
      <c r="U398" s="8">
        <f>D398/C398</f>
        <v>0.90478886849645268</v>
      </c>
      <c r="V398" s="8">
        <v>22.839382503643968</v>
      </c>
      <c r="W398" s="8">
        <v>19.857490728905915</v>
      </c>
      <c r="X398" s="8">
        <v>0.67868768633299659</v>
      </c>
      <c r="Y398" s="8">
        <v>58.733490505719082</v>
      </c>
      <c r="Z398" s="8">
        <v>33.600921545606852</v>
      </c>
      <c r="AA398" s="7">
        <v>24.058552091653279</v>
      </c>
      <c r="AB398" s="7">
        <v>23.146198203386248</v>
      </c>
      <c r="AC398" s="7">
        <v>0.69867677878876311</v>
      </c>
      <c r="AD398" s="7">
        <v>57.465910524193973</v>
      </c>
      <c r="AE398" s="7">
        <v>37.573062263839837</v>
      </c>
      <c r="AF398" s="8">
        <v>25.309002024470072</v>
      </c>
      <c r="AG398" s="8">
        <v>25.233784351799411</v>
      </c>
      <c r="AH398" s="8">
        <v>0.71725930287120021</v>
      </c>
      <c r="AI398" s="8">
        <v>56.112951471469238</v>
      </c>
      <c r="AJ398" s="8">
        <v>41.508709748336209</v>
      </c>
      <c r="AK398" s="8">
        <v>25.27067111865691</v>
      </c>
      <c r="AL398" s="8">
        <v>26.705637322187371</v>
      </c>
      <c r="AM398" s="8">
        <v>0.71898291046471252</v>
      </c>
      <c r="AN398" s="8">
        <v>56.217574906943149</v>
      </c>
      <c r="AO398" s="8">
        <v>41.553428523457931</v>
      </c>
      <c r="AP398" s="8">
        <v>23.86736950725728</v>
      </c>
      <c r="AQ398" s="8">
        <v>23.035394163822609</v>
      </c>
      <c r="AR398" s="8">
        <v>0.69045233761551505</v>
      </c>
      <c r="AS398" s="8">
        <v>57.123328927105632</v>
      </c>
      <c r="AT398" s="8">
        <v>37.189996322953718</v>
      </c>
      <c r="AU398" s="8">
        <v>24.340553871850929</v>
      </c>
      <c r="AV398" s="8">
        <v>24.901963924991819</v>
      </c>
      <c r="AW398" s="8">
        <v>0.69756282722990104</v>
      </c>
      <c r="AX398" s="8">
        <v>58.211776642237822</v>
      </c>
      <c r="AY398" s="8">
        <v>37.465964643900953</v>
      </c>
      <c r="AZ398" s="8">
        <v>26.139743321045621</v>
      </c>
      <c r="BA398" s="8">
        <v>28.148257190232162</v>
      </c>
      <c r="BB398" s="8">
        <v>0.72683048840957887</v>
      </c>
      <c r="BC398" s="8">
        <v>56.928586744030127</v>
      </c>
      <c r="BD398" s="8">
        <v>42.852307683936033</v>
      </c>
      <c r="BE398" s="8">
        <v>23.429032995373468</v>
      </c>
      <c r="BF398" s="8">
        <v>23.638046194516619</v>
      </c>
      <c r="BG398" s="8">
        <v>0.70101437616834339</v>
      </c>
      <c r="BH398" s="8">
        <v>55.234783908235599</v>
      </c>
      <c r="BI398" s="8">
        <v>37.54779003350226</v>
      </c>
    </row>
    <row r="399" spans="1:61" x14ac:dyDescent="0.15">
      <c r="A399" s="7">
        <v>2020</v>
      </c>
      <c r="B399" s="7">
        <v>9</v>
      </c>
      <c r="C399" s="7">
        <v>64.363619032793778</v>
      </c>
      <c r="D399" s="7">
        <v>7.4280932628987726</v>
      </c>
      <c r="E399" s="8">
        <v>22.503445104119439</v>
      </c>
      <c r="F399" s="8">
        <v>21.190350204919842</v>
      </c>
      <c r="G399" s="8">
        <v>0.66161120848305022</v>
      </c>
      <c r="H399" s="8">
        <v>66.690947845771319</v>
      </c>
      <c r="I399" s="8">
        <v>32.419327161391557</v>
      </c>
      <c r="J399" s="8">
        <v>31.153008181462539</v>
      </c>
      <c r="K399" s="8">
        <v>28.975495622646989</v>
      </c>
      <c r="L399" s="8">
        <v>0.76583804090541741</v>
      </c>
      <c r="M399" s="8">
        <v>65.460042124620145</v>
      </c>
      <c r="N399" s="8">
        <v>47.025070878853917</v>
      </c>
      <c r="O399" s="8">
        <v>290.50799999999998</v>
      </c>
      <c r="P399" s="8">
        <v>285.97699999999998</v>
      </c>
      <c r="Q399" s="8">
        <v>98.458300000000008</v>
      </c>
      <c r="R399" s="8">
        <v>-0.37730000000000002</v>
      </c>
      <c r="S399" s="8">
        <v>-0.29720099999999999</v>
      </c>
      <c r="T399" s="7">
        <f>C399-D399</f>
        <v>56.935525769895008</v>
      </c>
      <c r="U399" s="8">
        <f>D399/C399</f>
        <v>0.11540825973620439</v>
      </c>
      <c r="V399" s="8">
        <v>19.049391730110464</v>
      </c>
      <c r="W399" s="8">
        <v>17.279788851589331</v>
      </c>
      <c r="X399" s="8">
        <v>0.62305392403497983</v>
      </c>
      <c r="Y399" s="8">
        <v>67.187381910388638</v>
      </c>
      <c r="Z399" s="8">
        <v>27.183399119929739</v>
      </c>
      <c r="AA399" s="7">
        <v>25.101199955786502</v>
      </c>
      <c r="AB399" s="7">
        <v>23.12764223711816</v>
      </c>
      <c r="AC399" s="7">
        <v>0.69444598247019862</v>
      </c>
      <c r="AD399" s="7">
        <v>66.323712017504391</v>
      </c>
      <c r="AE399" s="7">
        <v>37.104234999391828</v>
      </c>
      <c r="AF399" s="8">
        <v>31.35073332370429</v>
      </c>
      <c r="AG399" s="8">
        <v>30.672682664505722</v>
      </c>
      <c r="AH399" s="8">
        <v>0.7548610979426762</v>
      </c>
      <c r="AI399" s="8">
        <v>64.798169318763826</v>
      </c>
      <c r="AJ399" s="8">
        <v>46.517236959125022</v>
      </c>
      <c r="AK399" s="8">
        <v>31.1357480437734</v>
      </c>
      <c r="AL399" s="8">
        <v>28.827342071234149</v>
      </c>
      <c r="AM399" s="8">
        <v>0.76679625767438664</v>
      </c>
      <c r="AN399" s="8">
        <v>65.51781937860143</v>
      </c>
      <c r="AO399" s="8">
        <v>47.069401525317822</v>
      </c>
      <c r="AP399" s="8">
        <v>30.32458150863906</v>
      </c>
      <c r="AQ399" s="8">
        <v>27.512749688372121</v>
      </c>
      <c r="AR399" s="8">
        <v>0.75118483329781782</v>
      </c>
      <c r="AS399" s="8">
        <v>65.976501963095558</v>
      </c>
      <c r="AT399" s="8">
        <v>45.623838155118477</v>
      </c>
      <c r="AU399" s="8">
        <v>27.351233482413871</v>
      </c>
      <c r="AV399" s="8">
        <v>21.423703223400231</v>
      </c>
      <c r="AW399" s="8">
        <v>0.72451143899738601</v>
      </c>
      <c r="AX399" s="8">
        <v>66.082556508526949</v>
      </c>
      <c r="AY399" s="8">
        <v>43.451378191992319</v>
      </c>
      <c r="AZ399" s="8">
        <v>32.108980291298657</v>
      </c>
      <c r="BA399" s="8">
        <v>29.848558550338179</v>
      </c>
      <c r="BB399" s="8">
        <v>0.7841262425206903</v>
      </c>
      <c r="BC399" s="8">
        <v>64.728905652062551</v>
      </c>
      <c r="BD399" s="8">
        <v>50.58005735296814</v>
      </c>
      <c r="BE399" s="8">
        <v>39.404058638928852</v>
      </c>
      <c r="BF399" s="8">
        <v>31.551838697897299</v>
      </c>
      <c r="BG399" s="8">
        <v>0.59414473799315459</v>
      </c>
      <c r="BH399" s="8">
        <v>62.808764162076237</v>
      </c>
      <c r="BI399" s="8">
        <v>56.582948610124753</v>
      </c>
    </row>
    <row r="400" spans="1:61" x14ac:dyDescent="0.15">
      <c r="A400" s="7">
        <v>2021</v>
      </c>
      <c r="B400" s="7">
        <v>149</v>
      </c>
      <c r="C400" s="7">
        <v>12.224506618011686</v>
      </c>
      <c r="D400" s="7">
        <v>9.2216816031690616</v>
      </c>
      <c r="E400" s="8">
        <v>34.905478872669953</v>
      </c>
      <c r="F400" s="8">
        <v>22.936037628593091</v>
      </c>
      <c r="G400" s="8">
        <v>0.66188264297509436</v>
      </c>
      <c r="H400" s="8">
        <v>74.677763575399169</v>
      </c>
      <c r="I400" s="8">
        <v>46.721019017337433</v>
      </c>
      <c r="J400" s="8">
        <v>37.729829332271578</v>
      </c>
      <c r="K400" s="8">
        <v>22.9023727178763</v>
      </c>
      <c r="L400" s="8">
        <v>0.64962887200821573</v>
      </c>
      <c r="M400" s="8">
        <v>73.834316535501983</v>
      </c>
      <c r="N400" s="8">
        <v>58.215700693342853</v>
      </c>
      <c r="O400" s="8">
        <v>289.34300000000002</v>
      </c>
      <c r="P400" s="8">
        <v>283.17899999999997</v>
      </c>
      <c r="Q400" s="8">
        <v>101.19499999999999</v>
      </c>
      <c r="R400" s="8">
        <v>-0.58716500000000005</v>
      </c>
      <c r="S400" s="8">
        <v>0.14089199999999999</v>
      </c>
      <c r="T400" s="7">
        <f>C400-D400</f>
        <v>3.0028250148426245</v>
      </c>
      <c r="U400" s="8">
        <f>D400/C400</f>
        <v>0.75436022829598393</v>
      </c>
      <c r="V400" s="8">
        <v>30.533573726669317</v>
      </c>
      <c r="W400" s="8">
        <v>24.448053452154898</v>
      </c>
      <c r="X400" s="8">
        <v>0.6413220664980559</v>
      </c>
      <c r="Y400" s="8">
        <v>68.411347160366745</v>
      </c>
      <c r="Z400" s="8">
        <v>47.595177507319832</v>
      </c>
      <c r="AA400" s="7">
        <v>34.131701529470448</v>
      </c>
      <c r="AB400" s="7">
        <v>23.675213085015599</v>
      </c>
      <c r="AC400" s="7">
        <v>0.64547546925313581</v>
      </c>
      <c r="AD400" s="7">
        <v>71.122831847934364</v>
      </c>
      <c r="AE400" s="7">
        <v>52.905439100331343</v>
      </c>
      <c r="AF400" s="8">
        <v>37.824390172040083</v>
      </c>
      <c r="AG400" s="8">
        <v>22.102473222563379</v>
      </c>
      <c r="AH400" s="8">
        <v>0.62691151954422875</v>
      </c>
      <c r="AI400" s="8">
        <v>75.352336701306058</v>
      </c>
      <c r="AJ400" s="8">
        <v>54.547748884558693</v>
      </c>
      <c r="AK400" s="8">
        <v>37.720096977356803</v>
      </c>
      <c r="AL400" s="8">
        <v>22.984699670593741</v>
      </c>
      <c r="AM400" s="8">
        <v>0.65196697874928378</v>
      </c>
      <c r="AN400" s="8">
        <v>73.678079439283565</v>
      </c>
      <c r="AO400" s="8">
        <v>58.593212239357108</v>
      </c>
      <c r="AP400" s="8">
        <v>33.577966643719577</v>
      </c>
      <c r="AQ400" s="8">
        <v>23.82643219435354</v>
      </c>
      <c r="AR400" s="8">
        <v>0.64522971211487945</v>
      </c>
      <c r="AS400" s="8">
        <v>70.592466346347877</v>
      </c>
      <c r="AT400" s="8">
        <v>51.588742602130957</v>
      </c>
      <c r="AU400" s="8">
        <v>32.176537787427307</v>
      </c>
      <c r="AV400" s="8">
        <v>20.04390543579758</v>
      </c>
      <c r="AW400" s="8">
        <v>0.55875474204446418</v>
      </c>
      <c r="AX400" s="8">
        <v>73.419359666105166</v>
      </c>
      <c r="AY400" s="8">
        <v>56.639595612567767</v>
      </c>
      <c r="AZ400" s="8">
        <v>36.558986046912842</v>
      </c>
      <c r="BA400" s="8">
        <v>22.72286847151479</v>
      </c>
      <c r="BB400" s="8">
        <v>0.64404914790248535</v>
      </c>
      <c r="BC400" s="8">
        <v>73.714384164970269</v>
      </c>
      <c r="BD400" s="8">
        <v>59.086373031812769</v>
      </c>
      <c r="BE400" s="8">
        <v>42.463716376797272</v>
      </c>
      <c r="BF400" s="8">
        <v>30.0676610867215</v>
      </c>
      <c r="BG400" s="8">
        <v>0.76451291943372413</v>
      </c>
      <c r="BH400" s="8">
        <v>70.76748928807821</v>
      </c>
      <c r="BI400" s="8">
        <v>72.560380700972999</v>
      </c>
    </row>
    <row r="401" spans="1:61" x14ac:dyDescent="0.15">
      <c r="A401" s="7">
        <v>2020</v>
      </c>
      <c r="B401" s="7">
        <v>17</v>
      </c>
      <c r="C401" s="7">
        <v>124.77147533330064</v>
      </c>
      <c r="D401" s="7">
        <v>34.970846280801197</v>
      </c>
      <c r="E401" s="8">
        <v>23.15676774721722</v>
      </c>
      <c r="F401" s="8">
        <v>22.26152629274943</v>
      </c>
      <c r="G401" s="8">
        <v>0.66214047815605004</v>
      </c>
      <c r="H401" s="8">
        <v>54.806674537005662</v>
      </c>
      <c r="I401" s="8">
        <v>35.426673208894933</v>
      </c>
      <c r="J401" s="8">
        <v>26.143799544194959</v>
      </c>
      <c r="K401" s="8">
        <v>27.998276588746432</v>
      </c>
      <c r="L401" s="8">
        <v>0.7638512208737176</v>
      </c>
      <c r="M401" s="8">
        <v>56.682704194392549</v>
      </c>
      <c r="N401" s="8">
        <v>42.639285359892213</v>
      </c>
      <c r="O401" s="8">
        <v>296.37</v>
      </c>
      <c r="P401" s="8">
        <v>291.697</v>
      </c>
      <c r="Q401" s="8">
        <v>100.50700000000001</v>
      </c>
      <c r="R401" s="8">
        <v>-0.70176499999999997</v>
      </c>
      <c r="S401" s="8">
        <v>-0.32511000000000001</v>
      </c>
      <c r="T401" s="7">
        <f>C401-D401</f>
        <v>89.800629052499445</v>
      </c>
      <c r="U401" s="8">
        <f>D401/C401</f>
        <v>0.28027917588843099</v>
      </c>
      <c r="V401" s="8">
        <v>25.756670733147818</v>
      </c>
      <c r="W401" s="8">
        <v>21.566790968896388</v>
      </c>
      <c r="X401" s="8">
        <v>0.73146322527198859</v>
      </c>
      <c r="Y401" s="8">
        <v>57.07413034463449</v>
      </c>
      <c r="Z401" s="8">
        <v>37.020786868652394</v>
      </c>
      <c r="AA401" s="7">
        <v>25.950235138671388</v>
      </c>
      <c r="AB401" s="7">
        <v>24.78253377882141</v>
      </c>
      <c r="AC401" s="7">
        <v>0.74765722307285309</v>
      </c>
      <c r="AD401" s="7">
        <v>56.87841726951352</v>
      </c>
      <c r="AE401" s="7">
        <v>39.830036114272303</v>
      </c>
      <c r="AF401" s="8">
        <v>26.17417333502377</v>
      </c>
      <c r="AG401" s="8">
        <v>27.175379750674288</v>
      </c>
      <c r="AH401" s="8">
        <v>0.78911592079639981</v>
      </c>
      <c r="AI401" s="8">
        <v>55.931342727088008</v>
      </c>
      <c r="AJ401" s="8">
        <v>42.616171239867853</v>
      </c>
      <c r="AK401" s="8">
        <v>26.139430096806478</v>
      </c>
      <c r="AL401" s="8">
        <v>28.116655109898719</v>
      </c>
      <c r="AM401" s="8">
        <v>0.76021674608194389</v>
      </c>
      <c r="AN401" s="8">
        <v>56.790791934234541</v>
      </c>
      <c r="AO401" s="8">
        <v>42.642610461192419</v>
      </c>
      <c r="AP401" s="8">
        <v>25.01478725640769</v>
      </c>
      <c r="AQ401" s="8">
        <v>23.896475632758559</v>
      </c>
      <c r="AR401" s="8">
        <v>0.74084747075456048</v>
      </c>
      <c r="AS401" s="8">
        <v>57.069118840718303</v>
      </c>
      <c r="AT401" s="8">
        <v>38.429847394266481</v>
      </c>
      <c r="AU401" s="8">
        <v>25.96017428327503</v>
      </c>
      <c r="AV401" s="8">
        <v>22.208609839934731</v>
      </c>
      <c r="AW401" s="8">
        <v>0.69377453326046024</v>
      </c>
      <c r="AX401" s="8">
        <v>55.090114751166503</v>
      </c>
      <c r="AY401" s="8">
        <v>40.254661003837853</v>
      </c>
      <c r="AZ401" s="8">
        <v>27.039297083497491</v>
      </c>
      <c r="BA401" s="8">
        <v>27.85114681182192</v>
      </c>
      <c r="BB401" s="8">
        <v>0.75212609419607801</v>
      </c>
      <c r="BC401" s="8">
        <v>57.421108165165819</v>
      </c>
      <c r="BD401" s="8">
        <v>43.378036095610099</v>
      </c>
      <c r="BE401" s="8">
        <v>24.138223509262659</v>
      </c>
      <c r="BF401" s="8">
        <v>20.38931669166741</v>
      </c>
      <c r="BG401" s="8">
        <v>0.69671664053685267</v>
      </c>
      <c r="BH401" s="8">
        <v>53.456849382199117</v>
      </c>
      <c r="BI401" s="8">
        <v>38.678702294597137</v>
      </c>
    </row>
    <row r="402" spans="1:61" x14ac:dyDescent="0.15">
      <c r="A402" s="7">
        <v>2022</v>
      </c>
      <c r="B402" s="7">
        <v>69</v>
      </c>
      <c r="C402" s="7">
        <v>228.09911808345115</v>
      </c>
      <c r="D402" s="7">
        <v>154.31997290046743</v>
      </c>
      <c r="E402" s="8">
        <v>30.970384902490199</v>
      </c>
      <c r="F402" s="8">
        <v>24.42227525671305</v>
      </c>
      <c r="G402" s="8">
        <v>0.66276922088791967</v>
      </c>
      <c r="H402" s="8">
        <v>68.23655411937817</v>
      </c>
      <c r="I402" s="8">
        <v>53.484576180573171</v>
      </c>
      <c r="J402" s="8">
        <v>37.939936254846273</v>
      </c>
      <c r="K402" s="8">
        <v>35.942060275381671</v>
      </c>
      <c r="L402" s="8">
        <v>0.66797168011399866</v>
      </c>
      <c r="M402" s="8">
        <v>63.081137862937979</v>
      </c>
      <c r="N402" s="8">
        <v>72.225427735211127</v>
      </c>
      <c r="O402" s="8">
        <v>283.43900000000002</v>
      </c>
      <c r="P402" s="8">
        <v>274.30799999999999</v>
      </c>
      <c r="Q402" s="8">
        <v>94.017399999999995</v>
      </c>
      <c r="R402" s="8">
        <v>0.52428699999999995</v>
      </c>
      <c r="S402" s="8">
        <v>-9.9745399999999998E-2</v>
      </c>
      <c r="T402" s="7">
        <f>C402-D402</f>
        <v>73.779145182983711</v>
      </c>
      <c r="U402" s="8">
        <f>D402/C402</f>
        <v>0.67654787180724096</v>
      </c>
      <c r="V402" s="8">
        <v>35.370744229771347</v>
      </c>
      <c r="W402" s="8">
        <v>30.574487029624713</v>
      </c>
      <c r="X402" s="8">
        <v>0.6772399664070804</v>
      </c>
      <c r="Y402" s="8">
        <v>64.13590607805294</v>
      </c>
      <c r="Z402" s="8">
        <v>55.633793237516386</v>
      </c>
      <c r="AA402" s="7">
        <v>36.65534024230881</v>
      </c>
      <c r="AB402" s="7">
        <v>33.258273652503192</v>
      </c>
      <c r="AC402" s="7">
        <v>0.67260582326053953</v>
      </c>
      <c r="AD402" s="7">
        <v>63.60852197049546</v>
      </c>
      <c r="AE402" s="7">
        <v>63.929610486363757</v>
      </c>
      <c r="AF402" s="8">
        <v>36.759705663647473</v>
      </c>
      <c r="AG402" s="8">
        <v>33.965496647316748</v>
      </c>
      <c r="AH402" s="8">
        <v>0.71365257290113526</v>
      </c>
      <c r="AI402" s="8">
        <v>62.459605486551432</v>
      </c>
      <c r="AJ402" s="8">
        <v>59.602779254382362</v>
      </c>
      <c r="AK402" s="8">
        <v>38.168346133748351</v>
      </c>
      <c r="AL402" s="8">
        <v>36.324584387445228</v>
      </c>
      <c r="AM402" s="8">
        <v>0.65913106263851784</v>
      </c>
      <c r="AN402" s="8">
        <v>63.201422946109702</v>
      </c>
      <c r="AO402" s="8">
        <v>74.668287319117667</v>
      </c>
      <c r="AP402" s="8">
        <v>39.002681120638528</v>
      </c>
      <c r="AQ402" s="8">
        <v>36.780737794914408</v>
      </c>
      <c r="AR402" s="8">
        <v>0.66857795866653058</v>
      </c>
      <c r="AS402" s="8">
        <v>61.883014578755642</v>
      </c>
      <c r="AT402" s="8">
        <v>67.190959128481722</v>
      </c>
      <c r="AU402" s="8">
        <v>36.27007811674013</v>
      </c>
      <c r="AV402" s="8">
        <v>31.82612383231227</v>
      </c>
      <c r="AW402" s="8">
        <v>0.73715076873450691</v>
      </c>
      <c r="AX402" s="8">
        <v>62.128790797137661</v>
      </c>
      <c r="AY402" s="8">
        <v>55.089945999410581</v>
      </c>
      <c r="AZ402" s="8">
        <v>38.319590247090623</v>
      </c>
      <c r="BA402" s="8">
        <v>37.14221633422855</v>
      </c>
      <c r="BB402" s="8">
        <v>0.63221143534110447</v>
      </c>
      <c r="BC402" s="8">
        <v>63.720151688205007</v>
      </c>
      <c r="BD402" s="8">
        <v>78.57696487013628</v>
      </c>
      <c r="BE402" s="8">
        <v>40.346724583465793</v>
      </c>
      <c r="BF402" s="8">
        <v>32.426022005803013</v>
      </c>
      <c r="BG402" s="8">
        <v>0.73554018965305112</v>
      </c>
      <c r="BH402" s="8">
        <v>63.911328713601272</v>
      </c>
      <c r="BI402" s="8">
        <v>102.86851699986239</v>
      </c>
    </row>
    <row r="403" spans="1:61" x14ac:dyDescent="0.15">
      <c r="A403" s="7">
        <v>2020</v>
      </c>
      <c r="B403" s="7">
        <v>147</v>
      </c>
      <c r="C403" s="7">
        <v>5.6186764648047678</v>
      </c>
      <c r="D403" s="7">
        <v>0.2631840547713028</v>
      </c>
      <c r="E403" s="8">
        <v>32.972099975947692</v>
      </c>
      <c r="F403" s="8">
        <v>22.302051341372039</v>
      </c>
      <c r="G403" s="8">
        <v>0.66334843253321851</v>
      </c>
      <c r="H403" s="8">
        <v>77.331134403177103</v>
      </c>
      <c r="I403" s="8">
        <v>65.35535120743512</v>
      </c>
      <c r="J403" s="8">
        <v>33.906824296431083</v>
      </c>
      <c r="K403" s="8">
        <v>31.457261152173501</v>
      </c>
      <c r="L403" s="8">
        <v>0.75989697812245605</v>
      </c>
      <c r="M403" s="8">
        <v>57.965220405279517</v>
      </c>
      <c r="N403" s="8">
        <v>66.662089811166098</v>
      </c>
      <c r="O403" s="8">
        <v>282.94</v>
      </c>
      <c r="P403" s="8">
        <v>273.74400000000003</v>
      </c>
      <c r="Q403" s="8">
        <v>87.409899999999993</v>
      </c>
      <c r="R403" s="8">
        <v>0.218417</v>
      </c>
      <c r="S403" s="8">
        <v>-5.3522800000000002E-2</v>
      </c>
      <c r="T403" s="7">
        <f>C403-D403</f>
        <v>5.3554924100334649</v>
      </c>
      <c r="U403" s="8">
        <f>D403/C403</f>
        <v>4.6840934234224085E-2</v>
      </c>
      <c r="V403" s="8">
        <v>35.100227847126874</v>
      </c>
      <c r="W403" s="8">
        <v>23.747173488466281</v>
      </c>
      <c r="X403" s="8">
        <v>0.69023216616189531</v>
      </c>
      <c r="Y403" s="8">
        <v>74.709597861312375</v>
      </c>
      <c r="Z403" s="8">
        <v>67.384574599182017</v>
      </c>
      <c r="AA403" s="7">
        <v>34.503526071778978</v>
      </c>
      <c r="AB403" s="7">
        <v>27.602217320319891</v>
      </c>
      <c r="AC403" s="7">
        <v>0.72506457214217568</v>
      </c>
      <c r="AD403" s="7">
        <v>66.337409133295949</v>
      </c>
      <c r="AE403" s="7">
        <v>67.023332205174057</v>
      </c>
      <c r="AF403" s="8">
        <v>33.540220565914183</v>
      </c>
      <c r="AG403" s="8">
        <v>29.950602453058838</v>
      </c>
      <c r="AH403" s="8">
        <v>0.74874541152048124</v>
      </c>
      <c r="AI403" s="8">
        <v>59.009907390932682</v>
      </c>
      <c r="AJ403" s="8">
        <v>65.562278233842193</v>
      </c>
      <c r="AK403" s="8">
        <v>33.983662880553617</v>
      </c>
      <c r="AL403" s="8">
        <v>31.773050413326501</v>
      </c>
      <c r="AM403" s="8">
        <v>0.76223429909634721</v>
      </c>
      <c r="AN403" s="8">
        <v>57.746258452231089</v>
      </c>
      <c r="AO403" s="8">
        <v>66.892605644390116</v>
      </c>
      <c r="AP403" s="8">
        <v>35.849682508294613</v>
      </c>
      <c r="AQ403" s="8">
        <v>31.308272251534479</v>
      </c>
      <c r="AR403" s="8">
        <v>0.73636199591049734</v>
      </c>
      <c r="AS403" s="8">
        <v>57.64578136226023</v>
      </c>
      <c r="AT403" s="8">
        <v>67.614493849023759</v>
      </c>
      <c r="AU403" s="8">
        <v>35.363714495775682</v>
      </c>
      <c r="AV403" s="8">
        <v>30.86561917743872</v>
      </c>
      <c r="AW403" s="8">
        <v>0.76977330811685618</v>
      </c>
      <c r="AX403" s="8">
        <v>59.804246720132589</v>
      </c>
      <c r="AY403" s="8">
        <v>68.200471265027005</v>
      </c>
      <c r="AZ403" s="8">
        <v>34.129339655751807</v>
      </c>
      <c r="BA403" s="8">
        <v>32.473613291416513</v>
      </c>
      <c r="BB403" s="8">
        <v>0.81962476964106579</v>
      </c>
      <c r="BC403" s="8">
        <v>57.29022754238693</v>
      </c>
      <c r="BD403" s="8">
        <v>68.37873227214007</v>
      </c>
      <c r="BE403" s="8">
        <v>34.747434142024943</v>
      </c>
      <c r="BF403" s="8">
        <v>31.738974891353489</v>
      </c>
      <c r="BG403" s="8">
        <v>0.78841396211002401</v>
      </c>
      <c r="BH403" s="8">
        <v>61.114769302133013</v>
      </c>
      <c r="BI403" s="8">
        <v>68.295781862481078</v>
      </c>
    </row>
    <row r="404" spans="1:61" x14ac:dyDescent="0.15">
      <c r="A404" s="7">
        <v>2018</v>
      </c>
      <c r="B404" s="7">
        <v>109</v>
      </c>
      <c r="C404" s="7">
        <v>11.777585656895896</v>
      </c>
      <c r="D404" s="7">
        <v>3.6172198407948546</v>
      </c>
      <c r="E404" s="8">
        <v>23.775341675261419</v>
      </c>
      <c r="F404" s="8">
        <v>17.490801851253181</v>
      </c>
      <c r="G404" s="8">
        <v>0.66519680228296141</v>
      </c>
      <c r="H404" s="8">
        <v>65.237622220185102</v>
      </c>
      <c r="I404" s="8">
        <v>37.321055413304052</v>
      </c>
      <c r="J404" s="8">
        <v>26.937412476522489</v>
      </c>
      <c r="K404" s="8">
        <v>19.087208334552841</v>
      </c>
      <c r="L404" s="8">
        <v>0.74313803463614303</v>
      </c>
      <c r="M404" s="8">
        <v>71.289107780296149</v>
      </c>
      <c r="N404" s="8">
        <v>43.443477107088732</v>
      </c>
      <c r="O404" s="8">
        <v>295.65699999999998</v>
      </c>
      <c r="P404" s="8">
        <v>291.27800000000002</v>
      </c>
      <c r="Q404" s="8">
        <v>100.13500000000001</v>
      </c>
      <c r="R404" s="8">
        <v>-1.23871</v>
      </c>
      <c r="S404" s="8">
        <v>-0.54178199999999999</v>
      </c>
      <c r="T404" s="7">
        <f>C404-D404</f>
        <v>8.1603658161010415</v>
      </c>
      <c r="U404" s="8">
        <f>D404/C404</f>
        <v>0.3071274492218985</v>
      </c>
      <c r="V404" s="8">
        <v>29.264524364177589</v>
      </c>
      <c r="W404" s="8">
        <v>21.729930719602002</v>
      </c>
      <c r="X404" s="8">
        <v>0.76002621446661045</v>
      </c>
      <c r="Y404" s="8">
        <v>62.92799269957689</v>
      </c>
      <c r="Z404" s="8">
        <v>44.323198298256294</v>
      </c>
      <c r="AA404" s="7">
        <v>28.100968420350039</v>
      </c>
      <c r="AB404" s="7">
        <v>20.408569527077422</v>
      </c>
      <c r="AC404" s="7">
        <v>0.75158212455137674</v>
      </c>
      <c r="AD404" s="7">
        <v>67.10855023993652</v>
      </c>
      <c r="AE404" s="7">
        <v>43.883337702672513</v>
      </c>
      <c r="AF404" s="8">
        <v>30.725583716666851</v>
      </c>
      <c r="AG404" s="8">
        <v>20.495114646323781</v>
      </c>
      <c r="AH404" s="8">
        <v>0.78478565028010872</v>
      </c>
      <c r="AI404" s="8">
        <v>68.247334689892313</v>
      </c>
      <c r="AJ404" s="8">
        <v>47.494725468687811</v>
      </c>
      <c r="AK404" s="8">
        <v>26.69100765070803</v>
      </c>
      <c r="AL404" s="8">
        <v>18.995629868975939</v>
      </c>
      <c r="AM404" s="8">
        <v>0.74042902999306159</v>
      </c>
      <c r="AN404" s="8">
        <v>71.486962502533999</v>
      </c>
      <c r="AO404" s="8">
        <v>43.179960205769113</v>
      </c>
      <c r="AP404" s="8">
        <v>29.505515478501891</v>
      </c>
      <c r="AQ404" s="8">
        <v>19.867318566980678</v>
      </c>
      <c r="AR404" s="8">
        <v>0.75316333117981071</v>
      </c>
      <c r="AS404" s="8">
        <v>67.834829440988813</v>
      </c>
      <c r="AT404" s="8">
        <v>45.778084179275808</v>
      </c>
      <c r="AU404" s="8">
        <v>24.05387975849094</v>
      </c>
      <c r="AV404" s="8">
        <v>18.841546342853999</v>
      </c>
      <c r="AW404" s="8">
        <v>0.68655936936224116</v>
      </c>
      <c r="AX404" s="8">
        <v>69.790290049897109</v>
      </c>
      <c r="AY404" s="8">
        <v>40.788052905467453</v>
      </c>
      <c r="AZ404" s="8">
        <v>25.053990759443881</v>
      </c>
      <c r="BA404" s="8">
        <v>17.63371260891136</v>
      </c>
      <c r="BB404" s="8">
        <v>0.71135977627750069</v>
      </c>
      <c r="BC404" s="8">
        <v>72.76992845979521</v>
      </c>
      <c r="BD404" s="8">
        <v>42.457586723383578</v>
      </c>
      <c r="BE404" s="8">
        <v>25.918785747361849</v>
      </c>
      <c r="BF404" s="8">
        <v>20.903621023656719</v>
      </c>
      <c r="BG404" s="8">
        <v>0.83058373545845476</v>
      </c>
      <c r="BH404" s="8">
        <v>64.934478154064863</v>
      </c>
      <c r="BI404" s="8">
        <v>42.898833442972403</v>
      </c>
    </row>
    <row r="405" spans="1:61" x14ac:dyDescent="0.15">
      <c r="A405" s="7">
        <v>2020</v>
      </c>
      <c r="B405" s="7">
        <v>133</v>
      </c>
      <c r="C405" s="7">
        <v>32.089281034134224</v>
      </c>
      <c r="D405" s="7">
        <v>30.377170433902943</v>
      </c>
      <c r="E405" s="8">
        <v>32.881429554514988</v>
      </c>
      <c r="F405" s="8">
        <v>26.46581231494811</v>
      </c>
      <c r="G405" s="8">
        <v>0.66565964626949725</v>
      </c>
      <c r="H405" s="8">
        <v>74.050549856636778</v>
      </c>
      <c r="I405" s="8">
        <v>45.695161377499282</v>
      </c>
      <c r="J405" s="8">
        <v>36.540988847954523</v>
      </c>
      <c r="K405" s="8">
        <v>33.4165978019006</v>
      </c>
      <c r="L405" s="8">
        <v>0.73053689320078785</v>
      </c>
      <c r="M405" s="8">
        <v>65.319638168947833</v>
      </c>
      <c r="N405" s="8">
        <v>63.178627338436733</v>
      </c>
      <c r="O405" s="8">
        <v>290.16500000000002</v>
      </c>
      <c r="P405" s="8">
        <v>285.73500000000001</v>
      </c>
      <c r="Q405" s="8">
        <v>101.35899999999999</v>
      </c>
      <c r="R405" s="8">
        <v>-0.79625500000000005</v>
      </c>
      <c r="S405" s="8">
        <v>-0.29868699999999998</v>
      </c>
      <c r="T405" s="7">
        <f>C405-D405</f>
        <v>1.7121106002312807</v>
      </c>
      <c r="U405" s="8">
        <f>D405/C405</f>
        <v>0.94664540478765902</v>
      </c>
      <c r="V405" s="8">
        <v>35.164084941610497</v>
      </c>
      <c r="W405" s="8">
        <v>29.501396796039899</v>
      </c>
      <c r="X405" s="8">
        <v>0.72870343372930613</v>
      </c>
      <c r="Y405" s="8">
        <v>71.387677799134039</v>
      </c>
      <c r="Z405" s="8">
        <v>53.512193404577552</v>
      </c>
      <c r="AA405" s="7">
        <v>35.85253689478251</v>
      </c>
      <c r="AB405" s="7">
        <v>31.45899729897025</v>
      </c>
      <c r="AC405" s="7">
        <v>0.72962016346504699</v>
      </c>
      <c r="AD405" s="7">
        <v>68.353657984040936</v>
      </c>
      <c r="AE405" s="7">
        <v>58.345410371507143</v>
      </c>
      <c r="AF405" s="8">
        <v>35.25226479091495</v>
      </c>
      <c r="AG405" s="8">
        <v>35.082471035393453</v>
      </c>
      <c r="AH405" s="8">
        <v>0.74564688594038087</v>
      </c>
      <c r="AI405" s="8">
        <v>65.425943227605217</v>
      </c>
      <c r="AJ405" s="8">
        <v>61.199472731185431</v>
      </c>
      <c r="AK405" s="8">
        <v>36.658061379799989</v>
      </c>
      <c r="AL405" s="8">
        <v>33.265263622862577</v>
      </c>
      <c r="AM405" s="8">
        <v>0.72916424472997832</v>
      </c>
      <c r="AN405" s="8">
        <v>65.309981018297918</v>
      </c>
      <c r="AO405" s="8">
        <v>63.358421173679353</v>
      </c>
      <c r="AP405" s="8">
        <v>35.670685265762323</v>
      </c>
      <c r="AQ405" s="8">
        <v>31.483431796758229</v>
      </c>
      <c r="AR405" s="8">
        <v>0.71296198258344123</v>
      </c>
      <c r="AS405" s="8">
        <v>68.081077966081523</v>
      </c>
      <c r="AT405" s="8">
        <v>58.978187475931783</v>
      </c>
      <c r="AU405" s="8">
        <v>38.346327913608562</v>
      </c>
      <c r="AV405" s="8">
        <v>29.681129851549269</v>
      </c>
      <c r="AW405" s="8">
        <v>0.6957329479159029</v>
      </c>
      <c r="AX405" s="8">
        <v>68.649262296253369</v>
      </c>
      <c r="AY405" s="8">
        <v>63.477044964181587</v>
      </c>
      <c r="AZ405" s="8">
        <v>37.352213800012258</v>
      </c>
      <c r="BA405" s="8">
        <v>34.100485871794987</v>
      </c>
      <c r="BB405" s="8">
        <v>0.73965241260831072</v>
      </c>
      <c r="BC405" s="8">
        <v>64.855424267741981</v>
      </c>
      <c r="BD405" s="8">
        <v>64.878708682183927</v>
      </c>
      <c r="BE405" s="8">
        <v>37.616559476016079</v>
      </c>
      <c r="BF405" s="8">
        <v>37.181097887860062</v>
      </c>
      <c r="BG405" s="8">
        <v>0.50438416888843174</v>
      </c>
      <c r="BH405" s="8">
        <v>62.468892352568737</v>
      </c>
      <c r="BI405" s="8">
        <v>62.813093767576738</v>
      </c>
    </row>
    <row r="406" spans="1:61" x14ac:dyDescent="0.15">
      <c r="A406" s="7">
        <v>2020</v>
      </c>
      <c r="B406" s="7">
        <v>63</v>
      </c>
      <c r="C406" s="7">
        <v>24.435987656354992</v>
      </c>
      <c r="D406" s="7">
        <v>17.249521236953267</v>
      </c>
      <c r="E406" s="8">
        <v>30.00609515362806</v>
      </c>
      <c r="F406" s="8">
        <v>26.131024918089931</v>
      </c>
      <c r="G406" s="8">
        <v>0.66597268782630703</v>
      </c>
      <c r="H406" s="8">
        <v>72.130059734022069</v>
      </c>
      <c r="I406" s="8">
        <v>44.169423015322877</v>
      </c>
      <c r="J406" s="8">
        <v>36.146011367851408</v>
      </c>
      <c r="K406" s="8">
        <v>33.592268828330248</v>
      </c>
      <c r="L406" s="8">
        <v>0.74649623081250804</v>
      </c>
      <c r="M406" s="8">
        <v>64.116380636712407</v>
      </c>
      <c r="N406" s="8">
        <v>63.936221299261568</v>
      </c>
      <c r="O406" s="8">
        <v>290.50200000000001</v>
      </c>
      <c r="P406" s="8">
        <v>286.29500000000002</v>
      </c>
      <c r="Q406" s="8">
        <v>101.32899999999999</v>
      </c>
      <c r="R406" s="8">
        <v>-0.67723999999999995</v>
      </c>
      <c r="S406" s="8">
        <v>-0.376558</v>
      </c>
      <c r="T406" s="7">
        <f>C406-D406</f>
        <v>7.1864664194017251</v>
      </c>
      <c r="U406" s="8">
        <f>D406/C406</f>
        <v>0.70590644747142994</v>
      </c>
      <c r="V406" s="8">
        <v>33.597858285640832</v>
      </c>
      <c r="W406" s="8">
        <v>28.12243303384745</v>
      </c>
      <c r="X406" s="8">
        <v>0.73513397587416329</v>
      </c>
      <c r="Y406" s="8">
        <v>71.918804216383663</v>
      </c>
      <c r="Z406" s="8">
        <v>50.986781576788566</v>
      </c>
      <c r="AA406" s="7">
        <v>34.87193482674612</v>
      </c>
      <c r="AB406" s="7">
        <v>30.857350931088849</v>
      </c>
      <c r="AC406" s="7">
        <v>0.74081510334333567</v>
      </c>
      <c r="AD406" s="7">
        <v>68.017592426548035</v>
      </c>
      <c r="AE406" s="7">
        <v>57.461501438025067</v>
      </c>
      <c r="AF406" s="8">
        <v>35.424764089874863</v>
      </c>
      <c r="AG406" s="8">
        <v>35.131149804406093</v>
      </c>
      <c r="AH406" s="8">
        <v>0.75484272060040269</v>
      </c>
      <c r="AI406" s="8">
        <v>64.182634646797453</v>
      </c>
      <c r="AJ406" s="8">
        <v>62.418646397341831</v>
      </c>
      <c r="AK406" s="8">
        <v>36.219146676666043</v>
      </c>
      <c r="AL406" s="8">
        <v>33.436224516135432</v>
      </c>
      <c r="AM406" s="8">
        <v>0.74564988708713786</v>
      </c>
      <c r="AN406" s="8">
        <v>64.109662403402226</v>
      </c>
      <c r="AO406" s="8">
        <v>64.090105150875658</v>
      </c>
      <c r="AP406" s="8">
        <v>35.092136303701317</v>
      </c>
      <c r="AQ406" s="8">
        <v>31.242175730776939</v>
      </c>
      <c r="AR406" s="8">
        <v>0.73195802342569061</v>
      </c>
      <c r="AS406" s="8">
        <v>67.766714716711505</v>
      </c>
      <c r="AT406" s="8">
        <v>58.783501237433711</v>
      </c>
      <c r="AU406" s="8">
        <v>39.509404002928811</v>
      </c>
      <c r="AV406" s="8">
        <v>28.87746237679605</v>
      </c>
      <c r="AW406" s="8">
        <v>0.66718287104490503</v>
      </c>
      <c r="AX406" s="8">
        <v>68.217414719834238</v>
      </c>
      <c r="AY406" s="8">
        <v>59.335852678657162</v>
      </c>
      <c r="AZ406" s="8">
        <v>36.879181023002857</v>
      </c>
      <c r="BA406" s="8">
        <v>33.638845022086173</v>
      </c>
      <c r="BB406" s="8">
        <v>0.74274166373625738</v>
      </c>
      <c r="BC406" s="8">
        <v>64.280407703429731</v>
      </c>
      <c r="BD406" s="8">
        <v>64.141583110726202</v>
      </c>
      <c r="BE406" s="8">
        <v>37.622089392190432</v>
      </c>
      <c r="BF406" s="8">
        <v>30.928867376024641</v>
      </c>
      <c r="BG406" s="8">
        <v>0.56410816815024967</v>
      </c>
      <c r="BH406" s="8">
        <v>69.314423968001535</v>
      </c>
      <c r="BI406" s="8">
        <v>55.674471211990358</v>
      </c>
    </row>
    <row r="407" spans="1:61" x14ac:dyDescent="0.15">
      <c r="A407" s="7">
        <v>2021</v>
      </c>
      <c r="B407" s="7">
        <v>113</v>
      </c>
      <c r="C407" s="7">
        <v>55.666188562106463</v>
      </c>
      <c r="D407" s="7">
        <v>12.398669493047374</v>
      </c>
      <c r="E407" s="8">
        <v>18.485314216041871</v>
      </c>
      <c r="F407" s="8">
        <v>11.45555373473344</v>
      </c>
      <c r="G407" s="8">
        <v>0.66661548894445999</v>
      </c>
      <c r="H407" s="8">
        <v>58.892346349227381</v>
      </c>
      <c r="I407" s="8">
        <v>28.943416887875909</v>
      </c>
      <c r="J407" s="8">
        <v>23.175907975310029</v>
      </c>
      <c r="K407" s="8">
        <v>14.44220142337813</v>
      </c>
      <c r="L407" s="8">
        <v>0.67184322446175448</v>
      </c>
      <c r="M407" s="8">
        <v>56.602642342042529</v>
      </c>
      <c r="N407" s="8">
        <v>36.112082042579587</v>
      </c>
      <c r="O407" s="8">
        <v>292.51900000000001</v>
      </c>
      <c r="P407" s="8">
        <v>287.69499999999999</v>
      </c>
      <c r="Q407" s="8">
        <v>96.400700000000001</v>
      </c>
      <c r="R407" s="8">
        <v>4.50085E-2</v>
      </c>
      <c r="S407" s="8">
        <v>-0.35701100000000002</v>
      </c>
      <c r="T407" s="7">
        <f>C407-D407</f>
        <v>43.267519069059091</v>
      </c>
      <c r="U407" s="8">
        <f>D407/C407</f>
        <v>0.22273250267914868</v>
      </c>
      <c r="V407" s="8">
        <v>16.254589781837769</v>
      </c>
      <c r="W407" s="8">
        <v>9.7034513096785489</v>
      </c>
      <c r="X407" s="8">
        <v>0.6608353994969618</v>
      </c>
      <c r="Y407" s="8">
        <v>59.930815266575166</v>
      </c>
      <c r="Z407" s="8">
        <v>24.991024929792331</v>
      </c>
      <c r="AA407" s="7">
        <v>19.715248878573899</v>
      </c>
      <c r="AB407" s="7">
        <v>12.072826366528339</v>
      </c>
      <c r="AC407" s="7">
        <v>0.66633931197935814</v>
      </c>
      <c r="AD407" s="7">
        <v>58.266728804308848</v>
      </c>
      <c r="AE407" s="7">
        <v>30.551553486185959</v>
      </c>
      <c r="AF407" s="8">
        <v>24.171978594872112</v>
      </c>
      <c r="AG407" s="8">
        <v>14.45615088485588</v>
      </c>
      <c r="AH407" s="8">
        <v>0.67082508327507606</v>
      </c>
      <c r="AI407" s="8">
        <v>56.023785499391579</v>
      </c>
      <c r="AJ407" s="8">
        <v>38.407006644890942</v>
      </c>
      <c r="AK407" s="8">
        <v>23.034774598300931</v>
      </c>
      <c r="AL407" s="8">
        <v>14.440224922347831</v>
      </c>
      <c r="AM407" s="8">
        <v>0.67198748502031924</v>
      </c>
      <c r="AN407" s="8">
        <v>56.684660644162577</v>
      </c>
      <c r="AO407" s="8">
        <v>35.786913874033587</v>
      </c>
      <c r="AP407" s="8">
        <v>23.06854624036712</v>
      </c>
      <c r="AQ407" s="8">
        <v>13.6511564043512</v>
      </c>
      <c r="AR407" s="8">
        <v>0.65846022677583116</v>
      </c>
      <c r="AS407" s="8">
        <v>56.427766424013512</v>
      </c>
      <c r="AT407" s="8">
        <v>34.688539569730551</v>
      </c>
      <c r="AU407" s="8">
        <v>18.194445578469288</v>
      </c>
      <c r="AV407" s="8">
        <v>10.97201078027196</v>
      </c>
      <c r="AW407" s="8">
        <v>0.56197611932833547</v>
      </c>
      <c r="AX407" s="8">
        <v>61.329315333476337</v>
      </c>
      <c r="AY407" s="8">
        <v>27.485870035054649</v>
      </c>
      <c r="AZ407" s="8">
        <v>24.18731993247502</v>
      </c>
      <c r="BA407" s="8">
        <v>15.59635699397383</v>
      </c>
      <c r="BB407" s="8">
        <v>0.6729819248750798</v>
      </c>
      <c r="BC407" s="8">
        <v>56.255832614332647</v>
      </c>
      <c r="BD407" s="8">
        <v>37.902933949206307</v>
      </c>
      <c r="BE407" s="8">
        <v>25.442291275759491</v>
      </c>
      <c r="BF407" s="8">
        <v>17.768648490196959</v>
      </c>
      <c r="BG407" s="8">
        <v>0.58313114748624106</v>
      </c>
      <c r="BH407" s="8">
        <v>53.055858127642381</v>
      </c>
      <c r="BI407" s="8">
        <v>41.614793566458779</v>
      </c>
    </row>
    <row r="408" spans="1:61" x14ac:dyDescent="0.15">
      <c r="A408" s="7">
        <v>2020</v>
      </c>
      <c r="B408" s="7">
        <v>62</v>
      </c>
      <c r="C408" s="7">
        <v>110.90917170603552</v>
      </c>
      <c r="D408" s="7">
        <v>17.489604672538071</v>
      </c>
      <c r="E408" s="8">
        <v>18.232269790540691</v>
      </c>
      <c r="F408" s="8">
        <v>10.46167043770634</v>
      </c>
      <c r="G408" s="8">
        <v>0.66708303102518574</v>
      </c>
      <c r="H408" s="8">
        <v>68.832011274220832</v>
      </c>
      <c r="I408" s="8">
        <v>29.536326357227949</v>
      </c>
      <c r="J408" s="8">
        <v>22.300368851684301</v>
      </c>
      <c r="K408" s="8">
        <v>14.380963673185139</v>
      </c>
      <c r="L408" s="8">
        <v>0.68511394798992775</v>
      </c>
      <c r="M408" s="8">
        <v>64.025931268503243</v>
      </c>
      <c r="N408" s="8">
        <v>39.669514502941631</v>
      </c>
      <c r="O408" s="8">
        <v>292.98</v>
      </c>
      <c r="P408" s="8">
        <v>288.45299999999997</v>
      </c>
      <c r="Q408" s="8">
        <v>97.203600000000009</v>
      </c>
      <c r="R408" s="8">
        <v>-5.1890199999999997E-2</v>
      </c>
      <c r="S408" s="8">
        <v>-0.27280300000000002</v>
      </c>
      <c r="T408" s="7">
        <f>C408-D408</f>
        <v>93.419567033497458</v>
      </c>
      <c r="U408" s="8">
        <f>D408/C408</f>
        <v>0.15769304200462542</v>
      </c>
      <c r="V408" s="8">
        <v>15.67728712441804</v>
      </c>
      <c r="W408" s="8">
        <v>7.7802024139381203</v>
      </c>
      <c r="X408" s="8">
        <v>0.63144476120955195</v>
      </c>
      <c r="Y408" s="8">
        <v>71.728202731036575</v>
      </c>
      <c r="Z408" s="8">
        <v>22.672406190553367</v>
      </c>
      <c r="AA408" s="7">
        <v>18.98882798805117</v>
      </c>
      <c r="AB408" s="7">
        <v>11.08058304356163</v>
      </c>
      <c r="AC408" s="7">
        <v>0.65827935459973985</v>
      </c>
      <c r="AD408" s="7">
        <v>67.877066999769909</v>
      </c>
      <c r="AE408" s="7">
        <v>31.170960346747499</v>
      </c>
      <c r="AF408" s="8">
        <v>21.20708857817333</v>
      </c>
      <c r="AG408" s="8">
        <v>12.503704943429019</v>
      </c>
      <c r="AH408" s="8">
        <v>0.66234088455902551</v>
      </c>
      <c r="AI408" s="8">
        <v>63.627774213167108</v>
      </c>
      <c r="AJ408" s="8">
        <v>39.011708595012792</v>
      </c>
      <c r="AK408" s="8">
        <v>22.499915720500471</v>
      </c>
      <c r="AL408" s="8">
        <v>14.72360326026711</v>
      </c>
      <c r="AM408" s="8">
        <v>0.68927051571651377</v>
      </c>
      <c r="AN408" s="8">
        <v>64.098603387093874</v>
      </c>
      <c r="AO408" s="8">
        <v>39.789578051508599</v>
      </c>
      <c r="AP408" s="8">
        <v>21.325348042441512</v>
      </c>
      <c r="AQ408" s="8">
        <v>12.713625649078161</v>
      </c>
      <c r="AR408" s="8">
        <v>0.60276173398695498</v>
      </c>
      <c r="AS408" s="8">
        <v>64.605886140488067</v>
      </c>
      <c r="AT408" s="8">
        <v>36.256212303392338</v>
      </c>
      <c r="AU408" s="8">
        <v>21.939780771388119</v>
      </c>
      <c r="AV408" s="8">
        <v>14.988027658450241</v>
      </c>
      <c r="AW408" s="8">
        <v>0.63078683047301054</v>
      </c>
      <c r="AX408" s="8">
        <v>63.120608217255104</v>
      </c>
      <c r="AY408" s="8">
        <v>36.438921075934473</v>
      </c>
      <c r="AZ408" s="8">
        <v>23.636765229797842</v>
      </c>
      <c r="BA408" s="8">
        <v>16.004331396571491</v>
      </c>
      <c r="BB408" s="8">
        <v>0.72470194626112805</v>
      </c>
      <c r="BC408" s="8">
        <v>63.53059051961764</v>
      </c>
      <c r="BD408" s="8">
        <v>41.548619877551218</v>
      </c>
      <c r="BE408" s="8">
        <v>23.08503988748059</v>
      </c>
      <c r="BF408" s="8">
        <v>20.886673000907528</v>
      </c>
      <c r="BG408" s="8">
        <v>0.69241030209530918</v>
      </c>
      <c r="BH408" s="8">
        <v>60.141305237526069</v>
      </c>
      <c r="BI408" s="8">
        <v>38.181768162254073</v>
      </c>
    </row>
    <row r="409" spans="1:61" x14ac:dyDescent="0.15">
      <c r="A409" s="7">
        <v>2019</v>
      </c>
      <c r="B409" s="7">
        <v>109</v>
      </c>
      <c r="C409" s="7">
        <v>70.426538253809255</v>
      </c>
      <c r="D409" s="7">
        <v>13.798772688865464</v>
      </c>
      <c r="E409" s="8">
        <v>22.73255584114824</v>
      </c>
      <c r="F409" s="8">
        <v>16.533452302751439</v>
      </c>
      <c r="G409" s="8">
        <v>0.6672485535198458</v>
      </c>
      <c r="H409" s="8">
        <v>63.812831879396413</v>
      </c>
      <c r="I409" s="8">
        <v>34.567385520171797</v>
      </c>
      <c r="J409" s="8">
        <v>25.00168657394903</v>
      </c>
      <c r="K409" s="8">
        <v>17.627475191204901</v>
      </c>
      <c r="L409" s="8">
        <v>0.71656114649257263</v>
      </c>
      <c r="M409" s="8">
        <v>71.229574670221027</v>
      </c>
      <c r="N409" s="8">
        <v>39.412424460664091</v>
      </c>
      <c r="O409" s="8">
        <v>295.97699999999998</v>
      </c>
      <c r="P409" s="8">
        <v>292.02499999999998</v>
      </c>
      <c r="Q409" s="8">
        <v>100.148</v>
      </c>
      <c r="R409" s="8">
        <v>-1.23942</v>
      </c>
      <c r="S409" s="8">
        <v>-0.48897600000000002</v>
      </c>
      <c r="T409" s="7">
        <f>C409-D409</f>
        <v>56.627765564943793</v>
      </c>
      <c r="U409" s="8">
        <f>D409/C409</f>
        <v>0.19593143481135267</v>
      </c>
      <c r="V409" s="8">
        <v>27.626105725154588</v>
      </c>
      <c r="W409" s="8">
        <v>21.765973692357278</v>
      </c>
      <c r="X409" s="8">
        <v>0.76681941679726207</v>
      </c>
      <c r="Y409" s="8">
        <v>61.630406441042098</v>
      </c>
      <c r="Z409" s="8">
        <v>42.285451032316494</v>
      </c>
      <c r="AA409" s="7">
        <v>26.313896149551809</v>
      </c>
      <c r="AB409" s="7">
        <v>19.69672444178109</v>
      </c>
      <c r="AC409" s="7">
        <v>0.74169028164491735</v>
      </c>
      <c r="AD409" s="7">
        <v>66.429990555631562</v>
      </c>
      <c r="AE409" s="7">
        <v>40.848937746490293</v>
      </c>
      <c r="AF409" s="8">
        <v>26.890353425582799</v>
      </c>
      <c r="AG409" s="8">
        <v>18.361921621818631</v>
      </c>
      <c r="AH409" s="8">
        <v>0.72522634553001852</v>
      </c>
      <c r="AI409" s="8">
        <v>66.767972742933196</v>
      </c>
      <c r="AJ409" s="8">
        <v>41.552632197729181</v>
      </c>
      <c r="AK409" s="8">
        <v>24.825707045563</v>
      </c>
      <c r="AL409" s="8">
        <v>17.559041980566199</v>
      </c>
      <c r="AM409" s="8">
        <v>0.71575375283356835</v>
      </c>
      <c r="AN409" s="8">
        <v>71.645291503674798</v>
      </c>
      <c r="AO409" s="8">
        <v>39.213007211459427</v>
      </c>
      <c r="AP409" s="8">
        <v>28.237240103500699</v>
      </c>
      <c r="AQ409" s="8">
        <v>19.025183439688401</v>
      </c>
      <c r="AR409" s="8">
        <v>0.7481065434095866</v>
      </c>
      <c r="AS409" s="8">
        <v>66.894616818229153</v>
      </c>
      <c r="AT409" s="8">
        <v>41.927831575989678</v>
      </c>
      <c r="AU409" s="8">
        <v>22.58672911354272</v>
      </c>
      <c r="AV409" s="8">
        <v>17.549865636488189</v>
      </c>
      <c r="AW409" s="8">
        <v>0.65449352590151311</v>
      </c>
      <c r="AX409" s="8">
        <v>70.254730963008143</v>
      </c>
      <c r="AY409" s="8">
        <v>37.534090753557777</v>
      </c>
      <c r="AZ409" s="8">
        <v>23.172581215981069</v>
      </c>
      <c r="BA409" s="8">
        <v>16.408889451156892</v>
      </c>
      <c r="BB409" s="8">
        <v>0.68598446727902584</v>
      </c>
      <c r="BC409" s="8">
        <v>73.132934409826149</v>
      </c>
      <c r="BD409" s="8">
        <v>38.118914970845097</v>
      </c>
      <c r="BE409" s="8">
        <v>23.531323611240381</v>
      </c>
      <c r="BF409" s="8">
        <v>19.864888957339222</v>
      </c>
      <c r="BG409" s="8">
        <v>0.77384327415759324</v>
      </c>
      <c r="BH409" s="8">
        <v>66.087112687376759</v>
      </c>
      <c r="BI409" s="8">
        <v>40.1232372886832</v>
      </c>
    </row>
    <row r="410" spans="1:61" x14ac:dyDescent="0.15">
      <c r="A410" s="7">
        <v>2023</v>
      </c>
      <c r="B410" s="7">
        <v>17</v>
      </c>
      <c r="C410" s="9">
        <v>352.00627313849026</v>
      </c>
      <c r="D410" s="7">
        <v>216.74839897127657</v>
      </c>
      <c r="E410" s="8">
        <v>21.04123841675381</v>
      </c>
      <c r="F410" s="8">
        <v>19.479091226611661</v>
      </c>
      <c r="G410" s="8">
        <v>0.66729511824700694</v>
      </c>
      <c r="H410" s="8">
        <v>60.778293189130167</v>
      </c>
      <c r="I410" s="8">
        <v>38.806980063288592</v>
      </c>
      <c r="J410" s="8">
        <v>21.976863646379691</v>
      </c>
      <c r="K410" s="8">
        <v>24.744787178317939</v>
      </c>
      <c r="L410" s="8">
        <v>0.57297678795558582</v>
      </c>
      <c r="M410" s="8">
        <v>57.307490247934183</v>
      </c>
      <c r="N410" s="8">
        <v>40.941446840591503</v>
      </c>
      <c r="O410" s="7">
        <v>296.37</v>
      </c>
      <c r="P410" s="7">
        <v>291.92399999999998</v>
      </c>
      <c r="Q410" s="7">
        <v>100.464</v>
      </c>
      <c r="R410" s="7">
        <v>-0.74513600000000002</v>
      </c>
      <c r="S410" s="7">
        <v>-0.476547</v>
      </c>
      <c r="T410" s="7">
        <f>C410-D410</f>
        <v>135.25787416721369</v>
      </c>
      <c r="U410" s="8">
        <f>D410/C410</f>
        <v>0.61575152351333517</v>
      </c>
      <c r="V410" s="8">
        <v>21.929182001785648</v>
      </c>
      <c r="W410" s="8">
        <v>21.740914089317744</v>
      </c>
      <c r="X410" s="8">
        <v>0.61849631633634439</v>
      </c>
      <c r="Y410" s="8">
        <v>58.215244674640132</v>
      </c>
      <c r="Z410" s="8">
        <v>38.995128309876797</v>
      </c>
      <c r="AA410" s="7">
        <v>21.953022824082669</v>
      </c>
      <c r="AB410" s="7">
        <v>23.242850633817842</v>
      </c>
      <c r="AC410" s="7">
        <v>0.5957365521459651</v>
      </c>
      <c r="AD410" s="7">
        <v>57.761367461287158</v>
      </c>
      <c r="AE410" s="7">
        <v>39.96828757523415</v>
      </c>
      <c r="AF410" s="8">
        <v>21.93030387445782</v>
      </c>
      <c r="AG410" s="8">
        <v>25.023936731541141</v>
      </c>
      <c r="AH410" s="8">
        <v>0.57722125040388605</v>
      </c>
      <c r="AI410" s="8">
        <v>57.790434985542582</v>
      </c>
      <c r="AJ410" s="8">
        <v>40.978461367445391</v>
      </c>
      <c r="AK410" s="8">
        <v>21.98335853805041</v>
      </c>
      <c r="AL410" s="8">
        <v>24.70584699383511</v>
      </c>
      <c r="AM410" s="8">
        <v>0.57238470335842695</v>
      </c>
      <c r="AN410" s="8">
        <v>57.24012149537721</v>
      </c>
      <c r="AO410" s="8">
        <v>40.936283470320632</v>
      </c>
      <c r="AP410" s="8">
        <v>22.19249912112863</v>
      </c>
      <c r="AQ410" s="8">
        <v>24.28557977401719</v>
      </c>
      <c r="AR410" s="8">
        <v>0.5940758262220095</v>
      </c>
      <c r="AS410" s="8">
        <v>57.687533102763723</v>
      </c>
      <c r="AT410" s="8">
        <v>40.535303528861803</v>
      </c>
      <c r="AU410" s="8">
        <v>21.18923763048404</v>
      </c>
      <c r="AV410" s="8">
        <v>19.479677329441959</v>
      </c>
      <c r="AW410" s="8">
        <v>0.54606798426039427</v>
      </c>
      <c r="AX410" s="8">
        <v>55.072076789005308</v>
      </c>
      <c r="AY410" s="8">
        <v>38.081183763736988</v>
      </c>
      <c r="AZ410" s="8">
        <v>22.081817048275969</v>
      </c>
      <c r="BA410" s="8">
        <v>23.891704034665679</v>
      </c>
      <c r="BB410" s="8">
        <v>0.5658326781268509</v>
      </c>
      <c r="BC410" s="8">
        <v>56.083873320962923</v>
      </c>
      <c r="BD410" s="8">
        <v>40.580523081481068</v>
      </c>
      <c r="BE410" s="8">
        <v>20.69164184047828</v>
      </c>
      <c r="BF410" s="8">
        <v>18.80443864709229</v>
      </c>
      <c r="BG410" s="8">
        <v>0.52914686531266941</v>
      </c>
      <c r="BH410" s="8">
        <v>57.18385508590525</v>
      </c>
      <c r="BI410" s="8">
        <v>37.067539724677658</v>
      </c>
    </row>
    <row r="411" spans="1:61" x14ac:dyDescent="0.15">
      <c r="A411" s="7">
        <v>2021</v>
      </c>
      <c r="B411" s="7">
        <v>118</v>
      </c>
      <c r="C411" s="7">
        <v>20.199529902806113</v>
      </c>
      <c r="D411" s="7">
        <v>1.5968284348039714</v>
      </c>
      <c r="E411" s="8">
        <v>40.054251283431213</v>
      </c>
      <c r="F411" s="8">
        <v>25.54234380856969</v>
      </c>
      <c r="G411" s="8">
        <v>0.66814431255005735</v>
      </c>
      <c r="H411" s="8">
        <v>75.96408759927337</v>
      </c>
      <c r="I411" s="8">
        <v>62.702271993216243</v>
      </c>
      <c r="J411" s="8">
        <v>38.299474696139399</v>
      </c>
      <c r="K411" s="8">
        <v>31.344534568616169</v>
      </c>
      <c r="L411" s="8">
        <v>0.81046464052599598</v>
      </c>
      <c r="M411" s="8">
        <v>65.824150372342629</v>
      </c>
      <c r="N411" s="8">
        <v>76.900473498447624</v>
      </c>
      <c r="O411" s="8">
        <v>283.78199999999998</v>
      </c>
      <c r="P411" s="8">
        <v>274.96600000000001</v>
      </c>
      <c r="Q411" s="8">
        <v>88.800600000000003</v>
      </c>
      <c r="R411" s="8">
        <v>0.54515800000000003</v>
      </c>
      <c r="S411" s="8">
        <v>9.41163E-2</v>
      </c>
      <c r="T411" s="7">
        <f>C411-D411</f>
        <v>18.602701468002142</v>
      </c>
      <c r="U411" s="8">
        <f>D411/C411</f>
        <v>7.905275234064435E-2</v>
      </c>
      <c r="V411" s="8">
        <v>38.375934085551137</v>
      </c>
      <c r="W411" s="8">
        <v>27.153846151070709</v>
      </c>
      <c r="X411" s="8">
        <v>0.72832100293891433</v>
      </c>
      <c r="Y411" s="8">
        <v>71.933599881345842</v>
      </c>
      <c r="Z411" s="8">
        <v>64.838531541132582</v>
      </c>
      <c r="AA411" s="7">
        <v>38.337704390845268</v>
      </c>
      <c r="AB411" s="7">
        <v>29.249190359843439</v>
      </c>
      <c r="AC411" s="7">
        <v>0.76939282173245516</v>
      </c>
      <c r="AD411" s="7">
        <v>68.878875126844235</v>
      </c>
      <c r="AE411" s="7">
        <v>70.869502519790103</v>
      </c>
      <c r="AF411" s="8">
        <v>40.186585744359682</v>
      </c>
      <c r="AG411" s="8">
        <v>30.582767869212311</v>
      </c>
      <c r="AH411" s="8">
        <v>0.79377650131701627</v>
      </c>
      <c r="AI411" s="8">
        <v>65.937078395450953</v>
      </c>
      <c r="AJ411" s="8">
        <v>71.76053592670425</v>
      </c>
      <c r="AK411" s="8">
        <v>38.073450343273983</v>
      </c>
      <c r="AL411" s="8">
        <v>31.43577340982246</v>
      </c>
      <c r="AM411" s="8">
        <v>0.81246342372892155</v>
      </c>
      <c r="AN411" s="8">
        <v>65.810624680058908</v>
      </c>
      <c r="AO411" s="8">
        <v>77.516097610509064</v>
      </c>
      <c r="AP411" s="8">
        <v>37.107916946999516</v>
      </c>
      <c r="AQ411" s="8">
        <v>31.47239876780759</v>
      </c>
      <c r="AR411" s="8">
        <v>0.84409366921171469</v>
      </c>
      <c r="AS411" s="8">
        <v>66.014475376097394</v>
      </c>
      <c r="AT411" s="8">
        <v>77.396609025308464</v>
      </c>
      <c r="AU411" s="8">
        <v>37.656446262724302</v>
      </c>
      <c r="AV411" s="8">
        <v>30.355925349714759</v>
      </c>
      <c r="AW411" s="8">
        <v>0.78360982035360882</v>
      </c>
      <c r="AX411" s="8">
        <v>63.029299664183377</v>
      </c>
      <c r="AY411" s="8">
        <v>68.471299079946846</v>
      </c>
      <c r="AZ411" s="8">
        <v>38.559539874243391</v>
      </c>
      <c r="BA411" s="8">
        <v>33.365209429486931</v>
      </c>
      <c r="BB411" s="8">
        <v>0.82415348866644023</v>
      </c>
      <c r="BC411" s="8">
        <v>65.694880470403618</v>
      </c>
      <c r="BD411" s="8">
        <v>88.86703235330674</v>
      </c>
      <c r="BE411" s="8">
        <v>43.719582292227358</v>
      </c>
      <c r="BF411" s="8">
        <v>31.663078597022189</v>
      </c>
      <c r="BG411" s="8">
        <v>0.864115562774044</v>
      </c>
      <c r="BH411" s="8">
        <v>61.052578940197193</v>
      </c>
      <c r="BI411" s="8">
        <v>84.804756885035417</v>
      </c>
    </row>
    <row r="412" spans="1:61" x14ac:dyDescent="0.15">
      <c r="A412" s="7">
        <v>2023</v>
      </c>
      <c r="B412" s="7">
        <v>94</v>
      </c>
      <c r="C412" s="9">
        <v>78.612899550260977</v>
      </c>
      <c r="D412" s="7">
        <v>41.602786777442027</v>
      </c>
      <c r="E412" s="8">
        <v>35.681496213930401</v>
      </c>
      <c r="F412" s="8">
        <v>16.271612417675161</v>
      </c>
      <c r="G412" s="8">
        <v>0.66821547587586216</v>
      </c>
      <c r="H412" s="8">
        <v>78.945577189547279</v>
      </c>
      <c r="I412" s="8">
        <v>67.954352466052029</v>
      </c>
      <c r="J412" s="8">
        <v>39.017910276454288</v>
      </c>
      <c r="K412" s="8">
        <v>20.917099056448471</v>
      </c>
      <c r="L412" s="8">
        <v>0.64581740661285125</v>
      </c>
      <c r="M412" s="8">
        <v>85.123836661122013</v>
      </c>
      <c r="N412" s="8">
        <v>79.358037901996738</v>
      </c>
      <c r="O412" s="7">
        <v>288.75700000000001</v>
      </c>
      <c r="P412" s="7">
        <v>279.55599999999998</v>
      </c>
      <c r="Q412" s="7">
        <v>98.952600000000004</v>
      </c>
      <c r="R412" s="7">
        <v>4.79874E-2</v>
      </c>
      <c r="S412" s="7">
        <v>-3.3563500000000003E-2</v>
      </c>
      <c r="T412" s="7">
        <f>C412-D412</f>
        <v>37.01011277281895</v>
      </c>
      <c r="U412" s="8">
        <f>D412/C412</f>
        <v>0.52921068953630668</v>
      </c>
      <c r="V412" s="8">
        <v>30.855103395657892</v>
      </c>
      <c r="W412" s="8">
        <v>18.002700883129251</v>
      </c>
      <c r="X412" s="8">
        <v>0.5487391846250036</v>
      </c>
      <c r="Y412" s="8">
        <v>93.115426781136378</v>
      </c>
      <c r="Z412" s="8">
        <v>60.922615474221516</v>
      </c>
      <c r="AA412" s="7">
        <v>34.93650683605609</v>
      </c>
      <c r="AB412" s="7">
        <v>19.459899969788861</v>
      </c>
      <c r="AC412" s="7">
        <v>0.59727829561892742</v>
      </c>
      <c r="AD412" s="7">
        <v>89.119631721129196</v>
      </c>
      <c r="AE412" s="7">
        <v>70.140326688109127</v>
      </c>
      <c r="AF412" s="8">
        <v>39.421383481789732</v>
      </c>
      <c r="AG412" s="8">
        <v>21.144219670213818</v>
      </c>
      <c r="AH412" s="8">
        <v>0.66757193367967904</v>
      </c>
      <c r="AI412" s="8">
        <v>85.193288708437393</v>
      </c>
      <c r="AJ412" s="8">
        <v>78.974550420059302</v>
      </c>
      <c r="AK412" s="8">
        <v>38.967936671959897</v>
      </c>
      <c r="AL412" s="8">
        <v>20.88896822749938</v>
      </c>
      <c r="AM412" s="8">
        <v>0.6431229225251246</v>
      </c>
      <c r="AN412" s="8">
        <v>85.115234431536564</v>
      </c>
      <c r="AO412" s="8">
        <v>79.405536103853677</v>
      </c>
      <c r="AP412" s="8">
        <v>33.924312575252422</v>
      </c>
      <c r="AQ412" s="8">
        <v>19.778045826073392</v>
      </c>
      <c r="AR412" s="8">
        <v>0.58501798202626032</v>
      </c>
      <c r="AS412" s="8">
        <v>92.56490251870035</v>
      </c>
      <c r="AT412" s="8">
        <v>68.109518284620648</v>
      </c>
      <c r="AU412" s="8">
        <v>34.609624007014432</v>
      </c>
      <c r="AV412" s="8">
        <v>15.45862753397938</v>
      </c>
      <c r="AW412" s="8">
        <v>0.5785094817535622</v>
      </c>
      <c r="AX412" s="8">
        <v>78.099383920461747</v>
      </c>
      <c r="AY412" s="8">
        <v>65.896383985999464</v>
      </c>
      <c r="AZ412" s="8">
        <v>38.274039631102077</v>
      </c>
      <c r="BA412" s="8">
        <v>19.724152291869078</v>
      </c>
      <c r="BB412" s="8">
        <v>0.60929366849797106</v>
      </c>
      <c r="BC412" s="8">
        <v>83.091422260213406</v>
      </c>
      <c r="BD412" s="8">
        <v>78.39330727864899</v>
      </c>
      <c r="BE412" s="8">
        <v>34.630855511207329</v>
      </c>
      <c r="BF412" s="8">
        <v>25.25807897131147</v>
      </c>
      <c r="BG412" s="8">
        <v>0.61731296919971068</v>
      </c>
      <c r="BH412" s="8">
        <v>71.729910988364495</v>
      </c>
      <c r="BI412" s="8">
        <v>74.070070594504273</v>
      </c>
    </row>
    <row r="413" spans="1:61" x14ac:dyDescent="0.15">
      <c r="A413" s="7">
        <v>2019</v>
      </c>
      <c r="B413" s="7">
        <v>121</v>
      </c>
      <c r="C413" s="7">
        <v>32.983231360648816</v>
      </c>
      <c r="D413" s="7">
        <v>12.283758167116194</v>
      </c>
      <c r="E413" s="8">
        <v>32.36844445793426</v>
      </c>
      <c r="F413" s="8">
        <v>20.91442893815411</v>
      </c>
      <c r="G413" s="8">
        <v>0.66871533497810554</v>
      </c>
      <c r="H413" s="8">
        <v>73.453042547838621</v>
      </c>
      <c r="I413" s="8">
        <v>48.256396716456557</v>
      </c>
      <c r="J413" s="8">
        <v>40.362460537642178</v>
      </c>
      <c r="K413" s="8">
        <v>28.336403143023681</v>
      </c>
      <c r="L413" s="8">
        <v>0.7958308994318829</v>
      </c>
      <c r="M413" s="8">
        <v>67.12860735414327</v>
      </c>
      <c r="N413" s="8">
        <v>60.716997506978238</v>
      </c>
      <c r="O413" s="8">
        <v>289.84399999999999</v>
      </c>
      <c r="P413" s="8">
        <v>285.16000000000003</v>
      </c>
      <c r="Q413" s="8">
        <v>98.692499999999995</v>
      </c>
      <c r="R413" s="8">
        <v>-0.73747499999999999</v>
      </c>
      <c r="S413" s="8">
        <v>-0.75726400000000005</v>
      </c>
      <c r="T413" s="7">
        <f>C413-D413</f>
        <v>20.699473193532622</v>
      </c>
      <c r="U413" s="8">
        <f>D413/C413</f>
        <v>0.37242433989568202</v>
      </c>
      <c r="V413" s="8">
        <v>34.137989207341917</v>
      </c>
      <c r="W413" s="8">
        <v>20.220618371263498</v>
      </c>
      <c r="X413" s="8">
        <v>0.6680835831476456</v>
      </c>
      <c r="Y413" s="8">
        <v>72.985285023112112</v>
      </c>
      <c r="Z413" s="8">
        <v>47.35768888485142</v>
      </c>
      <c r="AA413" s="7">
        <v>37.250224872492048</v>
      </c>
      <c r="AB413" s="7">
        <v>24.278510757143589</v>
      </c>
      <c r="AC413" s="7">
        <v>0.73195724128976425</v>
      </c>
      <c r="AD413" s="7">
        <v>70.056946188627691</v>
      </c>
      <c r="AE413" s="7">
        <v>54.037343195914829</v>
      </c>
      <c r="AF413" s="8">
        <v>40.101765129284892</v>
      </c>
      <c r="AG413" s="8">
        <v>29.259544635559269</v>
      </c>
      <c r="AH413" s="8">
        <v>0.78199766670091164</v>
      </c>
      <c r="AI413" s="8">
        <v>68.012890471992364</v>
      </c>
      <c r="AJ413" s="8">
        <v>60.148756946687172</v>
      </c>
      <c r="AK413" s="8">
        <v>40.396668306637388</v>
      </c>
      <c r="AL413" s="8">
        <v>28.21527093311807</v>
      </c>
      <c r="AM413" s="8">
        <v>0.79764606001602989</v>
      </c>
      <c r="AN413" s="8">
        <v>67.012574038434451</v>
      </c>
      <c r="AO413" s="8">
        <v>60.79156054567018</v>
      </c>
      <c r="AP413" s="8">
        <v>40.024842372670221</v>
      </c>
      <c r="AQ413" s="8">
        <v>26.068065461352731</v>
      </c>
      <c r="AR413" s="8">
        <v>0.73699393558480675</v>
      </c>
      <c r="AS413" s="8">
        <v>68.566268699388615</v>
      </c>
      <c r="AT413" s="8">
        <v>56.738941933883197</v>
      </c>
      <c r="AU413" s="8">
        <v>34.667533582585357</v>
      </c>
      <c r="AV413" s="8">
        <v>22.539315811858401</v>
      </c>
      <c r="AW413" s="8">
        <v>0.71089901895752261</v>
      </c>
      <c r="AX413" s="8">
        <v>68.157632896722077</v>
      </c>
      <c r="AY413" s="8">
        <v>51.785459981992993</v>
      </c>
      <c r="AZ413" s="8">
        <v>40.659577014609823</v>
      </c>
      <c r="BA413" s="8">
        <v>28.901604221927201</v>
      </c>
      <c r="BB413" s="8">
        <v>0.82170173417535097</v>
      </c>
      <c r="BC413" s="8">
        <v>66.569634769558974</v>
      </c>
      <c r="BD413" s="8">
        <v>62.578019055240532</v>
      </c>
      <c r="BE413" s="8">
        <v>40.388119694710873</v>
      </c>
      <c r="BF413" s="8">
        <v>30.619523714433829</v>
      </c>
      <c r="BG413" s="8">
        <v>0.72348025398088056</v>
      </c>
      <c r="BH413" s="8">
        <v>69.998220662072228</v>
      </c>
      <c r="BI413" s="8">
        <v>64.385117580123577</v>
      </c>
    </row>
    <row r="414" spans="1:61" x14ac:dyDescent="0.15">
      <c r="A414" s="7">
        <v>2023</v>
      </c>
      <c r="B414" s="7">
        <v>15</v>
      </c>
      <c r="C414" s="9">
        <v>113.11805612353353</v>
      </c>
      <c r="D414" s="7">
        <v>109.87115919518301</v>
      </c>
      <c r="E414" s="8">
        <v>27.5969985418273</v>
      </c>
      <c r="F414" s="8">
        <v>12.33537332172172</v>
      </c>
      <c r="G414" s="8">
        <v>0.6689262245178631</v>
      </c>
      <c r="H414" s="8">
        <v>58.832717432847957</v>
      </c>
      <c r="I414" s="8">
        <v>37.142013979305389</v>
      </c>
      <c r="J414" s="8">
        <v>30.455894509401869</v>
      </c>
      <c r="K414" s="8">
        <v>14.690947988027499</v>
      </c>
      <c r="L414" s="8">
        <v>0.61388238797310235</v>
      </c>
      <c r="M414" s="8">
        <v>58.650931063956719</v>
      </c>
      <c r="N414" s="8">
        <v>41.585764318840937</v>
      </c>
      <c r="O414" s="7">
        <v>291.90100000000001</v>
      </c>
      <c r="P414" s="7">
        <v>286.99700000000001</v>
      </c>
      <c r="Q414" s="7">
        <v>99.650300000000001</v>
      </c>
      <c r="R414" s="7">
        <v>-0.13455500000000001</v>
      </c>
      <c r="S414" s="7">
        <v>-0.65917899999999996</v>
      </c>
      <c r="T414" s="7">
        <f>C414-D414</f>
        <v>3.2468969283505231</v>
      </c>
      <c r="U414" s="8">
        <f>D414/C414</f>
        <v>0.97129638680490882</v>
      </c>
      <c r="V414" s="8">
        <v>26.884177850116149</v>
      </c>
      <c r="W414" s="8">
        <v>10.99212747178662</v>
      </c>
      <c r="X414" s="8">
        <v>0.65460954350122691</v>
      </c>
      <c r="Y414" s="8">
        <v>61.169664636978865</v>
      </c>
      <c r="Z414" s="8">
        <v>36.264771978877157</v>
      </c>
      <c r="AA414" s="7">
        <v>28.670036179759009</v>
      </c>
      <c r="AB414" s="7">
        <v>12.84153772990706</v>
      </c>
      <c r="AC414" s="7">
        <v>0.63424596573716463</v>
      </c>
      <c r="AD414" s="7">
        <v>59.910297850467792</v>
      </c>
      <c r="AE414" s="7">
        <v>38.925268148859047</v>
      </c>
      <c r="AF414" s="8">
        <v>31.323455357280942</v>
      </c>
      <c r="AG414" s="8">
        <v>15.01258675489674</v>
      </c>
      <c r="AH414" s="8">
        <v>0.62648553636118665</v>
      </c>
      <c r="AI414" s="8">
        <v>57.750049395257662</v>
      </c>
      <c r="AJ414" s="8">
        <v>41.250526411804692</v>
      </c>
      <c r="AK414" s="8">
        <v>30.35652942890507</v>
      </c>
      <c r="AL414" s="8">
        <v>14.654109463053731</v>
      </c>
      <c r="AM414" s="8">
        <v>0.61243890091722963</v>
      </c>
      <c r="AN414" s="8">
        <v>58.754112506212003</v>
      </c>
      <c r="AO414" s="8">
        <v>41.624160405639557</v>
      </c>
      <c r="AP414" s="8">
        <v>30.057664948441239</v>
      </c>
      <c r="AQ414" s="8">
        <v>12.79521330596434</v>
      </c>
      <c r="AR414" s="8">
        <v>0.59705656232833826</v>
      </c>
      <c r="AS414" s="8">
        <v>61.949643474938412</v>
      </c>
      <c r="AT414" s="8">
        <v>40.972227607612183</v>
      </c>
      <c r="AU414" s="8">
        <v>25.64333058308058</v>
      </c>
      <c r="AV414" s="8">
        <v>19.986746602284619</v>
      </c>
      <c r="AW414" s="8">
        <v>0.55024922733172821</v>
      </c>
      <c r="AX414" s="8">
        <v>59.063992652064272</v>
      </c>
      <c r="AY414" s="8">
        <v>41.448143005091673</v>
      </c>
      <c r="AZ414" s="8">
        <v>29.334690962111601</v>
      </c>
      <c r="BA414" s="8">
        <v>16.0670529972281</v>
      </c>
      <c r="BB414" s="8">
        <v>0.60843050719654046</v>
      </c>
      <c r="BC414" s="8">
        <v>56.276636408138813</v>
      </c>
      <c r="BD414" s="8">
        <v>41.469772731377603</v>
      </c>
      <c r="BE414" s="8">
        <v>24.779420401598841</v>
      </c>
      <c r="BF414" s="8">
        <v>26.205950186553419</v>
      </c>
      <c r="BG414" s="8">
        <v>0.55003115521640999</v>
      </c>
      <c r="BH414" s="8">
        <v>54.90420063582296</v>
      </c>
      <c r="BI414" s="8">
        <v>47.140576016147513</v>
      </c>
    </row>
    <row r="415" spans="1:61" x14ac:dyDescent="0.15">
      <c r="A415" s="7">
        <v>2020</v>
      </c>
      <c r="B415" s="7">
        <v>1</v>
      </c>
      <c r="C415" s="7">
        <v>424.35395006263002</v>
      </c>
      <c r="D415" s="7">
        <v>170.71784077863839</v>
      </c>
      <c r="E415" s="8">
        <v>31.762937787495929</v>
      </c>
      <c r="F415" s="8">
        <v>31.346090099966052</v>
      </c>
      <c r="G415" s="8">
        <v>0.66909546008131415</v>
      </c>
      <c r="H415" s="8">
        <v>62.660126545470384</v>
      </c>
      <c r="I415" s="8">
        <v>41.993010951330767</v>
      </c>
      <c r="J415" s="8">
        <v>30.940087385037561</v>
      </c>
      <c r="K415" s="8">
        <v>33.282033578433399</v>
      </c>
      <c r="L415" s="8">
        <v>0.67281585560889567</v>
      </c>
      <c r="M415" s="8">
        <v>68.13379853469398</v>
      </c>
      <c r="N415" s="8">
        <v>45.095298038766067</v>
      </c>
      <c r="O415" s="8">
        <v>290.78100000000001</v>
      </c>
      <c r="P415" s="8">
        <v>286.56900000000002</v>
      </c>
      <c r="Q415" s="8">
        <v>101.658</v>
      </c>
      <c r="R415" s="8">
        <v>-0.82367400000000002</v>
      </c>
      <c r="S415" s="8">
        <v>-0.408719</v>
      </c>
      <c r="T415" s="7">
        <f>C415-D415</f>
        <v>253.63610928399163</v>
      </c>
      <c r="U415" s="8">
        <f>D415/C415</f>
        <v>0.40230058127994872</v>
      </c>
      <c r="V415" s="8">
        <v>30.429904553262116</v>
      </c>
      <c r="W415" s="8">
        <v>29.129105487817462</v>
      </c>
      <c r="X415" s="8">
        <v>0.76440077338735857</v>
      </c>
      <c r="Y415" s="8">
        <v>68.194181543298001</v>
      </c>
      <c r="Z415" s="8">
        <v>43.77908643181437</v>
      </c>
      <c r="AA415" s="7">
        <v>30.684995969149838</v>
      </c>
      <c r="AB415" s="7">
        <v>31.205569533125431</v>
      </c>
      <c r="AC415" s="7">
        <v>0.71860831449812712</v>
      </c>
      <c r="AD415" s="7">
        <v>68.163990038995991</v>
      </c>
      <c r="AE415" s="7">
        <v>44.437192235290219</v>
      </c>
      <c r="AF415" s="8">
        <v>31.045191288010582</v>
      </c>
      <c r="AG415" s="8">
        <v>33.948366768174047</v>
      </c>
      <c r="AH415" s="8">
        <v>0.66571526955568117</v>
      </c>
      <c r="AI415" s="8">
        <v>67.680299287973</v>
      </c>
      <c r="AJ415" s="8">
        <v>44.524653675456307</v>
      </c>
      <c r="AK415" s="8">
        <v>30.92858038490424</v>
      </c>
      <c r="AL415" s="8">
        <v>33.209081995416057</v>
      </c>
      <c r="AM415" s="8">
        <v>0.6735932429594107</v>
      </c>
      <c r="AN415" s="8">
        <v>68.183448602340064</v>
      </c>
      <c r="AO415" s="8">
        <v>45.157773404370417</v>
      </c>
      <c r="AP415" s="8">
        <v>30.285324290934081</v>
      </c>
      <c r="AQ415" s="8">
        <v>30.064646018569249</v>
      </c>
      <c r="AR415" s="8">
        <v>0.67817477824012906</v>
      </c>
      <c r="AS415" s="8">
        <v>68.669884943736292</v>
      </c>
      <c r="AT415" s="8">
        <v>43.388958927321369</v>
      </c>
      <c r="AU415" s="8">
        <v>36.910455258080923</v>
      </c>
      <c r="AV415" s="8">
        <v>34.053998157051893</v>
      </c>
      <c r="AW415" s="8">
        <v>0.66599329839175847</v>
      </c>
      <c r="AX415" s="8">
        <v>67.765942921569405</v>
      </c>
      <c r="AY415" s="8">
        <v>56.219747299612358</v>
      </c>
      <c r="AZ415" s="8">
        <v>31.29226233034953</v>
      </c>
      <c r="BA415" s="8">
        <v>32.722148192071018</v>
      </c>
      <c r="BB415" s="8">
        <v>0.68209291756272228</v>
      </c>
      <c r="BC415" s="8">
        <v>68.097948767445402</v>
      </c>
      <c r="BD415" s="8">
        <v>46.774829766205308</v>
      </c>
      <c r="BE415" s="8">
        <v>34.866765044983978</v>
      </c>
      <c r="BF415" s="8">
        <v>30.515608834838481</v>
      </c>
      <c r="BG415" s="8">
        <v>0.66108482082921871</v>
      </c>
      <c r="BH415" s="8">
        <v>62.86255799790451</v>
      </c>
      <c r="BI415" s="8">
        <v>49.255308336817528</v>
      </c>
    </row>
    <row r="416" spans="1:61" x14ac:dyDescent="0.15">
      <c r="A416" s="7">
        <v>2020</v>
      </c>
      <c r="B416" s="7">
        <v>33</v>
      </c>
      <c r="C416" s="7">
        <v>8.9915911391304526</v>
      </c>
      <c r="D416" s="7">
        <v>4.4372839221386737</v>
      </c>
      <c r="E416" s="8">
        <v>20.569465147518571</v>
      </c>
      <c r="F416" s="8">
        <v>12.211638232482249</v>
      </c>
      <c r="G416" s="8">
        <v>0.66959055006834933</v>
      </c>
      <c r="H416" s="8">
        <v>64.117663841165864</v>
      </c>
      <c r="I416" s="8">
        <v>30.44942504981238</v>
      </c>
      <c r="J416" s="8">
        <v>22.423399934190861</v>
      </c>
      <c r="K416" s="8">
        <v>15.31170176457532</v>
      </c>
      <c r="L416" s="8">
        <v>0.68069874891124138</v>
      </c>
      <c r="M416" s="8">
        <v>57.495201211621122</v>
      </c>
      <c r="N416" s="8">
        <v>37.146433475070197</v>
      </c>
      <c r="O416" s="8">
        <v>288.94499999999999</v>
      </c>
      <c r="P416" s="8">
        <v>282.185</v>
      </c>
      <c r="Q416" s="8">
        <v>79.037999999999997</v>
      </c>
      <c r="R416" s="8">
        <v>0.64365300000000003</v>
      </c>
      <c r="S416" s="8">
        <v>1.3439700000000001</v>
      </c>
      <c r="T416" s="7">
        <f>C416-D416</f>
        <v>4.5543072169917789</v>
      </c>
      <c r="U416" s="8">
        <f>D416/C416</f>
        <v>0.49349262588554366</v>
      </c>
      <c r="V416" s="8">
        <v>19.524883120803196</v>
      </c>
      <c r="W416" s="8">
        <v>9.3623740018210011</v>
      </c>
      <c r="X416" s="8">
        <v>0.62351709653861598</v>
      </c>
      <c r="Y416" s="8">
        <v>62.952163433929258</v>
      </c>
      <c r="Z416" s="8">
        <v>29.360816852947949</v>
      </c>
      <c r="AA416" s="7">
        <v>20.974141527497029</v>
      </c>
      <c r="AB416" s="7">
        <v>12.33703788319816</v>
      </c>
      <c r="AC416" s="7">
        <v>0.65210792272492868</v>
      </c>
      <c r="AD416" s="7">
        <v>60.22368232277519</v>
      </c>
      <c r="AE416" s="7">
        <v>33.253625164009073</v>
      </c>
      <c r="AF416" s="8">
        <v>23.67317156639583</v>
      </c>
      <c r="AG416" s="8">
        <v>16.539906243645429</v>
      </c>
      <c r="AH416" s="8">
        <v>0.70177278960901768</v>
      </c>
      <c r="AI416" s="8">
        <v>57.114673524146149</v>
      </c>
      <c r="AJ416" s="8">
        <v>37.704354584639447</v>
      </c>
      <c r="AK416" s="8">
        <v>22.211630880434711</v>
      </c>
      <c r="AL416" s="8">
        <v>15.103587182959441</v>
      </c>
      <c r="AM416" s="8">
        <v>0.67712783279954092</v>
      </c>
      <c r="AN416" s="8">
        <v>57.559680182201063</v>
      </c>
      <c r="AO416" s="8">
        <v>37.051895863238187</v>
      </c>
      <c r="AP416" s="8">
        <v>21.200085355796919</v>
      </c>
      <c r="AQ416" s="8">
        <v>11.568549871515129</v>
      </c>
      <c r="AR416" s="8">
        <v>0.62731282413617862</v>
      </c>
      <c r="AS416" s="8">
        <v>55.711453352904293</v>
      </c>
      <c r="AT416" s="8">
        <v>35.995998370534522</v>
      </c>
      <c r="AU416" s="8">
        <v>20.291820794390699</v>
      </c>
      <c r="AV416" s="8">
        <v>12.836940753709129</v>
      </c>
      <c r="AW416" s="8">
        <v>0.60393158546530823</v>
      </c>
      <c r="AX416" s="8">
        <v>57.829463691657701</v>
      </c>
      <c r="AY416" s="8">
        <v>34.019853214793677</v>
      </c>
      <c r="AZ416" s="8">
        <v>26.00015203029221</v>
      </c>
      <c r="BA416" s="8">
        <v>20.729148578970509</v>
      </c>
      <c r="BB416" s="8">
        <v>0.75215389089589002</v>
      </c>
      <c r="BC416" s="8">
        <v>55.646258154324023</v>
      </c>
      <c r="BD416" s="8">
        <v>43.5633123527723</v>
      </c>
      <c r="BE416" s="8">
        <v>20.68306924326647</v>
      </c>
      <c r="BF416" s="8">
        <v>24.389273933912381</v>
      </c>
      <c r="BG416" s="8">
        <v>0.68048636903945514</v>
      </c>
      <c r="BH416" s="8">
        <v>60.046631095754172</v>
      </c>
      <c r="BI416" s="8">
        <v>42.166284106911228</v>
      </c>
    </row>
    <row r="417" spans="1:61" x14ac:dyDescent="0.15">
      <c r="A417" s="7">
        <v>2022</v>
      </c>
      <c r="B417" s="7">
        <v>83</v>
      </c>
      <c r="C417" s="7">
        <v>61.70440122763322</v>
      </c>
      <c r="D417" s="7">
        <v>48.779560216699267</v>
      </c>
      <c r="E417" s="8">
        <v>21.076315292736719</v>
      </c>
      <c r="F417" s="8">
        <v>12.08809849844736</v>
      </c>
      <c r="G417" s="8">
        <v>0.66972712069725682</v>
      </c>
      <c r="H417" s="8">
        <v>53.632443209988523</v>
      </c>
      <c r="I417" s="8">
        <v>30.16506991075547</v>
      </c>
      <c r="J417" s="8">
        <v>16.492352072165119</v>
      </c>
      <c r="K417" s="8">
        <v>12.934149115485759</v>
      </c>
      <c r="L417" s="8">
        <v>0.64379089103078824</v>
      </c>
      <c r="M417" s="8">
        <v>59.311809942040867</v>
      </c>
      <c r="N417" s="8">
        <v>31.99534304161417</v>
      </c>
      <c r="O417" s="8">
        <v>296.863</v>
      </c>
      <c r="P417" s="8">
        <v>293.06700000000001</v>
      </c>
      <c r="Q417" s="8">
        <v>100.797</v>
      </c>
      <c r="R417" s="8">
        <v>-1.8338699999999999</v>
      </c>
      <c r="S417" s="8">
        <v>-0.25849499999999997</v>
      </c>
      <c r="T417" s="7">
        <f>C417-D417</f>
        <v>12.924841010933953</v>
      </c>
      <c r="U417" s="8">
        <f>D417/C417</f>
        <v>0.79053615700356572</v>
      </c>
      <c r="V417" s="8">
        <v>20.544636602193023</v>
      </c>
      <c r="W417" s="8">
        <v>13.20829131721068</v>
      </c>
      <c r="X417" s="8">
        <v>0.66820230569707417</v>
      </c>
      <c r="Y417" s="8">
        <v>53.288428832696837</v>
      </c>
      <c r="Z417" s="8">
        <v>32.329609541680234</v>
      </c>
      <c r="AA417" s="7">
        <v>18.518494337179071</v>
      </c>
      <c r="AB417" s="7">
        <v>13.07122021634822</v>
      </c>
      <c r="AC417" s="7">
        <v>0.6559965983639312</v>
      </c>
      <c r="AD417" s="7">
        <v>56.300119387368852</v>
      </c>
      <c r="AE417" s="7">
        <v>32.162476291647202</v>
      </c>
      <c r="AF417" s="8">
        <v>16.645068005587781</v>
      </c>
      <c r="AG417" s="8">
        <v>12.360430813049041</v>
      </c>
      <c r="AH417" s="8">
        <v>0.64982438013422494</v>
      </c>
      <c r="AI417" s="8">
        <v>58.827041413211873</v>
      </c>
      <c r="AJ417" s="8">
        <v>31.397982589663808</v>
      </c>
      <c r="AK417" s="8">
        <v>16.476494895958659</v>
      </c>
      <c r="AL417" s="8">
        <v>12.9937208445825</v>
      </c>
      <c r="AM417" s="8">
        <v>0.64316440695863708</v>
      </c>
      <c r="AN417" s="8">
        <v>59.362145619587473</v>
      </c>
      <c r="AO417" s="8">
        <v>32.057369640496503</v>
      </c>
      <c r="AP417" s="8">
        <v>17.721389157089732</v>
      </c>
      <c r="AQ417" s="8">
        <v>11.888199027710669</v>
      </c>
      <c r="AR417" s="8">
        <v>0.65652733990283663</v>
      </c>
      <c r="AS417" s="8">
        <v>57.939748884640998</v>
      </c>
      <c r="AT417" s="8">
        <v>31.939401112838642</v>
      </c>
      <c r="AU417" s="8">
        <v>16.548809266324081</v>
      </c>
      <c r="AV417" s="8">
        <v>16.88925946796989</v>
      </c>
      <c r="AW417" s="8">
        <v>0.62631539362380073</v>
      </c>
      <c r="AX417" s="8">
        <v>60.047232509285116</v>
      </c>
      <c r="AY417" s="8">
        <v>31.98579440892054</v>
      </c>
      <c r="AZ417" s="8">
        <v>14.723025052680359</v>
      </c>
      <c r="BA417" s="8">
        <v>14.17315632170205</v>
      </c>
      <c r="BB417" s="8">
        <v>0.62630035834792808</v>
      </c>
      <c r="BC417" s="8">
        <v>60.780171858667927</v>
      </c>
      <c r="BD417" s="8">
        <v>31.835733058158478</v>
      </c>
      <c r="BE417" s="8">
        <v>18.559628810387771</v>
      </c>
      <c r="BF417" s="8">
        <v>17.649357373090421</v>
      </c>
      <c r="BG417" s="8">
        <v>0.68001473265834389</v>
      </c>
      <c r="BH417" s="8">
        <v>57.336917618520083</v>
      </c>
      <c r="BI417" s="8">
        <v>30.920308149076149</v>
      </c>
    </row>
    <row r="418" spans="1:61" x14ac:dyDescent="0.15">
      <c r="A418" s="7">
        <v>2021</v>
      </c>
      <c r="B418" s="7">
        <v>43</v>
      </c>
      <c r="C418" s="7">
        <v>68.098702962611554</v>
      </c>
      <c r="D418" s="7">
        <v>42.78888132609768</v>
      </c>
      <c r="E418" s="8">
        <v>35.093029908727623</v>
      </c>
      <c r="F418" s="8">
        <v>31.71096743370984</v>
      </c>
      <c r="G418" s="8">
        <v>0.6697315070320965</v>
      </c>
      <c r="H418" s="8">
        <v>67.909756930097984</v>
      </c>
      <c r="I418" s="8">
        <v>53.749396840449023</v>
      </c>
      <c r="J418" s="8">
        <v>29.770798636232961</v>
      </c>
      <c r="K418" s="8">
        <v>29.846470015408009</v>
      </c>
      <c r="L418" s="8">
        <v>0.65140914541111261</v>
      </c>
      <c r="M418" s="8">
        <v>69.796784794258656</v>
      </c>
      <c r="N418" s="8">
        <v>49.426023282703817</v>
      </c>
      <c r="O418" s="8">
        <v>289.84699999999998</v>
      </c>
      <c r="P418" s="8">
        <v>284.75599999999997</v>
      </c>
      <c r="Q418" s="8">
        <v>101.602</v>
      </c>
      <c r="R418" s="8">
        <v>-0.77505100000000005</v>
      </c>
      <c r="S418" s="8">
        <v>-1.19258E-2</v>
      </c>
      <c r="T418" s="7">
        <f>C418-D418</f>
        <v>25.309821636513874</v>
      </c>
      <c r="U418" s="8">
        <f>D418/C418</f>
        <v>0.62833621588343902</v>
      </c>
      <c r="V418" s="8">
        <v>29.659779151520958</v>
      </c>
      <c r="W418" s="8">
        <v>26.959717731771491</v>
      </c>
      <c r="X418" s="8">
        <v>0.62371579737676863</v>
      </c>
      <c r="Y418" s="8">
        <v>72.367607870056105</v>
      </c>
      <c r="Z418" s="8">
        <v>45.749103817491338</v>
      </c>
      <c r="AA418" s="7">
        <v>29.715288893876959</v>
      </c>
      <c r="AB418" s="7">
        <v>28.40309387358975</v>
      </c>
      <c r="AC418" s="7">
        <v>0.63756247139394062</v>
      </c>
      <c r="AD418" s="7">
        <v>71.08219633215738</v>
      </c>
      <c r="AE418" s="7">
        <v>47.587563550097578</v>
      </c>
      <c r="AF418" s="8">
        <v>27.582406842770389</v>
      </c>
      <c r="AG418" s="8">
        <v>31.39194679952411</v>
      </c>
      <c r="AH418" s="8">
        <v>0.64939395326265426</v>
      </c>
      <c r="AI418" s="8">
        <v>70.030740494246274</v>
      </c>
      <c r="AJ418" s="8">
        <v>46.764747565108578</v>
      </c>
      <c r="AK418" s="8">
        <v>29.913806540595189</v>
      </c>
      <c r="AL418" s="8">
        <v>29.74547557885548</v>
      </c>
      <c r="AM418" s="8">
        <v>0.65154083499562809</v>
      </c>
      <c r="AN418" s="8">
        <v>69.781496163370548</v>
      </c>
      <c r="AO418" s="8">
        <v>49.599933395344657</v>
      </c>
      <c r="AP418" s="8">
        <v>28.847499620341662</v>
      </c>
      <c r="AQ418" s="8">
        <v>28.119045864517691</v>
      </c>
      <c r="AR418" s="8">
        <v>0.61902528045784111</v>
      </c>
      <c r="AS418" s="8">
        <v>71.598671234075852</v>
      </c>
      <c r="AT418" s="8">
        <v>45.817413197202349</v>
      </c>
      <c r="AU418" s="8">
        <v>25.670254125773798</v>
      </c>
      <c r="AV418" s="8">
        <v>20.66264950516085</v>
      </c>
      <c r="AW418" s="8">
        <v>0.82943947740803892</v>
      </c>
      <c r="AX418" s="8">
        <v>73.981231390139669</v>
      </c>
      <c r="AY418" s="8">
        <v>47.039169478337229</v>
      </c>
      <c r="AZ418" s="8">
        <v>31.700696354225531</v>
      </c>
      <c r="BA418" s="8">
        <v>28.635771973032671</v>
      </c>
      <c r="BB418" s="8">
        <v>0.65043797031823403</v>
      </c>
      <c r="BC418" s="8">
        <v>70.695119810283813</v>
      </c>
      <c r="BD418" s="8">
        <v>52.672895848090981</v>
      </c>
      <c r="BE418" s="8">
        <v>34.208763550957002</v>
      </c>
      <c r="BF418" s="8">
        <v>28.493900772503821</v>
      </c>
      <c r="BG418" s="8">
        <v>0.59092666371264457</v>
      </c>
      <c r="BH418" s="8">
        <v>58.75881185864403</v>
      </c>
      <c r="BI418" s="8">
        <v>50.716440571439939</v>
      </c>
    </row>
    <row r="419" spans="1:61" x14ac:dyDescent="0.15">
      <c r="A419" s="7">
        <v>2021</v>
      </c>
      <c r="B419" s="7">
        <v>28</v>
      </c>
      <c r="C419" s="7">
        <v>117.64948719242449</v>
      </c>
      <c r="D419" s="7">
        <v>74.404744821614543</v>
      </c>
      <c r="E419" s="8">
        <v>36.533110418324441</v>
      </c>
      <c r="F419" s="8">
        <v>26.82885150617151</v>
      </c>
      <c r="G419" s="8">
        <v>0.67006725237675935</v>
      </c>
      <c r="H419" s="8">
        <v>74.16029230282102</v>
      </c>
      <c r="I419" s="8">
        <v>48.291542045975874</v>
      </c>
      <c r="J419" s="8">
        <v>40.764399013933087</v>
      </c>
      <c r="K419" s="8">
        <v>24.647175872884109</v>
      </c>
      <c r="L419" s="8">
        <v>0.68990777560060168</v>
      </c>
      <c r="M419" s="8">
        <v>74.046872479696788</v>
      </c>
      <c r="N419" s="8">
        <v>63.012825191608847</v>
      </c>
      <c r="O419" s="8">
        <v>289.017</v>
      </c>
      <c r="P419" s="8">
        <v>282.82499999999999</v>
      </c>
      <c r="Q419" s="8">
        <v>101.062</v>
      </c>
      <c r="R419" s="8">
        <v>-0.59036699999999998</v>
      </c>
      <c r="S419" s="8">
        <v>0.139517</v>
      </c>
      <c r="T419" s="7">
        <f>C419-D419</f>
        <v>43.244742370809945</v>
      </c>
      <c r="U419" s="8">
        <f>D419/C419</f>
        <v>0.63242727696653744</v>
      </c>
      <c r="V419" s="8">
        <v>34.82008692529746</v>
      </c>
      <c r="W419" s="8">
        <v>24.83092606585733</v>
      </c>
      <c r="X419" s="8">
        <v>0.69436907204558274</v>
      </c>
      <c r="Y419" s="8">
        <v>70.509848974100265</v>
      </c>
      <c r="Z419" s="8">
        <v>55.048080621290147</v>
      </c>
      <c r="AA419" s="7">
        <v>37.792242969615273</v>
      </c>
      <c r="AB419" s="7">
        <v>24.739050969370719</v>
      </c>
      <c r="AC419" s="7">
        <v>0.69213842382309221</v>
      </c>
      <c r="AD419" s="7">
        <v>72.278360726898526</v>
      </c>
      <c r="AE419" s="7">
        <v>59.030452906449497</v>
      </c>
      <c r="AF419" s="8">
        <v>39.672181140282788</v>
      </c>
      <c r="AG419" s="8">
        <v>22.57113158409172</v>
      </c>
      <c r="AH419" s="8">
        <v>0.66924301692979815</v>
      </c>
      <c r="AI419" s="8">
        <v>75.796579201124032</v>
      </c>
      <c r="AJ419" s="8">
        <v>57.371697588368889</v>
      </c>
      <c r="AK419" s="8">
        <v>40.860480252578078</v>
      </c>
      <c r="AL419" s="8">
        <v>24.829803269451411</v>
      </c>
      <c r="AM419" s="8">
        <v>0.69172563232799145</v>
      </c>
      <c r="AN419" s="8">
        <v>73.892952650040144</v>
      </c>
      <c r="AO419" s="8">
        <v>63.509069155885221</v>
      </c>
      <c r="AP419" s="8">
        <v>36.813627962254088</v>
      </c>
      <c r="AQ419" s="8">
        <v>24.371000523961271</v>
      </c>
      <c r="AR419" s="8">
        <v>0.69197951524014145</v>
      </c>
      <c r="AS419" s="8">
        <v>72.071539417929017</v>
      </c>
      <c r="AT419" s="8">
        <v>57.078412034102918</v>
      </c>
      <c r="AU419" s="8">
        <v>38.506188411797567</v>
      </c>
      <c r="AV419" s="8">
        <v>24.83701996720432</v>
      </c>
      <c r="AW419" s="8">
        <v>0.64156217818775141</v>
      </c>
      <c r="AX419" s="8">
        <v>73.117557565641405</v>
      </c>
      <c r="AY419" s="8">
        <v>66.944884032864948</v>
      </c>
      <c r="AZ419" s="8">
        <v>40.289543937080573</v>
      </c>
      <c r="BA419" s="8">
        <v>24.794466222425939</v>
      </c>
      <c r="BB419" s="8">
        <v>0.69088452582798376</v>
      </c>
      <c r="BC419" s="8">
        <v>73.468282041945301</v>
      </c>
      <c r="BD419" s="8">
        <v>64.648753355277265</v>
      </c>
      <c r="BE419" s="8">
        <v>42.961685724782193</v>
      </c>
      <c r="BF419" s="8">
        <v>32.549500888172837</v>
      </c>
      <c r="BG419" s="8">
        <v>0.67500041697608026</v>
      </c>
      <c r="BH419" s="8">
        <v>67.89842658916146</v>
      </c>
      <c r="BI419" s="8">
        <v>77.713982115528481</v>
      </c>
    </row>
    <row r="420" spans="1:61" x14ac:dyDescent="0.15">
      <c r="A420" s="7">
        <v>2021</v>
      </c>
      <c r="B420" s="7">
        <v>2</v>
      </c>
      <c r="C420" s="7">
        <v>307.6663698855341</v>
      </c>
      <c r="D420" s="7">
        <v>287.5643895460916</v>
      </c>
      <c r="E420" s="8">
        <v>28.488768873607441</v>
      </c>
      <c r="F420" s="8">
        <v>22.374506171574321</v>
      </c>
      <c r="G420" s="8">
        <v>0.67007459518206824</v>
      </c>
      <c r="H420" s="8">
        <v>67.785171292661929</v>
      </c>
      <c r="I420" s="8">
        <v>52.822932150340833</v>
      </c>
      <c r="J420" s="8">
        <v>32.89345479914352</v>
      </c>
      <c r="K420" s="8">
        <v>30.460675448254019</v>
      </c>
      <c r="L420" s="8">
        <v>0.74528113777295313</v>
      </c>
      <c r="M420" s="8">
        <v>61.184866544081324</v>
      </c>
      <c r="N420" s="8">
        <v>55.957812887711093</v>
      </c>
      <c r="O420" s="8">
        <v>283.15100000000001</v>
      </c>
      <c r="P420" s="8">
        <v>274.51299999999998</v>
      </c>
      <c r="Q420" s="8">
        <v>95.047600000000003</v>
      </c>
      <c r="R420" s="8">
        <v>0.558203</v>
      </c>
      <c r="S420" s="8">
        <v>-0.25081199999999998</v>
      </c>
      <c r="T420" s="7">
        <f>C420-D420</f>
        <v>20.101980339442491</v>
      </c>
      <c r="U420" s="8">
        <f>D420/C420</f>
        <v>0.93466305613147993</v>
      </c>
      <c r="V420" s="8">
        <v>28.801305604806039</v>
      </c>
      <c r="W420" s="8">
        <v>23.832272820041783</v>
      </c>
      <c r="X420" s="8">
        <v>0.69975904593074145</v>
      </c>
      <c r="Y420" s="8">
        <v>67.61748938582636</v>
      </c>
      <c r="Z420" s="8">
        <v>53.106595492682622</v>
      </c>
      <c r="AA420" s="7">
        <v>30.847380201974779</v>
      </c>
      <c r="AB420" s="7">
        <v>27.146474134147901</v>
      </c>
      <c r="AC420" s="7">
        <v>0.72252009185184729</v>
      </c>
      <c r="AD420" s="7">
        <v>64.401177964953845</v>
      </c>
      <c r="AE420" s="7">
        <v>54.532204190196857</v>
      </c>
      <c r="AF420" s="8">
        <v>32.630760931602197</v>
      </c>
      <c r="AG420" s="8">
        <v>29.965887926431829</v>
      </c>
      <c r="AH420" s="8">
        <v>0.73383932957250197</v>
      </c>
      <c r="AI420" s="8">
        <v>61.590092351608142</v>
      </c>
      <c r="AJ420" s="8">
        <v>54.617972834237193</v>
      </c>
      <c r="AK420" s="8">
        <v>32.916749670683593</v>
      </c>
      <c r="AL420" s="8">
        <v>30.50455166001473</v>
      </c>
      <c r="AM420" s="8">
        <v>0.74629576158092537</v>
      </c>
      <c r="AN420" s="8">
        <v>61.148932385361093</v>
      </c>
      <c r="AO420" s="8">
        <v>56.076625718105838</v>
      </c>
      <c r="AP420" s="8">
        <v>32.064092618290417</v>
      </c>
      <c r="AQ420" s="8">
        <v>31.97002995824846</v>
      </c>
      <c r="AR420" s="8">
        <v>0.7895930518180887</v>
      </c>
      <c r="AS420" s="8">
        <v>60.710240968655349</v>
      </c>
      <c r="AT420" s="8">
        <v>53.89092873282663</v>
      </c>
      <c r="AU420" s="8">
        <v>30.48270019255332</v>
      </c>
      <c r="AV420" s="8">
        <v>26.133261297997251</v>
      </c>
      <c r="AW420" s="8">
        <v>0.7841067585837953</v>
      </c>
      <c r="AX420" s="8">
        <v>64.622421032705248</v>
      </c>
      <c r="AY420" s="8">
        <v>56.417856014378472</v>
      </c>
      <c r="AZ420" s="8">
        <v>34.820245389883752</v>
      </c>
      <c r="BA420" s="8">
        <v>31.98085949595027</v>
      </c>
      <c r="BB420" s="8">
        <v>0.75069605234177961</v>
      </c>
      <c r="BC420" s="8">
        <v>61.297739890553039</v>
      </c>
      <c r="BD420" s="8">
        <v>59.136572276843722</v>
      </c>
      <c r="BE420" s="8">
        <v>39.019009923135492</v>
      </c>
      <c r="BF420" s="8">
        <v>31.603940582393712</v>
      </c>
      <c r="BG420" s="8">
        <v>0.76758670248789795</v>
      </c>
      <c r="BH420" s="8">
        <v>62.84770784401627</v>
      </c>
      <c r="BI420" s="8">
        <v>77.976044699828975</v>
      </c>
    </row>
    <row r="421" spans="1:61" x14ac:dyDescent="0.15">
      <c r="A421" s="7">
        <v>2017</v>
      </c>
      <c r="B421" s="7">
        <v>36</v>
      </c>
      <c r="C421" s="7">
        <v>62.870803647278592</v>
      </c>
      <c r="D421" s="7">
        <v>30.00886917734984</v>
      </c>
      <c r="E421" s="8">
        <v>30.37777306329664</v>
      </c>
      <c r="F421" s="8">
        <v>17.821349967371731</v>
      </c>
      <c r="G421" s="8">
        <v>0.67023563373861428</v>
      </c>
      <c r="H421" s="8">
        <v>70.20359783461727</v>
      </c>
      <c r="I421" s="8">
        <v>48.172637579000693</v>
      </c>
      <c r="J421" s="8">
        <v>41.683102365108589</v>
      </c>
      <c r="K421" s="8">
        <v>23.79151460126965</v>
      </c>
      <c r="L421" s="8">
        <v>0.78372579327426239</v>
      </c>
      <c r="M421" s="8">
        <v>63.339936962073232</v>
      </c>
      <c r="N421" s="8">
        <v>64.371535562446894</v>
      </c>
      <c r="O421" s="8">
        <v>292.21199999999999</v>
      </c>
      <c r="P421" s="8">
        <v>287.71600000000001</v>
      </c>
      <c r="Q421" s="8">
        <v>100.879</v>
      </c>
      <c r="R421" s="8">
        <v>-0.26372200000000001</v>
      </c>
      <c r="S421" s="8">
        <v>-1.1539600000000001</v>
      </c>
      <c r="T421" s="7">
        <f>C421-D421</f>
        <v>32.861934469928755</v>
      </c>
      <c r="U421" s="8">
        <f>D421/C421</f>
        <v>0.47731009365980637</v>
      </c>
      <c r="V421" s="8">
        <v>35.225816467837952</v>
      </c>
      <c r="W421" s="8">
        <v>21.26750979944153</v>
      </c>
      <c r="X421" s="8">
        <v>0.73973660793513629</v>
      </c>
      <c r="Y421" s="8">
        <v>63.167308812356033</v>
      </c>
      <c r="Z421" s="8">
        <v>54.271378555032527</v>
      </c>
      <c r="AA421" s="7">
        <v>38.45445941647327</v>
      </c>
      <c r="AB421" s="7">
        <v>22.52951220035559</v>
      </c>
      <c r="AC421" s="7">
        <v>0.76173120060469934</v>
      </c>
      <c r="AD421" s="7">
        <v>63.253622887214632</v>
      </c>
      <c r="AE421" s="7">
        <v>59.321457058739711</v>
      </c>
      <c r="AF421" s="8">
        <v>41.946530143847177</v>
      </c>
      <c r="AG421" s="8">
        <v>22.737841627588139</v>
      </c>
      <c r="AH421" s="8">
        <v>0.7914874456238522</v>
      </c>
      <c r="AI421" s="8">
        <v>62.859532881316113</v>
      </c>
      <c r="AJ421" s="8">
        <v>63.439509380218787</v>
      </c>
      <c r="AK421" s="8">
        <v>41.649546964745412</v>
      </c>
      <c r="AL421" s="8">
        <v>23.925731344291389</v>
      </c>
      <c r="AM421" s="8">
        <v>0.78273711488462017</v>
      </c>
      <c r="AN421" s="8">
        <v>63.401130779001363</v>
      </c>
      <c r="AO421" s="8">
        <v>64.49025695106954</v>
      </c>
      <c r="AP421" s="8">
        <v>38.160898682093382</v>
      </c>
      <c r="AQ421" s="8">
        <v>22.17187667056027</v>
      </c>
      <c r="AR421" s="8">
        <v>0.74219998263912945</v>
      </c>
      <c r="AS421" s="8">
        <v>63.0145682484033</v>
      </c>
      <c r="AT421" s="8">
        <v>58.863945009286233</v>
      </c>
      <c r="AU421" s="8">
        <v>39.26593006288298</v>
      </c>
      <c r="AV421" s="8">
        <v>25.03110624580092</v>
      </c>
      <c r="AW421" s="8">
        <v>0.66982768623054845</v>
      </c>
      <c r="AX421" s="8">
        <v>63.582817587952057</v>
      </c>
      <c r="AY421" s="8">
        <v>58.901755844757872</v>
      </c>
      <c r="AZ421" s="8">
        <v>43.371672453283367</v>
      </c>
      <c r="BA421" s="8">
        <v>24.14555179293594</v>
      </c>
      <c r="BB421" s="8">
        <v>0.81577683736228201</v>
      </c>
      <c r="BC421" s="8">
        <v>62.347217667531503</v>
      </c>
      <c r="BD421" s="8">
        <v>66.41754135057127</v>
      </c>
      <c r="BE421" s="8">
        <v>39.093630642462387</v>
      </c>
      <c r="BF421" s="8">
        <v>26.301909078876879</v>
      </c>
      <c r="BG421" s="8">
        <v>0.69362686187732925</v>
      </c>
      <c r="BH421" s="8">
        <v>64.30977228026498</v>
      </c>
      <c r="BI421" s="8">
        <v>59.704013665627407</v>
      </c>
    </row>
    <row r="422" spans="1:61" x14ac:dyDescent="0.15">
      <c r="A422" s="7">
        <v>2019</v>
      </c>
      <c r="B422" s="7">
        <v>73</v>
      </c>
      <c r="C422" s="7">
        <v>14.675665726107109</v>
      </c>
      <c r="D422" s="7">
        <v>0.92935686967074427</v>
      </c>
      <c r="E422" s="8">
        <v>23.56178539136366</v>
      </c>
      <c r="F422" s="8">
        <v>25.88749663073509</v>
      </c>
      <c r="G422" s="8">
        <v>0.67107801106039044</v>
      </c>
      <c r="H422" s="8">
        <v>58.179064322380633</v>
      </c>
      <c r="I422" s="8">
        <v>38.304016783267272</v>
      </c>
      <c r="J422" s="8">
        <v>26.15828182523348</v>
      </c>
      <c r="K422" s="8">
        <v>29.628844310476619</v>
      </c>
      <c r="L422" s="8">
        <v>0.68826042914864982</v>
      </c>
      <c r="M422" s="8">
        <v>64.040149817537042</v>
      </c>
      <c r="N422" s="8">
        <v>39.626071076040148</v>
      </c>
      <c r="O422" s="8">
        <v>297.24400000000003</v>
      </c>
      <c r="P422" s="8">
        <v>293.60000000000002</v>
      </c>
      <c r="Q422" s="8">
        <v>100.925</v>
      </c>
      <c r="R422" s="8">
        <v>-1.5327</v>
      </c>
      <c r="S422" s="8">
        <v>-4.3515100000000001E-2</v>
      </c>
      <c r="T422" s="7">
        <f>C422-D422</f>
        <v>13.746308856436364</v>
      </c>
      <c r="U422" s="8">
        <f>D422/C422</f>
        <v>6.3326385801870333E-2</v>
      </c>
      <c r="V422" s="8">
        <v>31.380292683145441</v>
      </c>
      <c r="W422" s="8">
        <v>29.372748917642323</v>
      </c>
      <c r="X422" s="8">
        <v>0.89029780290779414</v>
      </c>
      <c r="Y422" s="8">
        <v>63.187651956487755</v>
      </c>
      <c r="Z422" s="8">
        <v>44.063249699909449</v>
      </c>
      <c r="AA422" s="7">
        <v>28.769287254189461</v>
      </c>
      <c r="AB422" s="7">
        <v>29.500796614059471</v>
      </c>
      <c r="AC422" s="7">
        <v>0.78927911602822198</v>
      </c>
      <c r="AD422" s="7">
        <v>63.613900887012399</v>
      </c>
      <c r="AE422" s="7">
        <v>41.844660387974798</v>
      </c>
      <c r="AF422" s="8">
        <v>26.775588672900199</v>
      </c>
      <c r="AG422" s="8">
        <v>30.712266213109231</v>
      </c>
      <c r="AH422" s="8">
        <v>0.70302745818660384</v>
      </c>
      <c r="AI422" s="8">
        <v>62.476265622336307</v>
      </c>
      <c r="AJ422" s="8">
        <v>40.292747436172867</v>
      </c>
      <c r="AK422" s="8">
        <v>26.097564716598111</v>
      </c>
      <c r="AL422" s="8">
        <v>29.522281025768681</v>
      </c>
      <c r="AM422" s="8">
        <v>0.68680797270869942</v>
      </c>
      <c r="AN422" s="8">
        <v>64.193970444883121</v>
      </c>
      <c r="AO422" s="8">
        <v>39.560498077561668</v>
      </c>
      <c r="AP422" s="8">
        <v>25.042785346569161</v>
      </c>
      <c r="AQ422" s="8">
        <v>28.63519635003578</v>
      </c>
      <c r="AR422" s="8">
        <v>0.70495023300743109</v>
      </c>
      <c r="AS422" s="8">
        <v>64.647532578338996</v>
      </c>
      <c r="AT422" s="8">
        <v>38.582652755533459</v>
      </c>
      <c r="AU422" s="8">
        <v>23.712505802354752</v>
      </c>
      <c r="AV422" s="8">
        <v>24.901986055223588</v>
      </c>
      <c r="AW422" s="8">
        <v>0.66892802436398469</v>
      </c>
      <c r="AX422" s="8">
        <v>64.270729423143422</v>
      </c>
      <c r="AY422" s="8">
        <v>35.140734078668849</v>
      </c>
      <c r="AZ422" s="8">
        <v>27.012366023732941</v>
      </c>
      <c r="BA422" s="8">
        <v>29.344973350809571</v>
      </c>
      <c r="BB422" s="8">
        <v>0.69670708118679969</v>
      </c>
      <c r="BC422" s="8">
        <v>63.880596847623181</v>
      </c>
      <c r="BD422" s="8">
        <v>40.45425652147042</v>
      </c>
      <c r="BE422" s="8">
        <v>21.920882217298701</v>
      </c>
      <c r="BF422" s="8">
        <v>22.842311079268519</v>
      </c>
      <c r="BG422" s="8">
        <v>0.66567539889531424</v>
      </c>
      <c r="BH422" s="8">
        <v>59.478063967440193</v>
      </c>
      <c r="BI422" s="8">
        <v>33.823839759021951</v>
      </c>
    </row>
    <row r="423" spans="1:61" x14ac:dyDescent="0.15">
      <c r="A423" s="7">
        <v>2023</v>
      </c>
      <c r="B423" s="7">
        <v>4</v>
      </c>
      <c r="C423" s="9">
        <v>325.61359767391474</v>
      </c>
      <c r="D423" s="7">
        <v>297.51352072142379</v>
      </c>
      <c r="E423" s="8">
        <v>29.848120199603581</v>
      </c>
      <c r="F423" s="8">
        <v>21.359020743594598</v>
      </c>
      <c r="G423" s="8">
        <v>0.67119493869578106</v>
      </c>
      <c r="H423" s="8">
        <v>55.874123635690061</v>
      </c>
      <c r="I423" s="8">
        <v>45.643572224428183</v>
      </c>
      <c r="J423" s="8">
        <v>34.006762778052732</v>
      </c>
      <c r="K423" s="8">
        <v>25.94118353123077</v>
      </c>
      <c r="L423" s="8">
        <v>0.66028846483338655</v>
      </c>
      <c r="M423" s="8">
        <v>53.474789613684983</v>
      </c>
      <c r="N423" s="8">
        <v>53.911372192500558</v>
      </c>
      <c r="O423" s="7">
        <v>289.70499999999998</v>
      </c>
      <c r="P423" s="7">
        <v>285.47399999999999</v>
      </c>
      <c r="Q423" s="7">
        <v>93.189300000000003</v>
      </c>
      <c r="R423" s="7">
        <v>-0.51248400000000005</v>
      </c>
      <c r="S423" s="7">
        <v>-0.19933100000000001</v>
      </c>
      <c r="T423" s="7">
        <f>C423-D423</f>
        <v>28.100076952490951</v>
      </c>
      <c r="U423" s="8">
        <f>D423/C423</f>
        <v>0.91370115636070048</v>
      </c>
      <c r="V423" s="8">
        <v>28.835201662023266</v>
      </c>
      <c r="W423" s="8">
        <v>19.853803872630792</v>
      </c>
      <c r="X423" s="8">
        <v>0.65932487526655581</v>
      </c>
      <c r="Y423" s="8">
        <v>56.82288973211957</v>
      </c>
      <c r="Z423" s="8">
        <v>44.434569671264519</v>
      </c>
      <c r="AA423" s="7">
        <v>31.420982220037999</v>
      </c>
      <c r="AB423" s="7">
        <v>22.897493701930781</v>
      </c>
      <c r="AC423" s="7">
        <v>0.65980667004997118</v>
      </c>
      <c r="AD423" s="7">
        <v>55.148839672902277</v>
      </c>
      <c r="AE423" s="7">
        <v>49.172970931882539</v>
      </c>
      <c r="AF423" s="8">
        <v>35.190441509044391</v>
      </c>
      <c r="AG423" s="8">
        <v>27.773883459871929</v>
      </c>
      <c r="AH423" s="8">
        <v>0.69714651852866527</v>
      </c>
      <c r="AI423" s="8">
        <v>53.400861325077578</v>
      </c>
      <c r="AJ423" s="8">
        <v>55.128087350474608</v>
      </c>
      <c r="AK423" s="8">
        <v>33.849500523385203</v>
      </c>
      <c r="AL423" s="8">
        <v>25.6976930338847</v>
      </c>
      <c r="AM423" s="8">
        <v>0.65539154434726765</v>
      </c>
      <c r="AN423" s="8">
        <v>53.484611644820383</v>
      </c>
      <c r="AO423" s="8">
        <v>53.749720754469848</v>
      </c>
      <c r="AP423" s="8">
        <v>33.654764272425297</v>
      </c>
      <c r="AQ423" s="8">
        <v>24.5650091141339</v>
      </c>
      <c r="AR423" s="8">
        <v>0.64215550126938448</v>
      </c>
      <c r="AS423" s="8">
        <v>54.333965280207089</v>
      </c>
      <c r="AT423" s="8">
        <v>53.904761913270008</v>
      </c>
      <c r="AU423" s="8">
        <v>29.60438772660304</v>
      </c>
      <c r="AV423" s="8">
        <v>18.605846908321261</v>
      </c>
      <c r="AW423" s="8">
        <v>0.56644625828588013</v>
      </c>
      <c r="AX423" s="8">
        <v>59.537919176970838</v>
      </c>
      <c r="AY423" s="8">
        <v>47.333003503820777</v>
      </c>
      <c r="AZ423" s="8">
        <v>33.910496962242107</v>
      </c>
      <c r="BA423" s="8">
        <v>29.69725449467634</v>
      </c>
      <c r="BB423" s="8">
        <v>0.68779675936025397</v>
      </c>
      <c r="BC423" s="8">
        <v>51.477184374496183</v>
      </c>
      <c r="BD423" s="8">
        <v>53.802637153154279</v>
      </c>
      <c r="BE423" s="8">
        <v>27.541038401040961</v>
      </c>
      <c r="BF423" s="8">
        <v>31.443066178993689</v>
      </c>
      <c r="BG423" s="8">
        <v>0.60532490664241601</v>
      </c>
      <c r="BH423" s="8">
        <v>53.640264116754587</v>
      </c>
      <c r="BI423" s="8">
        <v>52.594547830581597</v>
      </c>
    </row>
    <row r="424" spans="1:61" x14ac:dyDescent="0.15">
      <c r="A424" s="7">
        <v>2019</v>
      </c>
      <c r="B424" s="7">
        <v>62</v>
      </c>
      <c r="C424" s="7">
        <v>75.541766521631601</v>
      </c>
      <c r="D424" s="7">
        <v>39.537696830974475</v>
      </c>
      <c r="E424" s="8">
        <v>22.689429166722789</v>
      </c>
      <c r="F424" s="8">
        <v>12.20220427559356</v>
      </c>
      <c r="G424" s="8">
        <v>0.67164707401058132</v>
      </c>
      <c r="H424" s="8">
        <v>67.903245656873082</v>
      </c>
      <c r="I424" s="8">
        <v>34.527858955718422</v>
      </c>
      <c r="J424" s="8">
        <v>27.43207450933987</v>
      </c>
      <c r="K424" s="8">
        <v>16.10462786457731</v>
      </c>
      <c r="L424" s="8">
        <v>0.7962003500579008</v>
      </c>
      <c r="M424" s="8">
        <v>65.420575314471236</v>
      </c>
      <c r="N424" s="8">
        <v>45.798037740757088</v>
      </c>
      <c r="O424" s="8">
        <v>292.69099999999997</v>
      </c>
      <c r="P424" s="8">
        <v>288.274</v>
      </c>
      <c r="Q424" s="8">
        <v>97.115700000000004</v>
      </c>
      <c r="R424" s="8">
        <v>-9.8123799999999997E-2</v>
      </c>
      <c r="S424" s="8">
        <v>-0.51287199999999999</v>
      </c>
      <c r="T424" s="7">
        <f>C424-D424</f>
        <v>36.004069690657126</v>
      </c>
      <c r="U424" s="8">
        <f>D424/C424</f>
        <v>0.52338856571023851</v>
      </c>
      <c r="V424" s="8">
        <v>19.503474277147248</v>
      </c>
      <c r="W424" s="8">
        <v>9.2967905261949504</v>
      </c>
      <c r="X424" s="8">
        <v>0.5672501145893879</v>
      </c>
      <c r="Y424" s="8">
        <v>69.814235467463234</v>
      </c>
      <c r="Z424" s="8">
        <v>26.787133436041408</v>
      </c>
      <c r="AA424" s="7">
        <v>23.467774393243559</v>
      </c>
      <c r="AB424" s="7">
        <v>12.70070919538613</v>
      </c>
      <c r="AC424" s="7">
        <v>0.68172523232364435</v>
      </c>
      <c r="AD424" s="7">
        <v>67.617405390967235</v>
      </c>
      <c r="AE424" s="7">
        <v>36.292585588399248</v>
      </c>
      <c r="AF424" s="8">
        <v>26.42250837458975</v>
      </c>
      <c r="AG424" s="8">
        <v>14.891300157308709</v>
      </c>
      <c r="AH424" s="8">
        <v>0.77698082976443361</v>
      </c>
      <c r="AI424" s="8">
        <v>64.453394685277502</v>
      </c>
      <c r="AJ424" s="8">
        <v>44.640929457237981</v>
      </c>
      <c r="AK424" s="8">
        <v>27.646834776620651</v>
      </c>
      <c r="AL424" s="8">
        <v>16.362733375195148</v>
      </c>
      <c r="AM424" s="8">
        <v>0.80028882843802673</v>
      </c>
      <c r="AN424" s="8">
        <v>65.626319112014357</v>
      </c>
      <c r="AO424" s="8">
        <v>46.044183957124432</v>
      </c>
      <c r="AP424" s="8">
        <v>25.70985074065138</v>
      </c>
      <c r="AQ424" s="8">
        <v>13.670881287593829</v>
      </c>
      <c r="AR424" s="8">
        <v>0.69353237537128654</v>
      </c>
      <c r="AS424" s="8">
        <v>67.321763632442753</v>
      </c>
      <c r="AT424" s="8">
        <v>41.782361671693792</v>
      </c>
      <c r="AU424" s="8">
        <v>26.049640521718139</v>
      </c>
      <c r="AV424" s="8">
        <v>15.89853551582639</v>
      </c>
      <c r="AW424" s="8">
        <v>0.6830972775742199</v>
      </c>
      <c r="AX424" s="8">
        <v>63.917480192421984</v>
      </c>
      <c r="AY424" s="8">
        <v>41.778915068536932</v>
      </c>
      <c r="AZ424" s="8">
        <v>29.462751962992769</v>
      </c>
      <c r="BA424" s="8">
        <v>18.10868393306151</v>
      </c>
      <c r="BB424" s="8">
        <v>0.85543378212061394</v>
      </c>
      <c r="BC424" s="8">
        <v>63.720975363446513</v>
      </c>
      <c r="BD424" s="8">
        <v>48.422778900799081</v>
      </c>
      <c r="BE424" s="8">
        <v>26.896210331503301</v>
      </c>
      <c r="BF424" s="8">
        <v>21.98453563940042</v>
      </c>
      <c r="BG424" s="8">
        <v>0.72265121021779899</v>
      </c>
      <c r="BH424" s="8">
        <v>61.104155189247599</v>
      </c>
      <c r="BI424" s="8">
        <v>42.569802312361503</v>
      </c>
    </row>
    <row r="425" spans="1:61" x14ac:dyDescent="0.15">
      <c r="A425" s="7">
        <v>2019</v>
      </c>
      <c r="B425" s="7">
        <v>143</v>
      </c>
      <c r="C425" s="7">
        <v>45.46430971801567</v>
      </c>
      <c r="D425" s="7">
        <v>20.681154725935745</v>
      </c>
      <c r="E425" s="8">
        <v>30.071202491347531</v>
      </c>
      <c r="F425" s="8">
        <v>16.07646528575896</v>
      </c>
      <c r="G425" s="8">
        <v>0.67203865747382918</v>
      </c>
      <c r="H425" s="8">
        <v>72.280798560706501</v>
      </c>
      <c r="I425" s="8">
        <v>50.385700955780308</v>
      </c>
      <c r="J425" s="8">
        <v>34.289442627120273</v>
      </c>
      <c r="K425" s="8">
        <v>20.013526371812169</v>
      </c>
      <c r="L425" s="8">
        <v>0.71460183888447382</v>
      </c>
      <c r="M425" s="8">
        <v>59.496999766862778</v>
      </c>
      <c r="N425" s="8">
        <v>53.169371363624158</v>
      </c>
      <c r="O425" s="8">
        <v>286.94400000000002</v>
      </c>
      <c r="P425" s="8">
        <v>281.649</v>
      </c>
      <c r="Q425" s="8">
        <v>92.467199999999991</v>
      </c>
      <c r="R425" s="8">
        <v>-0.32206800000000002</v>
      </c>
      <c r="S425" s="8">
        <v>-0.13484499999999999</v>
      </c>
      <c r="T425" s="7">
        <f>C425-D425</f>
        <v>24.783154992079925</v>
      </c>
      <c r="U425" s="8">
        <f>D425/C425</f>
        <v>0.45488768781945538</v>
      </c>
      <c r="V425" s="8">
        <v>27.007678817428307</v>
      </c>
      <c r="W425" s="8">
        <v>13.808294203176594</v>
      </c>
      <c r="X425" s="8">
        <v>0.64490799972274504</v>
      </c>
      <c r="Y425" s="8">
        <v>78.937305436340296</v>
      </c>
      <c r="Z425" s="8">
        <v>47.139356495082346</v>
      </c>
      <c r="AA425" s="7">
        <v>30.64856072227429</v>
      </c>
      <c r="AB425" s="7">
        <v>16.910910287494382</v>
      </c>
      <c r="AC425" s="7">
        <v>0.67975491930360943</v>
      </c>
      <c r="AD425" s="7">
        <v>69.217152601601541</v>
      </c>
      <c r="AE425" s="7">
        <v>50.154363929353252</v>
      </c>
      <c r="AF425" s="8">
        <v>33.555703336486658</v>
      </c>
      <c r="AG425" s="8">
        <v>19.559697528942781</v>
      </c>
      <c r="AH425" s="8">
        <v>0.71704047477486543</v>
      </c>
      <c r="AI425" s="8">
        <v>58.876006174288747</v>
      </c>
      <c r="AJ425" s="8">
        <v>50.786449700634861</v>
      </c>
      <c r="AK425" s="8">
        <v>34.430506527298959</v>
      </c>
      <c r="AL425" s="8">
        <v>20.1007765264733</v>
      </c>
      <c r="AM425" s="8">
        <v>0.71413300275397673</v>
      </c>
      <c r="AN425" s="8">
        <v>59.616387919129807</v>
      </c>
      <c r="AO425" s="8">
        <v>53.627496242436742</v>
      </c>
      <c r="AP425" s="8">
        <v>31.805053603922961</v>
      </c>
      <c r="AQ425" s="8">
        <v>20.1307885191347</v>
      </c>
      <c r="AR425" s="8">
        <v>0.67699823662161929</v>
      </c>
      <c r="AS425" s="8">
        <v>54.426096653546402</v>
      </c>
      <c r="AT425" s="8">
        <v>47.037450532755258</v>
      </c>
      <c r="AU425" s="8">
        <v>30.327715333571359</v>
      </c>
      <c r="AV425" s="8">
        <v>18.189205386467101</v>
      </c>
      <c r="AW425" s="8">
        <v>0.68739219723978462</v>
      </c>
      <c r="AX425" s="8">
        <v>58.552684494760868</v>
      </c>
      <c r="AY425" s="8">
        <v>44.239457436032502</v>
      </c>
      <c r="AZ425" s="8">
        <v>38.534061514601198</v>
      </c>
      <c r="BA425" s="8">
        <v>23.750532163376601</v>
      </c>
      <c r="BB425" s="8">
        <v>0.78287302493427768</v>
      </c>
      <c r="BC425" s="8">
        <v>57.812870077046661</v>
      </c>
      <c r="BD425" s="8">
        <v>61.76810229671247</v>
      </c>
      <c r="BE425" s="8">
        <v>38.795267931797511</v>
      </c>
      <c r="BF425" s="8">
        <v>33.654583244909482</v>
      </c>
      <c r="BG425" s="8">
        <v>0.62390395079421468</v>
      </c>
      <c r="BH425" s="8">
        <v>61.257713230367528</v>
      </c>
      <c r="BI425" s="8">
        <v>74.102856073431226</v>
      </c>
    </row>
    <row r="426" spans="1:61" x14ac:dyDescent="0.15">
      <c r="A426" s="7">
        <v>2021</v>
      </c>
      <c r="B426" s="7">
        <v>138</v>
      </c>
      <c r="C426" s="7">
        <v>24.083759366858335</v>
      </c>
      <c r="D426" s="7">
        <v>14.240837451259802</v>
      </c>
      <c r="E426" s="8">
        <v>32.748154426999648</v>
      </c>
      <c r="F426" s="8">
        <v>26.003991478664702</v>
      </c>
      <c r="G426" s="8">
        <v>0.67237854754934123</v>
      </c>
      <c r="H426" s="8">
        <v>77.428566807224612</v>
      </c>
      <c r="I426" s="8">
        <v>60.803310641812381</v>
      </c>
      <c r="J426" s="8">
        <v>34.87579648334831</v>
      </c>
      <c r="K426" s="8">
        <v>35.916890744070621</v>
      </c>
      <c r="L426" s="8">
        <v>0.67129264428350777</v>
      </c>
      <c r="M426" s="8">
        <v>61.823793723640122</v>
      </c>
      <c r="N426" s="8">
        <v>80.549269157067528</v>
      </c>
      <c r="O426" s="8">
        <v>283.03800000000001</v>
      </c>
      <c r="P426" s="8">
        <v>272.61200000000002</v>
      </c>
      <c r="Q426" s="8">
        <v>87.682500000000005</v>
      </c>
      <c r="R426" s="8">
        <v>0.57508700000000001</v>
      </c>
      <c r="S426" s="8">
        <v>6.8718799999999997E-2</v>
      </c>
      <c r="T426" s="7">
        <f>C426-D426</f>
        <v>9.8429219155985326</v>
      </c>
      <c r="U426" s="8">
        <f>D426/C426</f>
        <v>0.59130458971686206</v>
      </c>
      <c r="V426" s="8">
        <v>33.347710901188364</v>
      </c>
      <c r="W426" s="8">
        <v>30.270967471476204</v>
      </c>
      <c r="X426" s="8">
        <v>0.683055656635292</v>
      </c>
      <c r="Y426" s="8">
        <v>70.344350689601995</v>
      </c>
      <c r="Z426" s="8">
        <v>59.248230786278214</v>
      </c>
      <c r="AA426" s="7">
        <v>34.111753692268337</v>
      </c>
      <c r="AB426" s="7">
        <v>33.093929107773413</v>
      </c>
      <c r="AC426" s="7">
        <v>0.67717415045939988</v>
      </c>
      <c r="AD426" s="7">
        <v>66.084072206621059</v>
      </c>
      <c r="AE426" s="7">
        <v>69.898749971672871</v>
      </c>
      <c r="AF426" s="8">
        <v>35.894221208920932</v>
      </c>
      <c r="AG426" s="8">
        <v>34.827014417844651</v>
      </c>
      <c r="AH426" s="8">
        <v>0.67419032035256721</v>
      </c>
      <c r="AI426" s="8">
        <v>64.3648889659367</v>
      </c>
      <c r="AJ426" s="8">
        <v>79.466279781896787</v>
      </c>
      <c r="AK426" s="8">
        <v>34.703630933851173</v>
      </c>
      <c r="AL426" s="8">
        <v>36.101135246267987</v>
      </c>
      <c r="AM426" s="8">
        <v>0.67080278972659513</v>
      </c>
      <c r="AN426" s="8">
        <v>61.394219452975612</v>
      </c>
      <c r="AO426" s="8">
        <v>80.732349414443448</v>
      </c>
      <c r="AP426" s="8">
        <v>34.044778139029447</v>
      </c>
      <c r="AQ426" s="8">
        <v>36.921154723024998</v>
      </c>
      <c r="AR426" s="8">
        <v>0.67273911624286253</v>
      </c>
      <c r="AS426" s="8">
        <v>61.208984684581253</v>
      </c>
      <c r="AT426" s="8">
        <v>75.034504424436236</v>
      </c>
      <c r="AU426" s="8">
        <v>34.787423414233601</v>
      </c>
      <c r="AV426" s="8">
        <v>34.861728399026191</v>
      </c>
      <c r="AW426" s="8">
        <v>0.68090059446135909</v>
      </c>
      <c r="AX426" s="8">
        <v>62.526120906559022</v>
      </c>
      <c r="AY426" s="8">
        <v>70.674856583178254</v>
      </c>
      <c r="AZ426" s="8">
        <v>36.109499696061413</v>
      </c>
      <c r="BA426" s="8">
        <v>37.460528702814031</v>
      </c>
      <c r="BB426" s="8">
        <v>0.71978707365464756</v>
      </c>
      <c r="BC426" s="8">
        <v>59.46889254171051</v>
      </c>
      <c r="BD426" s="8">
        <v>92.881919617463538</v>
      </c>
      <c r="BE426" s="8">
        <v>36.206778629041573</v>
      </c>
      <c r="BF426" s="8">
        <v>32.7399424657251</v>
      </c>
      <c r="BG426" s="8">
        <v>0.67303416529245286</v>
      </c>
      <c r="BH426" s="8">
        <v>61.946003061133197</v>
      </c>
      <c r="BI426" s="8">
        <v>92.243842257644303</v>
      </c>
    </row>
    <row r="427" spans="1:61" x14ac:dyDescent="0.15">
      <c r="A427" s="7">
        <v>2022</v>
      </c>
      <c r="B427" s="7">
        <v>146</v>
      </c>
      <c r="C427" s="7">
        <v>53.502037494516813</v>
      </c>
      <c r="D427" s="7">
        <v>26.838746762818264</v>
      </c>
      <c r="E427" s="8">
        <v>35.636308556082462</v>
      </c>
      <c r="F427" s="8">
        <v>22.252974291891348</v>
      </c>
      <c r="G427" s="8">
        <v>0.67260328959396642</v>
      </c>
      <c r="H427" s="8">
        <v>68.057068423381253</v>
      </c>
      <c r="I427" s="8">
        <v>55.158312744495561</v>
      </c>
      <c r="J427" s="8">
        <v>41.935010321511477</v>
      </c>
      <c r="K427" s="8">
        <v>24.57410708393671</v>
      </c>
      <c r="L427" s="8">
        <v>0.7913397794688779</v>
      </c>
      <c r="M427" s="8">
        <v>69.161817194792093</v>
      </c>
      <c r="N427" s="8">
        <v>80.153019607867634</v>
      </c>
      <c r="O427" s="8">
        <v>287.57100000000003</v>
      </c>
      <c r="P427" s="8">
        <v>279.13299999999998</v>
      </c>
      <c r="Q427" s="8">
        <v>96.326100000000011</v>
      </c>
      <c r="R427" s="8">
        <v>-0.16586699999999999</v>
      </c>
      <c r="S427" s="8">
        <v>-0.10074900000000001</v>
      </c>
      <c r="T427" s="7">
        <f>C427-D427</f>
        <v>26.663290731698549</v>
      </c>
      <c r="U427" s="8">
        <f>D427/C427</f>
        <v>0.50163971354490655</v>
      </c>
      <c r="V427" s="8">
        <v>41.562475802379616</v>
      </c>
      <c r="W427" s="8">
        <v>24.976062107227612</v>
      </c>
      <c r="X427" s="8">
        <v>0.73407834434996566</v>
      </c>
      <c r="Y427" s="8">
        <v>62.678590791371789</v>
      </c>
      <c r="Z427" s="8">
        <v>72.122992493247921</v>
      </c>
      <c r="AA427" s="7">
        <v>41.748743061945547</v>
      </c>
      <c r="AB427" s="7">
        <v>24.775084595582161</v>
      </c>
      <c r="AC427" s="7">
        <v>0.76270906190942178</v>
      </c>
      <c r="AD427" s="7">
        <v>65.920203993081941</v>
      </c>
      <c r="AE427" s="7">
        <v>76.138006050557777</v>
      </c>
      <c r="AF427" s="8">
        <v>41.618087752258361</v>
      </c>
      <c r="AG427" s="8">
        <v>25.878252119786261</v>
      </c>
      <c r="AH427" s="8">
        <v>0.80672311105834693</v>
      </c>
      <c r="AI427" s="8">
        <v>66.243782421746516</v>
      </c>
      <c r="AJ427" s="8">
        <v>73.807635984060482</v>
      </c>
      <c r="AK427" s="8">
        <v>41.963628142964673</v>
      </c>
      <c r="AL427" s="8">
        <v>24.456343966362049</v>
      </c>
      <c r="AM427" s="8">
        <v>0.78995067853542189</v>
      </c>
      <c r="AN427" s="8">
        <v>69.425313096412623</v>
      </c>
      <c r="AO427" s="8">
        <v>80.726002011822388</v>
      </c>
      <c r="AP427" s="8">
        <v>42.230038450442443</v>
      </c>
      <c r="AQ427" s="8">
        <v>25.327031163800829</v>
      </c>
      <c r="AR427" s="8">
        <v>0.7665901159278018</v>
      </c>
      <c r="AS427" s="8">
        <v>63.639194983925798</v>
      </c>
      <c r="AT427" s="8">
        <v>75.658398995304893</v>
      </c>
      <c r="AU427" s="8">
        <v>38.890808975437203</v>
      </c>
      <c r="AV427" s="8">
        <v>25.057724340312699</v>
      </c>
      <c r="AW427" s="8">
        <v>0.7555098851565174</v>
      </c>
      <c r="AX427" s="8">
        <v>63.047655610009571</v>
      </c>
      <c r="AY427" s="8">
        <v>73.539858633565842</v>
      </c>
      <c r="AZ427" s="8">
        <v>42.829540746200372</v>
      </c>
      <c r="BA427" s="8">
        <v>24.041966297225091</v>
      </c>
      <c r="BB427" s="8">
        <v>0.78744861907029684</v>
      </c>
      <c r="BC427" s="8">
        <v>71.152369502595974</v>
      </c>
      <c r="BD427" s="8">
        <v>85.737596739665648</v>
      </c>
      <c r="BE427" s="8">
        <v>45.178392937880638</v>
      </c>
      <c r="BF427" s="8">
        <v>32.099648596786778</v>
      </c>
      <c r="BG427" s="8">
        <v>1.008191454922529</v>
      </c>
      <c r="BH427" s="8">
        <v>66.933954837905091</v>
      </c>
      <c r="BI427" s="8">
        <v>99.840138371981382</v>
      </c>
    </row>
    <row r="428" spans="1:61" x14ac:dyDescent="0.15">
      <c r="A428" s="7">
        <v>2020</v>
      </c>
      <c r="B428" s="7">
        <v>36</v>
      </c>
      <c r="C428" s="7">
        <v>29.923348422501636</v>
      </c>
      <c r="D428" s="7">
        <v>10.574340426693235</v>
      </c>
      <c r="E428" s="8">
        <v>25.49578963018233</v>
      </c>
      <c r="F428" s="8">
        <v>20.881270591417191</v>
      </c>
      <c r="G428" s="8">
        <v>0.67335270868828634</v>
      </c>
      <c r="H428" s="8">
        <v>58.025491730135727</v>
      </c>
      <c r="I428" s="8">
        <v>41.194604487103312</v>
      </c>
      <c r="J428" s="8">
        <v>31.173391265326831</v>
      </c>
      <c r="K428" s="8">
        <v>22.75279484454926</v>
      </c>
      <c r="L428" s="8">
        <v>0.6872147448720346</v>
      </c>
      <c r="M428" s="8">
        <v>57.862526283561387</v>
      </c>
      <c r="N428" s="8">
        <v>48.117908236184597</v>
      </c>
      <c r="O428" s="8">
        <v>292.339</v>
      </c>
      <c r="P428" s="8">
        <v>288.04899999999998</v>
      </c>
      <c r="Q428" s="8">
        <v>100.904</v>
      </c>
      <c r="R428" s="8">
        <v>-0.19584199999999999</v>
      </c>
      <c r="S428" s="8">
        <v>-1.08297</v>
      </c>
      <c r="T428" s="7">
        <f>C428-D428</f>
        <v>19.3490079958084</v>
      </c>
      <c r="U428" s="8">
        <f>D428/C428</f>
        <v>0.3533809210583394</v>
      </c>
      <c r="V428" s="8">
        <v>29.019645018305031</v>
      </c>
      <c r="W428" s="8">
        <v>20.53718569133758</v>
      </c>
      <c r="X428" s="8">
        <v>0.73349919304674593</v>
      </c>
      <c r="Y428" s="8">
        <v>58.730814855112648</v>
      </c>
      <c r="Z428" s="8">
        <v>45.209429329307547</v>
      </c>
      <c r="AA428" s="7">
        <v>30.096518141815931</v>
      </c>
      <c r="AB428" s="7">
        <v>21.64499026794342</v>
      </c>
      <c r="AC428" s="7">
        <v>0.71035696895939027</v>
      </c>
      <c r="AD428" s="7">
        <v>58.296670569337017</v>
      </c>
      <c r="AE428" s="7">
        <v>46.663668782746072</v>
      </c>
      <c r="AF428" s="8">
        <v>30.38164732288751</v>
      </c>
      <c r="AG428" s="8">
        <v>22.096590297991629</v>
      </c>
      <c r="AH428" s="8">
        <v>0.70872421611095771</v>
      </c>
      <c r="AI428" s="8">
        <v>57.628061928361973</v>
      </c>
      <c r="AJ428" s="8">
        <v>46.648935702752162</v>
      </c>
      <c r="AK428" s="8">
        <v>31.253598844872378</v>
      </c>
      <c r="AL428" s="8">
        <v>22.819271612535651</v>
      </c>
      <c r="AM428" s="8">
        <v>0.68503572898962262</v>
      </c>
      <c r="AN428" s="8">
        <v>57.886278683058528</v>
      </c>
      <c r="AO428" s="8">
        <v>48.266722423461509</v>
      </c>
      <c r="AP428" s="8">
        <v>30.36619889147595</v>
      </c>
      <c r="AQ428" s="8">
        <v>21.85786184721308</v>
      </c>
      <c r="AR428" s="8">
        <v>0.69679077664252542</v>
      </c>
      <c r="AS428" s="8">
        <v>58.22470820642463</v>
      </c>
      <c r="AT428" s="8">
        <v>47.231767778397312</v>
      </c>
      <c r="AU428" s="8">
        <v>33.643561592741051</v>
      </c>
      <c r="AV428" s="8">
        <v>25.903371429694751</v>
      </c>
      <c r="AW428" s="8">
        <v>0.69448425514037115</v>
      </c>
      <c r="AX428" s="8">
        <v>60.694611175105877</v>
      </c>
      <c r="AY428" s="8">
        <v>50.970110872172469</v>
      </c>
      <c r="AZ428" s="8">
        <v>31.499461655046531</v>
      </c>
      <c r="BA428" s="8">
        <v>23.031776961534369</v>
      </c>
      <c r="BB428" s="8">
        <v>0.68674061694186528</v>
      </c>
      <c r="BC428" s="8">
        <v>57.696947046491587</v>
      </c>
      <c r="BD428" s="8">
        <v>48.563092434669819</v>
      </c>
      <c r="BE428" s="8">
        <v>34.054969978614643</v>
      </c>
      <c r="BF428" s="8">
        <v>26.62133661256463</v>
      </c>
      <c r="BG428" s="8">
        <v>0.68823341787672443</v>
      </c>
      <c r="BH428" s="8">
        <v>61.714437337856971</v>
      </c>
      <c r="BI428" s="8">
        <v>49.557081416839488</v>
      </c>
    </row>
    <row r="429" spans="1:61" x14ac:dyDescent="0.15">
      <c r="A429" s="7">
        <v>2023</v>
      </c>
      <c r="B429" s="7">
        <v>118</v>
      </c>
      <c r="C429" s="9">
        <v>18.97605528602061</v>
      </c>
      <c r="D429" s="7">
        <v>16.412932407050896</v>
      </c>
      <c r="E429" s="8">
        <v>36.12029079104633</v>
      </c>
      <c r="F429" s="8">
        <v>19.58970595054943</v>
      </c>
      <c r="G429" s="8">
        <v>0.67456531574210943</v>
      </c>
      <c r="H429" s="8">
        <v>79.454399055857337</v>
      </c>
      <c r="I429" s="8">
        <v>71.052370997075329</v>
      </c>
      <c r="J429" s="8">
        <v>37.575378433912142</v>
      </c>
      <c r="K429" s="8">
        <v>22.83111203963615</v>
      </c>
      <c r="L429" s="8">
        <v>0.73250689405838232</v>
      </c>
      <c r="M429" s="8">
        <v>76.364741250781037</v>
      </c>
      <c r="N429" s="8">
        <v>81.840239848461252</v>
      </c>
      <c r="O429" s="7">
        <v>283.87200000000001</v>
      </c>
      <c r="P429" s="7">
        <v>274.69900000000001</v>
      </c>
      <c r="Q429" s="7">
        <v>88.829100000000011</v>
      </c>
      <c r="R429" s="7">
        <v>0.46320299999999998</v>
      </c>
      <c r="S429" s="7">
        <v>0.131606</v>
      </c>
      <c r="T429" s="7">
        <f>C429-D429</f>
        <v>2.5631228789697147</v>
      </c>
      <c r="U429" s="8">
        <f>D429/C429</f>
        <v>0.86492857233305331</v>
      </c>
      <c r="V429" s="8">
        <v>36.404140555368691</v>
      </c>
      <c r="W429" s="8">
        <v>20.006613712226272</v>
      </c>
      <c r="X429" s="8">
        <v>0.64636666349028649</v>
      </c>
      <c r="Y429" s="8">
        <v>75.709226135270143</v>
      </c>
      <c r="Z429" s="8">
        <v>75.126267080651601</v>
      </c>
      <c r="AA429" s="7">
        <v>36.989759494640417</v>
      </c>
      <c r="AB429" s="7">
        <v>21.418862875931211</v>
      </c>
      <c r="AC429" s="7">
        <v>0.6894367787743344</v>
      </c>
      <c r="AD429" s="7">
        <v>76.03698369302559</v>
      </c>
      <c r="AE429" s="7">
        <v>78.483253464556427</v>
      </c>
      <c r="AF429" s="8">
        <v>37.157348009820062</v>
      </c>
      <c r="AG429" s="8">
        <v>22.15700503540538</v>
      </c>
      <c r="AH429" s="8">
        <v>0.74084031088769142</v>
      </c>
      <c r="AI429" s="8">
        <v>78.628555412022351</v>
      </c>
      <c r="AJ429" s="8">
        <v>77.357850224929138</v>
      </c>
      <c r="AK429" s="8">
        <v>37.618024862666239</v>
      </c>
      <c r="AL429" s="8">
        <v>22.89988276700846</v>
      </c>
      <c r="AM429" s="8">
        <v>0.73165673950836063</v>
      </c>
      <c r="AN429" s="8">
        <v>76.133792535625702</v>
      </c>
      <c r="AO429" s="8">
        <v>82.297522138723423</v>
      </c>
      <c r="AP429" s="8">
        <v>38.018207982940311</v>
      </c>
      <c r="AQ429" s="8">
        <v>23.157196728600599</v>
      </c>
      <c r="AR429" s="8">
        <v>0.71356233484070852</v>
      </c>
      <c r="AS429" s="8">
        <v>74.096228553347999</v>
      </c>
      <c r="AT429" s="8">
        <v>85.34977856077569</v>
      </c>
      <c r="AU429" s="8">
        <v>36.338517963916217</v>
      </c>
      <c r="AV429" s="8">
        <v>20.676378670627781</v>
      </c>
      <c r="AW429" s="8">
        <v>0.65529820052992394</v>
      </c>
      <c r="AX429" s="8">
        <v>74.559947757868258</v>
      </c>
      <c r="AY429" s="8">
        <v>77.096227939518371</v>
      </c>
      <c r="AZ429" s="8">
        <v>37.420137276397377</v>
      </c>
      <c r="BA429" s="8">
        <v>23.26642016784837</v>
      </c>
      <c r="BB429" s="8">
        <v>0.73998668748966945</v>
      </c>
      <c r="BC429" s="8">
        <v>74.273509420344922</v>
      </c>
      <c r="BD429" s="8">
        <v>81.544340755086836</v>
      </c>
      <c r="BE429" s="8">
        <v>36.896725057122147</v>
      </c>
      <c r="BF429" s="8">
        <v>31.056717988752901</v>
      </c>
      <c r="BG429" s="8">
        <v>0.71523843683268573</v>
      </c>
      <c r="BH429" s="8">
        <v>65.532692409354468</v>
      </c>
      <c r="BI429" s="8">
        <v>74.941273251136593</v>
      </c>
    </row>
    <row r="430" spans="1:61" x14ac:dyDescent="0.15">
      <c r="A430" s="7">
        <v>2021</v>
      </c>
      <c r="B430" s="7">
        <v>83</v>
      </c>
      <c r="C430" s="7">
        <v>41.11745918978081</v>
      </c>
      <c r="D430" s="7">
        <v>41.057580258976003</v>
      </c>
      <c r="E430" s="8">
        <v>22.86002223193735</v>
      </c>
      <c r="F430" s="8">
        <v>12.889036909162471</v>
      </c>
      <c r="G430" s="8">
        <v>0.67524326663520784</v>
      </c>
      <c r="H430" s="8">
        <v>54.609041461433847</v>
      </c>
      <c r="I430" s="8">
        <v>32.824806868519353</v>
      </c>
      <c r="J430" s="8">
        <v>18.566154230642791</v>
      </c>
      <c r="K430" s="8">
        <v>12.868962352433471</v>
      </c>
      <c r="L430" s="8">
        <v>0.65025330366218237</v>
      </c>
      <c r="M430" s="8">
        <v>61.274000074441219</v>
      </c>
      <c r="N430" s="8">
        <v>33.519430321904153</v>
      </c>
      <c r="O430" s="8">
        <v>297.58699999999999</v>
      </c>
      <c r="P430" s="8">
        <v>293.26400000000001</v>
      </c>
      <c r="Q430" s="8">
        <v>100.807</v>
      </c>
      <c r="R430" s="8">
        <v>-1.7276400000000001</v>
      </c>
      <c r="S430" s="8">
        <v>0.167042</v>
      </c>
      <c r="T430" s="7">
        <f>C430-D430</f>
        <v>5.9878930804806885E-2</v>
      </c>
      <c r="U430" s="8">
        <f>D430/C430</f>
        <v>0.99854371033656453</v>
      </c>
      <c r="V430" s="8">
        <v>22.937410928319647</v>
      </c>
      <c r="W430" s="8">
        <v>15.146926325019411</v>
      </c>
      <c r="X430" s="8">
        <v>0.69923785483080547</v>
      </c>
      <c r="Y430" s="8">
        <v>55.228903806729136</v>
      </c>
      <c r="Z430" s="8">
        <v>35.698058284367249</v>
      </c>
      <c r="AA430" s="7">
        <v>20.751782579481219</v>
      </c>
      <c r="AB430" s="7">
        <v>14.007944338726441</v>
      </c>
      <c r="AC430" s="7">
        <v>0.67474557924649392</v>
      </c>
      <c r="AD430" s="7">
        <v>58.251451940585177</v>
      </c>
      <c r="AE430" s="7">
        <v>34.608744303135701</v>
      </c>
      <c r="AF430" s="8">
        <v>19.51028470323579</v>
      </c>
      <c r="AG430" s="8">
        <v>12.2660836840721</v>
      </c>
      <c r="AH430" s="8">
        <v>0.6680688894031549</v>
      </c>
      <c r="AI430" s="8">
        <v>61.642629738154668</v>
      </c>
      <c r="AJ430" s="8">
        <v>34.213311076225693</v>
      </c>
      <c r="AK430" s="8">
        <v>18.473379115722139</v>
      </c>
      <c r="AL430" s="8">
        <v>12.92820431036627</v>
      </c>
      <c r="AM430" s="8">
        <v>0.64850265260019713</v>
      </c>
      <c r="AN430" s="8">
        <v>61.23777662820477</v>
      </c>
      <c r="AO430" s="8">
        <v>33.451246031075563</v>
      </c>
      <c r="AP430" s="8">
        <v>19.623937465979679</v>
      </c>
      <c r="AQ430" s="8">
        <v>12.33861946105713</v>
      </c>
      <c r="AR430" s="8">
        <v>0.66512548190636656</v>
      </c>
      <c r="AS430" s="8">
        <v>59.818626596082623</v>
      </c>
      <c r="AT430" s="8">
        <v>33.806373993593859</v>
      </c>
      <c r="AU430" s="8">
        <v>18.10498530491288</v>
      </c>
      <c r="AV430" s="8">
        <v>15.40646670825797</v>
      </c>
      <c r="AW430" s="8">
        <v>0.63803127261146053</v>
      </c>
      <c r="AX430" s="8">
        <v>62.275441306258102</v>
      </c>
      <c r="AY430" s="8">
        <v>30.98846243622787</v>
      </c>
      <c r="AZ430" s="8">
        <v>16.805043076799841</v>
      </c>
      <c r="BA430" s="8">
        <v>13.88776936090559</v>
      </c>
      <c r="BB430" s="8">
        <v>0.63927497713330594</v>
      </c>
      <c r="BC430" s="8">
        <v>62.612384031623328</v>
      </c>
      <c r="BD430" s="8">
        <v>32.947215311086921</v>
      </c>
      <c r="BE430" s="8">
        <v>19.287331422269109</v>
      </c>
      <c r="BF430" s="8">
        <v>16.493205856405641</v>
      </c>
      <c r="BG430" s="8">
        <v>0.67451087189858683</v>
      </c>
      <c r="BH430" s="8">
        <v>58.528906931167668</v>
      </c>
      <c r="BI430" s="8">
        <v>30.502769634732001</v>
      </c>
    </row>
    <row r="431" spans="1:61" x14ac:dyDescent="0.15">
      <c r="A431" s="7">
        <v>2023</v>
      </c>
      <c r="B431" s="7">
        <v>74</v>
      </c>
      <c r="C431" s="9">
        <v>16.573650219028352</v>
      </c>
      <c r="D431" s="7">
        <v>2.4709139001626466</v>
      </c>
      <c r="E431" s="8">
        <v>24.85897263746137</v>
      </c>
      <c r="F431" s="8">
        <v>12.52703681270796</v>
      </c>
      <c r="G431" s="8">
        <v>0.67550087266614245</v>
      </c>
      <c r="H431" s="8">
        <v>58.422193156001519</v>
      </c>
      <c r="I431" s="8">
        <v>35.97288601581117</v>
      </c>
      <c r="J431" s="8">
        <v>25.225826628677339</v>
      </c>
      <c r="K431" s="8">
        <v>15.50126022625474</v>
      </c>
      <c r="L431" s="8">
        <v>0.57045061274461539</v>
      </c>
      <c r="M431" s="8">
        <v>61.971085645832957</v>
      </c>
      <c r="N431" s="8">
        <v>41.391228057743902</v>
      </c>
      <c r="O431" s="7">
        <v>291.48500000000001</v>
      </c>
      <c r="P431" s="7">
        <v>286.73899999999998</v>
      </c>
      <c r="Q431" s="7">
        <v>99.630499999999998</v>
      </c>
      <c r="R431" s="7">
        <v>-0.53235299999999997</v>
      </c>
      <c r="S431" s="7">
        <v>-0.48044100000000001</v>
      </c>
      <c r="T431" s="7">
        <f>C431-D431</f>
        <v>14.102736318865706</v>
      </c>
      <c r="U431" s="8">
        <f>D431/C431</f>
        <v>0.14908688596105213</v>
      </c>
      <c r="V431" s="8">
        <v>23.446063911106982</v>
      </c>
      <c r="W431" s="8">
        <v>12.758336486534159</v>
      </c>
      <c r="X431" s="8">
        <v>0.67816976261778739</v>
      </c>
      <c r="Y431" s="8">
        <v>58.590544461607337</v>
      </c>
      <c r="Z431" s="8">
        <v>34.125457543334903</v>
      </c>
      <c r="AA431" s="7">
        <v>24.335945269892161</v>
      </c>
      <c r="AB431" s="7">
        <v>14.129798356394449</v>
      </c>
      <c r="AC431" s="7">
        <v>0.62431018768120139</v>
      </c>
      <c r="AD431" s="7">
        <v>60.280815053720147</v>
      </c>
      <c r="AE431" s="7">
        <v>37.758342800539403</v>
      </c>
      <c r="AF431" s="8">
        <v>26.101097555249179</v>
      </c>
      <c r="AG431" s="8">
        <v>16.630818044387819</v>
      </c>
      <c r="AH431" s="8">
        <v>0.61880985101516728</v>
      </c>
      <c r="AI431" s="8">
        <v>60.426987593447237</v>
      </c>
      <c r="AJ431" s="8">
        <v>40.943020161328228</v>
      </c>
      <c r="AK431" s="8">
        <v>25.097645697102401</v>
      </c>
      <c r="AL431" s="8">
        <v>15.335839704447681</v>
      </c>
      <c r="AM431" s="8">
        <v>0.56336854018446225</v>
      </c>
      <c r="AN431" s="8">
        <v>62.197214402985978</v>
      </c>
      <c r="AO431" s="8">
        <v>41.456866826218501</v>
      </c>
      <c r="AP431" s="8">
        <v>23.907834340126239</v>
      </c>
      <c r="AQ431" s="8">
        <v>14.210720075247581</v>
      </c>
      <c r="AR431" s="8">
        <v>0.53649923829999568</v>
      </c>
      <c r="AS431" s="8">
        <v>65.337264496599715</v>
      </c>
      <c r="AT431" s="8">
        <v>41.21634673066216</v>
      </c>
      <c r="AU431" s="8">
        <v>23.11460868651665</v>
      </c>
      <c r="AV431" s="8">
        <v>19.926642437379339</v>
      </c>
      <c r="AW431" s="8">
        <v>0.57206042148317038</v>
      </c>
      <c r="AX431" s="8">
        <v>61.042535179143343</v>
      </c>
      <c r="AY431" s="8">
        <v>40.828363498902313</v>
      </c>
      <c r="AZ431" s="8">
        <v>24.78704307331029</v>
      </c>
      <c r="BA431" s="8">
        <v>18.339673508512131</v>
      </c>
      <c r="BB431" s="8">
        <v>0.56535863476392556</v>
      </c>
      <c r="BC431" s="8">
        <v>57.80150397368034</v>
      </c>
      <c r="BD431" s="8">
        <v>41.477225560205703</v>
      </c>
      <c r="BE431" s="8">
        <v>23.921925085481821</v>
      </c>
      <c r="BF431" s="8">
        <v>27.38830049382187</v>
      </c>
      <c r="BG431" s="8">
        <v>0.65591365936976276</v>
      </c>
      <c r="BH431" s="8">
        <v>63.460799300897008</v>
      </c>
      <c r="BI431" s="8">
        <v>48.708942893975262</v>
      </c>
    </row>
    <row r="432" spans="1:61" x14ac:dyDescent="0.15">
      <c r="A432" s="7">
        <v>2020</v>
      </c>
      <c r="B432" s="7">
        <v>48</v>
      </c>
      <c r="C432" s="7">
        <v>124.20067974064642</v>
      </c>
      <c r="D432" s="7">
        <v>30.975944871440433</v>
      </c>
      <c r="E432" s="8">
        <v>35.010360214385493</v>
      </c>
      <c r="F432" s="8">
        <v>20.220568871495551</v>
      </c>
      <c r="G432" s="8">
        <v>0.6759844132617393</v>
      </c>
      <c r="H432" s="8">
        <v>71.980717294969182</v>
      </c>
      <c r="I432" s="8">
        <v>56.410770828386752</v>
      </c>
      <c r="J432" s="8">
        <v>46.501959592553398</v>
      </c>
      <c r="K432" s="8">
        <v>27.46631883235435</v>
      </c>
      <c r="L432" s="8">
        <v>0.86997348215131898</v>
      </c>
      <c r="M432" s="8">
        <v>70.731458052244193</v>
      </c>
      <c r="N432" s="8">
        <v>77.472162277899315</v>
      </c>
      <c r="O432" s="8">
        <v>287.024</v>
      </c>
      <c r="P432" s="8">
        <v>279.58</v>
      </c>
      <c r="Q432" s="8">
        <v>94.69</v>
      </c>
      <c r="R432" s="8">
        <v>0.12901099999999999</v>
      </c>
      <c r="S432" s="8">
        <v>-9.74246E-2</v>
      </c>
      <c r="T432" s="7">
        <f>C432-D432</f>
        <v>93.224734869205989</v>
      </c>
      <c r="U432" s="8">
        <f>D432/C432</f>
        <v>0.24940237795899212</v>
      </c>
      <c r="V432" s="8">
        <v>36.94899201642928</v>
      </c>
      <c r="W432" s="8">
        <v>22.12717139901029</v>
      </c>
      <c r="X432" s="8">
        <v>0.70076395079186771</v>
      </c>
      <c r="Y432" s="8">
        <v>68.583880688108707</v>
      </c>
      <c r="Z432" s="8">
        <v>59.492044893341529</v>
      </c>
      <c r="AA432" s="7">
        <v>41.725475804491339</v>
      </c>
      <c r="AB432" s="7">
        <v>24.79674511568232</v>
      </c>
      <c r="AC432" s="7">
        <v>0.78536871647159334</v>
      </c>
      <c r="AD432" s="7">
        <v>69.65766937017645</v>
      </c>
      <c r="AE432" s="7">
        <v>68.482103585620422</v>
      </c>
      <c r="AF432" s="8">
        <v>44.876922779103232</v>
      </c>
      <c r="AG432" s="8">
        <v>26.63617134458012</v>
      </c>
      <c r="AH432" s="8">
        <v>0.83927506757135828</v>
      </c>
      <c r="AI432" s="8">
        <v>70.536126413668569</v>
      </c>
      <c r="AJ432" s="8">
        <v>74.514998313678518</v>
      </c>
      <c r="AK432" s="8">
        <v>46.722316514699664</v>
      </c>
      <c r="AL432" s="8">
        <v>27.57888781775782</v>
      </c>
      <c r="AM432" s="8">
        <v>0.87413622363238619</v>
      </c>
      <c r="AN432" s="8">
        <v>70.757945254452821</v>
      </c>
      <c r="AO432" s="8">
        <v>77.873157224010114</v>
      </c>
      <c r="AP432" s="8">
        <v>46.920193475857737</v>
      </c>
      <c r="AQ432" s="8">
        <v>28.539391602426338</v>
      </c>
      <c r="AR432" s="8">
        <v>0.86817017171954358</v>
      </c>
      <c r="AS432" s="8">
        <v>67.056721828127422</v>
      </c>
      <c r="AT432" s="8">
        <v>78.229368559118612</v>
      </c>
      <c r="AU432" s="8">
        <v>36.61402181626697</v>
      </c>
      <c r="AV432" s="8">
        <v>23.339260775947981</v>
      </c>
      <c r="AW432" s="8">
        <v>0.73245615775516293</v>
      </c>
      <c r="AX432" s="8">
        <v>66.595846157311684</v>
      </c>
      <c r="AY432" s="8">
        <v>57.615928541640237</v>
      </c>
      <c r="AZ432" s="8">
        <v>48.448708161723239</v>
      </c>
      <c r="BA432" s="8">
        <v>28.20514644565856</v>
      </c>
      <c r="BB432" s="8">
        <v>0.92521458095903153</v>
      </c>
      <c r="BC432" s="8">
        <v>71.653994904662071</v>
      </c>
      <c r="BD432" s="8">
        <v>80.906613319036012</v>
      </c>
      <c r="BE432" s="8">
        <v>41.926577952348573</v>
      </c>
      <c r="BF432" s="8">
        <v>28.107727117760259</v>
      </c>
      <c r="BG432" s="8">
        <v>0.82920254682461647</v>
      </c>
      <c r="BH432" s="8">
        <v>67.403143802987017</v>
      </c>
      <c r="BI432" s="8">
        <v>73.560921529376401</v>
      </c>
    </row>
    <row r="433" spans="1:61" x14ac:dyDescent="0.15">
      <c r="A433" s="7">
        <v>2020</v>
      </c>
      <c r="B433" s="7">
        <v>125</v>
      </c>
      <c r="C433" s="7">
        <v>47.982969505181373</v>
      </c>
      <c r="D433" s="7">
        <v>27.593235177643358</v>
      </c>
      <c r="E433" s="8">
        <v>23.776781523017981</v>
      </c>
      <c r="F433" s="8">
        <v>20.012920690273351</v>
      </c>
      <c r="G433" s="8">
        <v>0.67598870196263594</v>
      </c>
      <c r="H433" s="8">
        <v>54.700795795036917</v>
      </c>
      <c r="I433" s="8">
        <v>36.830020264507453</v>
      </c>
      <c r="J433" s="8">
        <v>25.802969162685621</v>
      </c>
      <c r="K433" s="8">
        <v>21.59736830819617</v>
      </c>
      <c r="L433" s="8">
        <v>0.70781947103352627</v>
      </c>
      <c r="M433" s="8">
        <v>56.118164683837051</v>
      </c>
      <c r="N433" s="8">
        <v>40.064481134969498</v>
      </c>
      <c r="O433" s="8">
        <v>294.55200000000002</v>
      </c>
      <c r="P433" s="8">
        <v>290.553</v>
      </c>
      <c r="Q433" s="8">
        <v>98.198899999999995</v>
      </c>
      <c r="R433" s="8">
        <v>-0.60562199999999999</v>
      </c>
      <c r="S433" s="8">
        <v>-0.236541</v>
      </c>
      <c r="T433" s="7">
        <f>C433-D433</f>
        <v>20.389734327538015</v>
      </c>
      <c r="U433" s="8">
        <f>D433/C433</f>
        <v>0.57506309972465841</v>
      </c>
      <c r="V433" s="8">
        <v>22.851072285910618</v>
      </c>
      <c r="W433" s="8">
        <v>18.826061509621066</v>
      </c>
      <c r="X433" s="8">
        <v>0.66915353096812169</v>
      </c>
      <c r="Y433" s="8">
        <v>54.084479819753895</v>
      </c>
      <c r="Z433" s="8">
        <v>34.783270755306347</v>
      </c>
      <c r="AA433" s="7">
        <v>24.327020724298119</v>
      </c>
      <c r="AB433" s="7">
        <v>20.211714908908618</v>
      </c>
      <c r="AC433" s="7">
        <v>0.68848650100082398</v>
      </c>
      <c r="AD433" s="7">
        <v>55.101322251795473</v>
      </c>
      <c r="AE433" s="7">
        <v>37.423875945137922</v>
      </c>
      <c r="AF433" s="8">
        <v>26.181448204502111</v>
      </c>
      <c r="AG433" s="8">
        <v>22.175258570688889</v>
      </c>
      <c r="AH433" s="8">
        <v>0.70931110139995113</v>
      </c>
      <c r="AI433" s="8">
        <v>55.379845272389538</v>
      </c>
      <c r="AJ433" s="8">
        <v>41.814187264893683</v>
      </c>
      <c r="AK433" s="8">
        <v>25.725996160760509</v>
      </c>
      <c r="AL433" s="8">
        <v>21.479840140523091</v>
      </c>
      <c r="AM433" s="8">
        <v>0.70751611139037329</v>
      </c>
      <c r="AN433" s="8">
        <v>56.268320056261238</v>
      </c>
      <c r="AO433" s="8">
        <v>39.708635451518589</v>
      </c>
      <c r="AP433" s="8">
        <v>25.467023294204441</v>
      </c>
      <c r="AQ433" s="8">
        <v>20.164733604077082</v>
      </c>
      <c r="AR433" s="8">
        <v>0.71017522677889422</v>
      </c>
      <c r="AS433" s="8">
        <v>56.866749584386113</v>
      </c>
      <c r="AT433" s="8">
        <v>38.714090088970593</v>
      </c>
      <c r="AU433" s="8">
        <v>25.458585814559068</v>
      </c>
      <c r="AV433" s="8">
        <v>23.5215819458178</v>
      </c>
      <c r="AW433" s="8">
        <v>0.70526319658236891</v>
      </c>
      <c r="AX433" s="8">
        <v>57.770083932934703</v>
      </c>
      <c r="AY433" s="8">
        <v>38.869957179251116</v>
      </c>
      <c r="AZ433" s="8">
        <v>27.190364495390359</v>
      </c>
      <c r="BA433" s="8">
        <v>24.492679294638052</v>
      </c>
      <c r="BB433" s="8">
        <v>0.73369249921873081</v>
      </c>
      <c r="BC433" s="8">
        <v>56.161813318543658</v>
      </c>
      <c r="BD433" s="8">
        <v>42.169537546194043</v>
      </c>
      <c r="BE433" s="8">
        <v>22.69160606202232</v>
      </c>
      <c r="BF433" s="8">
        <v>20.89683378569606</v>
      </c>
      <c r="BG433" s="8">
        <v>0.66908567819984466</v>
      </c>
      <c r="BH433" s="8">
        <v>53.624012450397679</v>
      </c>
      <c r="BI433" s="8">
        <v>37.109938615996619</v>
      </c>
    </row>
    <row r="434" spans="1:61" x14ac:dyDescent="0.15">
      <c r="A434" s="7">
        <v>2023</v>
      </c>
      <c r="B434" s="7">
        <v>93</v>
      </c>
      <c r="C434" s="9">
        <v>1.243972253055087</v>
      </c>
      <c r="D434" s="7">
        <v>0.60927674554841149</v>
      </c>
      <c r="E434" s="8">
        <v>24.209978485329639</v>
      </c>
      <c r="F434" s="8">
        <v>11.174606024796059</v>
      </c>
      <c r="G434" s="8">
        <v>0.67627579601985433</v>
      </c>
      <c r="H434" s="8">
        <v>55.024616806732404</v>
      </c>
      <c r="I434" s="8">
        <v>34.014700933355158</v>
      </c>
      <c r="J434" s="8">
        <v>24.52057718716885</v>
      </c>
      <c r="K434" s="8">
        <v>12.679436143687269</v>
      </c>
      <c r="L434" s="8">
        <v>0.56374876729954781</v>
      </c>
      <c r="M434" s="8">
        <v>57.351747397469389</v>
      </c>
      <c r="N434" s="8">
        <v>36.500341109763802</v>
      </c>
      <c r="O434" s="7">
        <v>292</v>
      </c>
      <c r="P434" s="7">
        <v>287.238</v>
      </c>
      <c r="Q434" s="7">
        <v>99.054400000000001</v>
      </c>
      <c r="R434" s="7">
        <v>-0.44652599999999998</v>
      </c>
      <c r="S434" s="7">
        <v>-0.51095500000000005</v>
      </c>
      <c r="T434" s="7">
        <f>C434-D434</f>
        <v>0.63469550750667547</v>
      </c>
      <c r="U434" s="8">
        <f>D434/C434</f>
        <v>0.48978322792335693</v>
      </c>
      <c r="V434" s="8">
        <v>23.834838789288792</v>
      </c>
      <c r="W434" s="8">
        <v>10.806237619123092</v>
      </c>
      <c r="X434" s="8">
        <v>0.66284839727801614</v>
      </c>
      <c r="Y434" s="8">
        <v>58.023665609168098</v>
      </c>
      <c r="Z434" s="8">
        <v>34.113200698689518</v>
      </c>
      <c r="AA434" s="7">
        <v>24.177707988228821</v>
      </c>
      <c r="AB434" s="7">
        <v>11.74283688140518</v>
      </c>
      <c r="AC434" s="7">
        <v>0.61329858228878198</v>
      </c>
      <c r="AD434" s="7">
        <v>57.687706503318744</v>
      </c>
      <c r="AE434" s="7">
        <v>35.30677090422666</v>
      </c>
      <c r="AF434" s="8">
        <v>25.564295012593892</v>
      </c>
      <c r="AG434" s="8">
        <v>13.68849150756969</v>
      </c>
      <c r="AH434" s="8">
        <v>0.58733733299155011</v>
      </c>
      <c r="AI434" s="8">
        <v>55.830376011317952</v>
      </c>
      <c r="AJ434" s="8">
        <v>37.18549212239359</v>
      </c>
      <c r="AK434" s="8">
        <v>24.349893509986639</v>
      </c>
      <c r="AL434" s="8">
        <v>12.514420968328229</v>
      </c>
      <c r="AM434" s="8">
        <v>0.55989122742268949</v>
      </c>
      <c r="AN434" s="8">
        <v>57.600543821390161</v>
      </c>
      <c r="AO434" s="8">
        <v>36.388295409851423</v>
      </c>
      <c r="AP434" s="8">
        <v>24.243740364305459</v>
      </c>
      <c r="AQ434" s="8">
        <v>11.899161259337779</v>
      </c>
      <c r="AR434" s="8">
        <v>0.53418403657688218</v>
      </c>
      <c r="AS434" s="8">
        <v>61.949852905610037</v>
      </c>
      <c r="AT434" s="8">
        <v>36.932721992910999</v>
      </c>
      <c r="AU434" s="8">
        <v>23.723614292621839</v>
      </c>
      <c r="AV434" s="8">
        <v>19.385822979199379</v>
      </c>
      <c r="AW434" s="8">
        <v>0.55499528924068886</v>
      </c>
      <c r="AX434" s="8">
        <v>60.505096930361177</v>
      </c>
      <c r="AY434" s="8">
        <v>38.90415908455374</v>
      </c>
      <c r="AZ434" s="8">
        <v>23.23643196671237</v>
      </c>
      <c r="BA434" s="8">
        <v>13.59343534791801</v>
      </c>
      <c r="BB434" s="8">
        <v>0.53987471161990719</v>
      </c>
      <c r="BC434" s="8">
        <v>54.132625652840098</v>
      </c>
      <c r="BD434" s="8">
        <v>35.967780161127003</v>
      </c>
      <c r="BE434" s="8">
        <v>24.27705889245323</v>
      </c>
      <c r="BF434" s="8">
        <v>23.63780530426812</v>
      </c>
      <c r="BG434" s="8">
        <v>0.59511990793152036</v>
      </c>
      <c r="BH434" s="8">
        <v>58.845064308777758</v>
      </c>
      <c r="BI434" s="8">
        <v>41.074881287560238</v>
      </c>
    </row>
    <row r="435" spans="1:61" x14ac:dyDescent="0.15">
      <c r="A435" s="7">
        <v>2019</v>
      </c>
      <c r="B435" s="7">
        <v>80</v>
      </c>
      <c r="C435" s="7">
        <v>58.454908788065516</v>
      </c>
      <c r="D435" s="7">
        <v>19.274686034960293</v>
      </c>
      <c r="E435" s="8">
        <v>25.152451378311991</v>
      </c>
      <c r="F435" s="8">
        <v>23.36024944038407</v>
      </c>
      <c r="G435" s="8">
        <v>0.67670539329944468</v>
      </c>
      <c r="H435" s="8">
        <v>57.420268555120323</v>
      </c>
      <c r="I435" s="8">
        <v>38.134825445700457</v>
      </c>
      <c r="J435" s="8">
        <v>26.736177366612061</v>
      </c>
      <c r="K435" s="8">
        <v>26.368605585559209</v>
      </c>
      <c r="L435" s="8">
        <v>0.68112388845400484</v>
      </c>
      <c r="M435" s="8">
        <v>61.303706091506768</v>
      </c>
      <c r="N435" s="8">
        <v>40.394602518963069</v>
      </c>
      <c r="O435" s="8">
        <v>296.721</v>
      </c>
      <c r="P435" s="8">
        <v>292.983</v>
      </c>
      <c r="Q435" s="8">
        <v>100.23099999999999</v>
      </c>
      <c r="R435" s="8">
        <v>-0.95825400000000005</v>
      </c>
      <c r="S435" s="8">
        <v>-0.161802</v>
      </c>
      <c r="T435" s="7">
        <f>C435-D435</f>
        <v>39.180222753105227</v>
      </c>
      <c r="U435" s="8">
        <f>D435/C435</f>
        <v>0.32973596973425645</v>
      </c>
      <c r="V435" s="8">
        <v>26.012313304159797</v>
      </c>
      <c r="W435" s="8">
        <v>22.812748474593349</v>
      </c>
      <c r="X435" s="8">
        <v>0.72817380645423369</v>
      </c>
      <c r="Y435" s="8">
        <v>58.743101657194416</v>
      </c>
      <c r="Z435" s="8">
        <v>38.528945848552098</v>
      </c>
      <c r="AA435" s="7">
        <v>26.374245335385929</v>
      </c>
      <c r="AB435" s="7">
        <v>24.590677030076279</v>
      </c>
      <c r="AC435" s="7">
        <v>0.70464884745411926</v>
      </c>
      <c r="AD435" s="7">
        <v>60.023403874350592</v>
      </c>
      <c r="AE435" s="7">
        <v>39.461774183757584</v>
      </c>
      <c r="AF435" s="8">
        <v>27.134599086763991</v>
      </c>
      <c r="AG435" s="8">
        <v>26.507419623918761</v>
      </c>
      <c r="AH435" s="8">
        <v>0.68990175387882702</v>
      </c>
      <c r="AI435" s="8">
        <v>60.500998615085052</v>
      </c>
      <c r="AJ435" s="8">
        <v>41.03613995949317</v>
      </c>
      <c r="AK435" s="8">
        <v>26.67172074647717</v>
      </c>
      <c r="AL435" s="8">
        <v>26.346148266373589</v>
      </c>
      <c r="AM435" s="8">
        <v>0.67970380639355088</v>
      </c>
      <c r="AN435" s="8">
        <v>61.433568014866317</v>
      </c>
      <c r="AO435" s="8">
        <v>40.29081466550268</v>
      </c>
      <c r="AP435" s="8">
        <v>25.138941280770549</v>
      </c>
      <c r="AQ435" s="8">
        <v>22.41677204359393</v>
      </c>
      <c r="AR435" s="8">
        <v>0.67415937219717315</v>
      </c>
      <c r="AS435" s="8">
        <v>62.591602988309063</v>
      </c>
      <c r="AT435" s="8">
        <v>37.807585965170261</v>
      </c>
      <c r="AU435" s="8">
        <v>23.808682304490521</v>
      </c>
      <c r="AV435" s="8">
        <v>24.437249803454719</v>
      </c>
      <c r="AW435" s="8">
        <v>0.66302645537839267</v>
      </c>
      <c r="AX435" s="8">
        <v>61.828028529810631</v>
      </c>
      <c r="AY435" s="8">
        <v>35.233694013767952</v>
      </c>
      <c r="AZ435" s="8">
        <v>29.103649966450039</v>
      </c>
      <c r="BA435" s="8">
        <v>30.37950484181221</v>
      </c>
      <c r="BB435" s="8">
        <v>0.7169226705907038</v>
      </c>
      <c r="BC435" s="8">
        <v>59.767606867441707</v>
      </c>
      <c r="BD435" s="8">
        <v>43.863901250644417</v>
      </c>
      <c r="BE435" s="8">
        <v>23.306390783580369</v>
      </c>
      <c r="BF435" s="8">
        <v>21.93743077860038</v>
      </c>
      <c r="BG435" s="8">
        <v>0.66463562160838807</v>
      </c>
      <c r="BH435" s="8">
        <v>55.532202747560653</v>
      </c>
      <c r="BI435" s="8">
        <v>35.659552951894547</v>
      </c>
    </row>
    <row r="436" spans="1:61" x14ac:dyDescent="0.15">
      <c r="A436" s="7">
        <v>2020</v>
      </c>
      <c r="B436" s="7">
        <v>126</v>
      </c>
      <c r="C436" s="7">
        <v>10.499534637177304</v>
      </c>
      <c r="D436" s="7">
        <v>0.16017489170816376</v>
      </c>
      <c r="E436" s="8">
        <v>24.260703571519681</v>
      </c>
      <c r="F436" s="8">
        <v>12.472762739224811</v>
      </c>
      <c r="G436" s="8">
        <v>0.67678223963648365</v>
      </c>
      <c r="H436" s="8">
        <v>62.194743449765411</v>
      </c>
      <c r="I436" s="8">
        <v>37.513130258988973</v>
      </c>
      <c r="J436" s="8">
        <v>34.476491093629363</v>
      </c>
      <c r="K436" s="8">
        <v>20.121727275485611</v>
      </c>
      <c r="L436" s="8">
        <v>0.77371460098150435</v>
      </c>
      <c r="M436" s="8">
        <v>57.086280920434369</v>
      </c>
      <c r="N436" s="8">
        <v>46.826022356942403</v>
      </c>
      <c r="O436" s="8">
        <v>291.34199999999998</v>
      </c>
      <c r="P436" s="8">
        <v>287.33499999999998</v>
      </c>
      <c r="Q436" s="8">
        <v>99.762100000000004</v>
      </c>
      <c r="R436" s="8">
        <v>5.1867900000000002E-2</v>
      </c>
      <c r="S436" s="8">
        <v>-1.0480700000000001</v>
      </c>
      <c r="T436" s="7">
        <f>C436-D436</f>
        <v>10.339359745469141</v>
      </c>
      <c r="U436" s="8">
        <f>D436/C436</f>
        <v>1.525542771591115E-2</v>
      </c>
      <c r="V436" s="8">
        <v>23.315441192339819</v>
      </c>
      <c r="W436" s="8">
        <v>9.6903830901720092</v>
      </c>
      <c r="X436" s="8">
        <v>0.65664385881078502</v>
      </c>
      <c r="Y436" s="8">
        <v>62.207641380906445</v>
      </c>
      <c r="Z436" s="8">
        <v>35.883599984296879</v>
      </c>
      <c r="AA436" s="7">
        <v>28.895966142984591</v>
      </c>
      <c r="AB436" s="7">
        <v>14.90605518282881</v>
      </c>
      <c r="AC436" s="7">
        <v>0.71517922989614469</v>
      </c>
      <c r="AD436" s="7">
        <v>59.646961150670407</v>
      </c>
      <c r="AE436" s="7">
        <v>41.354811170619641</v>
      </c>
      <c r="AF436" s="8">
        <v>34.878687432714898</v>
      </c>
      <c r="AG436" s="8">
        <v>19.904104799922589</v>
      </c>
      <c r="AH436" s="8">
        <v>0.79201069520209877</v>
      </c>
      <c r="AI436" s="8">
        <v>59.077761277271122</v>
      </c>
      <c r="AJ436" s="8">
        <v>47.843973411156767</v>
      </c>
      <c r="AK436" s="8">
        <v>34.406216234984527</v>
      </c>
      <c r="AL436" s="8">
        <v>20.159751959506622</v>
      </c>
      <c r="AM436" s="8">
        <v>0.77051776572927777</v>
      </c>
      <c r="AN436" s="8">
        <v>56.738314052091191</v>
      </c>
      <c r="AO436" s="8">
        <v>46.648158066568847</v>
      </c>
      <c r="AP436" s="8">
        <v>31.9401748168026</v>
      </c>
      <c r="AQ436" s="8">
        <v>16.201068545348789</v>
      </c>
      <c r="AR436" s="8">
        <v>0.7305972840828262</v>
      </c>
      <c r="AS436" s="8">
        <v>57.766928394722733</v>
      </c>
      <c r="AT436" s="8">
        <v>43.421331706676682</v>
      </c>
      <c r="AU436" s="8">
        <v>30.370876065608979</v>
      </c>
      <c r="AV436" s="8">
        <v>20.660969194678781</v>
      </c>
      <c r="AW436" s="8">
        <v>0.71971491405378041</v>
      </c>
      <c r="AX436" s="8">
        <v>64.161744931303531</v>
      </c>
      <c r="AY436" s="8">
        <v>50.857363984731357</v>
      </c>
      <c r="AZ436" s="8">
        <v>34.972515340520147</v>
      </c>
      <c r="BA436" s="8">
        <v>22.43952488270665</v>
      </c>
      <c r="BB436" s="8">
        <v>0.82827825630762308</v>
      </c>
      <c r="BC436" s="8">
        <v>57.080380630108301</v>
      </c>
      <c r="BD436" s="8">
        <v>49.449040290428123</v>
      </c>
      <c r="BE436" s="8">
        <v>30.29841689031127</v>
      </c>
      <c r="BF436" s="8">
        <v>24.620027649280061</v>
      </c>
      <c r="BG436" s="8">
        <v>0.42507142317141822</v>
      </c>
      <c r="BH436" s="8">
        <v>65.373143243291125</v>
      </c>
      <c r="BI436" s="8">
        <v>50.895851319187173</v>
      </c>
    </row>
    <row r="437" spans="1:61" x14ac:dyDescent="0.15">
      <c r="A437" s="7">
        <v>2018</v>
      </c>
      <c r="B437" s="7">
        <v>100</v>
      </c>
      <c r="C437" s="7">
        <v>10.997221545191865</v>
      </c>
      <c r="D437" s="7">
        <v>3.2718391361340786</v>
      </c>
      <c r="E437" s="8">
        <v>28.659156871333519</v>
      </c>
      <c r="F437" s="8">
        <v>21.091484294895999</v>
      </c>
      <c r="G437" s="8">
        <v>0.67709755869352106</v>
      </c>
      <c r="H437" s="8">
        <v>63.731703094088857</v>
      </c>
      <c r="I437" s="8">
        <v>45.308932675393592</v>
      </c>
      <c r="J437" s="8">
        <v>32.392295756057948</v>
      </c>
      <c r="K437" s="8">
        <v>22.087603302091431</v>
      </c>
      <c r="L437" s="8">
        <v>0.68369499024688363</v>
      </c>
      <c r="M437" s="8">
        <v>62.149194227958212</v>
      </c>
      <c r="N437" s="8">
        <v>51.612843140932128</v>
      </c>
      <c r="O437" s="8">
        <v>292.11</v>
      </c>
      <c r="P437" s="8">
        <v>287.03800000000001</v>
      </c>
      <c r="Q437" s="8">
        <v>99.2453</v>
      </c>
      <c r="R437" s="8">
        <v>-0.51987399999999995</v>
      </c>
      <c r="S437" s="8">
        <v>-0.68329200000000001</v>
      </c>
      <c r="T437" s="7">
        <f>C437-D437</f>
        <v>7.7253824090577865</v>
      </c>
      <c r="U437" s="8">
        <f>D437/C437</f>
        <v>0.29751506984639875</v>
      </c>
      <c r="V437" s="8">
        <v>28.565218644541034</v>
      </c>
      <c r="W437" s="8">
        <v>20.466494661695187</v>
      </c>
      <c r="X437" s="8">
        <v>0.68542070896993379</v>
      </c>
      <c r="Y437" s="8">
        <v>64.322190861868989</v>
      </c>
      <c r="Z437" s="8">
        <v>44.85658507705341</v>
      </c>
      <c r="AA437" s="7">
        <v>30.478757200299491</v>
      </c>
      <c r="AB437" s="7">
        <v>21.277048981893309</v>
      </c>
      <c r="AC437" s="7">
        <v>0.68455784960840871</v>
      </c>
      <c r="AD437" s="7">
        <v>63.235692544913597</v>
      </c>
      <c r="AE437" s="7">
        <v>48.234714108992769</v>
      </c>
      <c r="AF437" s="8">
        <v>31.383487567712951</v>
      </c>
      <c r="AG437" s="8">
        <v>21.532803584098929</v>
      </c>
      <c r="AH437" s="8">
        <v>0.67350698415019428</v>
      </c>
      <c r="AI437" s="8">
        <v>61.515272560076703</v>
      </c>
      <c r="AJ437" s="8">
        <v>49.326806279568238</v>
      </c>
      <c r="AK437" s="8">
        <v>32.564116200809679</v>
      </c>
      <c r="AL437" s="8">
        <v>22.18209691881156</v>
      </c>
      <c r="AM437" s="8">
        <v>0.68543021380958924</v>
      </c>
      <c r="AN437" s="8">
        <v>62.257163913545178</v>
      </c>
      <c r="AO437" s="8">
        <v>52.00220146967726</v>
      </c>
      <c r="AP437" s="8">
        <v>32.332706536502137</v>
      </c>
      <c r="AQ437" s="8">
        <v>20.999460934295541</v>
      </c>
      <c r="AR437" s="8">
        <v>0.6729540281437536</v>
      </c>
      <c r="AS437" s="8">
        <v>62.726431572704293</v>
      </c>
      <c r="AT437" s="8">
        <v>51.542344163756383</v>
      </c>
      <c r="AU437" s="8">
        <v>30.72188860632118</v>
      </c>
      <c r="AV437" s="8">
        <v>18.888329131142999</v>
      </c>
      <c r="AW437" s="8">
        <v>0.63880218114010789</v>
      </c>
      <c r="AX437" s="8">
        <v>61.650058801915883</v>
      </c>
      <c r="AY437" s="8">
        <v>47.137626879626907</v>
      </c>
      <c r="AZ437" s="8">
        <v>32.98566327334882</v>
      </c>
      <c r="BA437" s="8">
        <v>21.22501605276172</v>
      </c>
      <c r="BB437" s="8">
        <v>0.67985698278608098</v>
      </c>
      <c r="BC437" s="8">
        <v>61.852469869301501</v>
      </c>
      <c r="BD437" s="8">
        <v>52.110165604902299</v>
      </c>
      <c r="BE437" s="8">
        <v>43.579016268506322</v>
      </c>
      <c r="BF437" s="8">
        <v>28.107814669900669</v>
      </c>
      <c r="BG437" s="8">
        <v>0.71443766062274228</v>
      </c>
      <c r="BH437" s="8">
        <v>64.938179530895312</v>
      </c>
      <c r="BI437" s="8">
        <v>62.245430463663553</v>
      </c>
    </row>
    <row r="438" spans="1:61" x14ac:dyDescent="0.15">
      <c r="A438" s="7">
        <v>2020</v>
      </c>
      <c r="B438" s="7">
        <v>34</v>
      </c>
      <c r="C438" s="7">
        <v>29.842739589875261</v>
      </c>
      <c r="D438" s="7">
        <v>7.9817845424492235</v>
      </c>
      <c r="E438" s="8">
        <v>22.430848519520449</v>
      </c>
      <c r="F438" s="8">
        <v>25.376468924970101</v>
      </c>
      <c r="G438" s="8">
        <v>0.67755734274291757</v>
      </c>
      <c r="H438" s="8">
        <v>59.624032383939642</v>
      </c>
      <c r="I438" s="8">
        <v>31.39774281211108</v>
      </c>
      <c r="J438" s="8">
        <v>27.00737604822061</v>
      </c>
      <c r="K438" s="8">
        <v>28.525950668456581</v>
      </c>
      <c r="L438" s="8">
        <v>0.72090609684995066</v>
      </c>
      <c r="M438" s="8">
        <v>63.791523492592773</v>
      </c>
      <c r="N438" s="8">
        <v>42.045040051318153</v>
      </c>
      <c r="O438" s="8">
        <v>291.35199999999998</v>
      </c>
      <c r="P438" s="8">
        <v>286.58800000000002</v>
      </c>
      <c r="Q438" s="8">
        <v>99.944000000000003</v>
      </c>
      <c r="R438" s="8">
        <v>-0.34843000000000002</v>
      </c>
      <c r="S438" s="8">
        <v>-0.38190200000000002</v>
      </c>
      <c r="T438" s="7">
        <f>C438-D438</f>
        <v>21.860955047426039</v>
      </c>
      <c r="U438" s="8">
        <f>D438/C438</f>
        <v>0.26746152170148618</v>
      </c>
      <c r="V438" s="8">
        <v>22.413421577167508</v>
      </c>
      <c r="W438" s="8">
        <v>24.558623434182181</v>
      </c>
      <c r="X438" s="8">
        <v>0.68758753097047609</v>
      </c>
      <c r="Y438" s="8">
        <v>60.14193525721987</v>
      </c>
      <c r="Z438" s="8">
        <v>30.528522792166001</v>
      </c>
      <c r="AA438" s="7">
        <v>24.710398812694059</v>
      </c>
      <c r="AB438" s="7">
        <v>26.542287051319381</v>
      </c>
      <c r="AC438" s="7">
        <v>0.70424681391021338</v>
      </c>
      <c r="AD438" s="7">
        <v>61.966729374906322</v>
      </c>
      <c r="AE438" s="7">
        <v>36.286781421742077</v>
      </c>
      <c r="AF438" s="8">
        <v>27.148522621174109</v>
      </c>
      <c r="AG438" s="8">
        <v>29.30695048100835</v>
      </c>
      <c r="AH438" s="8">
        <v>0.71429447144248714</v>
      </c>
      <c r="AI438" s="8">
        <v>63.037906149687927</v>
      </c>
      <c r="AJ438" s="8">
        <v>40.864181580333721</v>
      </c>
      <c r="AK438" s="8">
        <v>26.98904086868086</v>
      </c>
      <c r="AL438" s="8">
        <v>28.424497466412738</v>
      </c>
      <c r="AM438" s="8">
        <v>0.72176495821908448</v>
      </c>
      <c r="AN438" s="8">
        <v>63.889419665325057</v>
      </c>
      <c r="AO438" s="8">
        <v>42.198435572183307</v>
      </c>
      <c r="AP438" s="8">
        <v>27.284773824088461</v>
      </c>
      <c r="AQ438" s="8">
        <v>27.66465803796746</v>
      </c>
      <c r="AR438" s="8">
        <v>0.72312089765702647</v>
      </c>
      <c r="AS438" s="8">
        <v>65.255035704424159</v>
      </c>
      <c r="AT438" s="8">
        <v>40.837934072170221</v>
      </c>
      <c r="AU438" s="8">
        <v>26.18187568665601</v>
      </c>
      <c r="AV438" s="8">
        <v>23.693657381951422</v>
      </c>
      <c r="AW438" s="8">
        <v>0.70253339791964198</v>
      </c>
      <c r="AX438" s="8">
        <v>66.224038650754707</v>
      </c>
      <c r="AY438" s="8">
        <v>39.563997766250523</v>
      </c>
      <c r="AZ438" s="8">
        <v>27.704946371680879</v>
      </c>
      <c r="BA438" s="8">
        <v>28.52123343816849</v>
      </c>
      <c r="BB438" s="8">
        <v>0.72118980791615539</v>
      </c>
      <c r="BC438" s="8">
        <v>64.148155727347287</v>
      </c>
      <c r="BD438" s="8">
        <v>46.238231695444647</v>
      </c>
      <c r="BE438" s="8">
        <v>38.328294884628832</v>
      </c>
      <c r="BF438" s="8">
        <v>31.830679248623479</v>
      </c>
      <c r="BG438" s="8">
        <v>0.55722975820435805</v>
      </c>
      <c r="BH438" s="8">
        <v>59.403988272982318</v>
      </c>
      <c r="BI438" s="8">
        <v>56.492844707754863</v>
      </c>
    </row>
    <row r="439" spans="1:61" x14ac:dyDescent="0.15">
      <c r="A439" s="7">
        <v>2021</v>
      </c>
      <c r="B439" s="7">
        <v>89</v>
      </c>
      <c r="C439" s="7">
        <v>20.269991807452634</v>
      </c>
      <c r="D439" s="7">
        <v>2.7515821109114991</v>
      </c>
      <c r="E439" s="8">
        <v>19.966931867257451</v>
      </c>
      <c r="F439" s="8">
        <v>10.89618310411551</v>
      </c>
      <c r="G439" s="8">
        <v>0.67820725367761547</v>
      </c>
      <c r="H439" s="8">
        <v>60.761687879424898</v>
      </c>
      <c r="I439" s="8">
        <v>30.685989818567752</v>
      </c>
      <c r="J439" s="8">
        <v>28.083671439800099</v>
      </c>
      <c r="K439" s="8">
        <v>16.899479399098531</v>
      </c>
      <c r="L439" s="8">
        <v>0.70464840868816725</v>
      </c>
      <c r="M439" s="8">
        <v>57.020169107895619</v>
      </c>
      <c r="N439" s="8">
        <v>40.125937910564609</v>
      </c>
      <c r="O439" s="8">
        <v>292.86</v>
      </c>
      <c r="P439" s="8">
        <v>287.77100000000002</v>
      </c>
      <c r="Q439" s="8">
        <v>98.7774</v>
      </c>
      <c r="R439" s="8">
        <v>2.6313699999999999E-2</v>
      </c>
      <c r="S439" s="8">
        <v>-0.54884200000000005</v>
      </c>
      <c r="T439" s="7">
        <f>C439-D439</f>
        <v>17.518409696541134</v>
      </c>
      <c r="U439" s="8">
        <f>D439/C439</f>
        <v>0.13574658229017289</v>
      </c>
      <c r="V439" s="8">
        <v>16.544774663019481</v>
      </c>
      <c r="W439" s="8">
        <v>7.3735461082477478</v>
      </c>
      <c r="X439" s="8">
        <v>0.64998919134246758</v>
      </c>
      <c r="Y439" s="8">
        <v>61.827861553203839</v>
      </c>
      <c r="Z439" s="8">
        <v>25.094378907636049</v>
      </c>
      <c r="AA439" s="7">
        <v>22.31422305140979</v>
      </c>
      <c r="AB439" s="7">
        <v>12.13651275367314</v>
      </c>
      <c r="AC439" s="7">
        <v>0.67731880001531741</v>
      </c>
      <c r="AD439" s="7">
        <v>59.424015330549729</v>
      </c>
      <c r="AE439" s="7">
        <v>32.610158409100329</v>
      </c>
      <c r="AF439" s="8">
        <v>28.77157029714115</v>
      </c>
      <c r="AG439" s="8">
        <v>17.5008412040523</v>
      </c>
      <c r="AH439" s="8">
        <v>0.74488854086246836</v>
      </c>
      <c r="AI439" s="8">
        <v>57.417503557910933</v>
      </c>
      <c r="AJ439" s="8">
        <v>42.609568777153306</v>
      </c>
      <c r="AK439" s="8">
        <v>27.977328533387091</v>
      </c>
      <c r="AL439" s="8">
        <v>16.806514333868229</v>
      </c>
      <c r="AM439" s="8">
        <v>0.69842765026679232</v>
      </c>
      <c r="AN439" s="8">
        <v>56.958744815964153</v>
      </c>
      <c r="AO439" s="8">
        <v>39.741991168988399</v>
      </c>
      <c r="AP439" s="8">
        <v>26.490504752194521</v>
      </c>
      <c r="AQ439" s="8">
        <v>14.060834406880369</v>
      </c>
      <c r="AR439" s="8">
        <v>0.66549678320289218</v>
      </c>
      <c r="AS439" s="8">
        <v>56.717863116925542</v>
      </c>
      <c r="AT439" s="8">
        <v>35.472535892709743</v>
      </c>
      <c r="AU439" s="8">
        <v>15.54095076510845</v>
      </c>
      <c r="AV439" s="8">
        <v>9.2078168755707708</v>
      </c>
      <c r="AW439" s="8">
        <v>0.55594217719885275</v>
      </c>
      <c r="AX439" s="8">
        <v>63.18178300004007</v>
      </c>
      <c r="AY439" s="8">
        <v>25.773713200676671</v>
      </c>
      <c r="AZ439" s="8">
        <v>29.564491458513061</v>
      </c>
      <c r="BA439" s="8">
        <v>18.78484114976181</v>
      </c>
      <c r="BB439" s="8">
        <v>0.72374431043572762</v>
      </c>
      <c r="BC439" s="8">
        <v>57.216186894859419</v>
      </c>
      <c r="BD439" s="8">
        <v>42.508368079170488</v>
      </c>
      <c r="BE439" s="8">
        <v>34.454460194000347</v>
      </c>
      <c r="BF439" s="8">
        <v>25.657304132806921</v>
      </c>
      <c r="BG439" s="8">
        <v>0.6467862487628232</v>
      </c>
      <c r="BH439" s="8">
        <v>55.358357524847442</v>
      </c>
      <c r="BI439" s="8">
        <v>52.938214644147742</v>
      </c>
    </row>
    <row r="440" spans="1:61" x14ac:dyDescent="0.15">
      <c r="A440" s="7">
        <v>2023</v>
      </c>
      <c r="B440" s="7">
        <v>135</v>
      </c>
      <c r="C440" s="9">
        <v>58.047834719660983</v>
      </c>
      <c r="D440" s="7">
        <v>38.977999102334934</v>
      </c>
      <c r="E440" s="8">
        <v>36.258070750801643</v>
      </c>
      <c r="F440" s="8">
        <v>16.152040551701699</v>
      </c>
      <c r="G440" s="8">
        <v>0.67904370102309664</v>
      </c>
      <c r="H440" s="8">
        <v>80.923159882701128</v>
      </c>
      <c r="I440" s="8">
        <v>69.366038599174615</v>
      </c>
      <c r="J440" s="8">
        <v>39.815508027096911</v>
      </c>
      <c r="K440" s="8">
        <v>23.036859045908319</v>
      </c>
      <c r="L440" s="8">
        <v>0.68834494378467126</v>
      </c>
      <c r="M440" s="8">
        <v>84.586259374368808</v>
      </c>
      <c r="N440" s="8">
        <v>79.335400668124393</v>
      </c>
      <c r="O440" s="7">
        <v>288.47800000000001</v>
      </c>
      <c r="P440" s="7">
        <v>279.24400000000003</v>
      </c>
      <c r="Q440" s="7">
        <v>98.757800000000003</v>
      </c>
      <c r="R440" s="7">
        <v>0.155969</v>
      </c>
      <c r="S440" s="7">
        <v>5.3633500000000001E-2</v>
      </c>
      <c r="T440" s="7">
        <f>C440-D440</f>
        <v>19.069835617326049</v>
      </c>
      <c r="U440" s="8">
        <f>D440/C440</f>
        <v>0.67148067263106648</v>
      </c>
      <c r="V440" s="8">
        <v>33.537835777875927</v>
      </c>
      <c r="W440" s="8">
        <v>19.264930523721961</v>
      </c>
      <c r="X440" s="8">
        <v>0.59651273524455461</v>
      </c>
      <c r="Y440" s="8">
        <v>84.470485324959753</v>
      </c>
      <c r="Z440" s="8">
        <v>66.220382528763267</v>
      </c>
      <c r="AA440" s="7">
        <v>36.676671902486419</v>
      </c>
      <c r="AB440" s="7">
        <v>21.15089478481514</v>
      </c>
      <c r="AC440" s="7">
        <v>0.64242883951461294</v>
      </c>
      <c r="AD440" s="7">
        <v>84.528372349664281</v>
      </c>
      <c r="AE440" s="7">
        <v>72.77789159844383</v>
      </c>
      <c r="AF440" s="8">
        <v>39.611822564146912</v>
      </c>
      <c r="AG440" s="8">
        <v>22.42893252116437</v>
      </c>
      <c r="AH440" s="8">
        <v>0.68717580939977918</v>
      </c>
      <c r="AI440" s="8">
        <v>86.821599046938559</v>
      </c>
      <c r="AJ440" s="8">
        <v>75.87371432833811</v>
      </c>
      <c r="AK440" s="8">
        <v>39.83308645685463</v>
      </c>
      <c r="AL440" s="8">
        <v>23.089324222157479</v>
      </c>
      <c r="AM440" s="8">
        <v>0.68844584223056182</v>
      </c>
      <c r="AN440" s="8">
        <v>84.39334545282621</v>
      </c>
      <c r="AO440" s="8">
        <v>79.634150560659037</v>
      </c>
      <c r="AP440" s="8">
        <v>35.959717564315277</v>
      </c>
      <c r="AQ440" s="8">
        <v>22.12278720430745</v>
      </c>
      <c r="AR440" s="8">
        <v>0.64076270101581179</v>
      </c>
      <c r="AS440" s="8">
        <v>86.258129086565702</v>
      </c>
      <c r="AT440" s="8">
        <v>72.503251909023035</v>
      </c>
      <c r="AU440" s="8">
        <v>35.706245698446651</v>
      </c>
      <c r="AV440" s="8">
        <v>16.18476598687521</v>
      </c>
      <c r="AW440" s="8">
        <v>0.58479460671606942</v>
      </c>
      <c r="AX440" s="8">
        <v>79.280155950078864</v>
      </c>
      <c r="AY440" s="8">
        <v>65.491198038478259</v>
      </c>
      <c r="AZ440" s="8">
        <v>39.632228951014703</v>
      </c>
      <c r="BA440" s="8">
        <v>21.688229101099381</v>
      </c>
      <c r="BB440" s="8">
        <v>0.64239775752381834</v>
      </c>
      <c r="BC440" s="8">
        <v>81.956928199421867</v>
      </c>
      <c r="BD440" s="8">
        <v>77.459663169816977</v>
      </c>
      <c r="BE440" s="8">
        <v>36.445002567508752</v>
      </c>
      <c r="BF440" s="8">
        <v>28.175391945766471</v>
      </c>
      <c r="BG440" s="8">
        <v>0.75228507795632471</v>
      </c>
      <c r="BH440" s="8">
        <v>70.176898502309982</v>
      </c>
      <c r="BI440" s="8">
        <v>72.287557702121248</v>
      </c>
    </row>
    <row r="441" spans="1:61" x14ac:dyDescent="0.15">
      <c r="A441" s="7">
        <v>2022</v>
      </c>
      <c r="B441" s="7">
        <v>42</v>
      </c>
      <c r="C441" s="7">
        <v>14.893647671931307</v>
      </c>
      <c r="D441" s="7">
        <v>5.0738702219589165</v>
      </c>
      <c r="E441" s="8">
        <v>28.039349692841991</v>
      </c>
      <c r="F441" s="8">
        <v>21.207306487768879</v>
      </c>
      <c r="G441" s="8">
        <v>0.67912267983382224</v>
      </c>
      <c r="H441" s="8">
        <v>77.631300946924625</v>
      </c>
      <c r="I441" s="8">
        <v>54.264983095550193</v>
      </c>
      <c r="J441" s="8">
        <v>33.43254037052052</v>
      </c>
      <c r="K441" s="8">
        <v>29.975497792565569</v>
      </c>
      <c r="L441" s="8">
        <v>0.59024088216579218</v>
      </c>
      <c r="M441" s="8">
        <v>60.623876258865153</v>
      </c>
      <c r="N441" s="8">
        <v>75.721314604539927</v>
      </c>
      <c r="O441" s="8">
        <v>282.87299999999999</v>
      </c>
      <c r="P441" s="8">
        <v>271.31</v>
      </c>
      <c r="Q441" s="8">
        <v>87.333799999999997</v>
      </c>
      <c r="R441" s="8">
        <v>0.52857600000000005</v>
      </c>
      <c r="S441" s="8">
        <v>0.25908399999999998</v>
      </c>
      <c r="T441" s="7">
        <f>C441-D441</f>
        <v>9.8197774499723902</v>
      </c>
      <c r="U441" s="8">
        <f>D441/C441</f>
        <v>0.34067344237779806</v>
      </c>
      <c r="V441" s="8">
        <v>33.862661413586885</v>
      </c>
      <c r="W441" s="8">
        <v>28.269971551120371</v>
      </c>
      <c r="X441" s="8">
        <v>0.63944929079480228</v>
      </c>
      <c r="Y441" s="8">
        <v>60.795586799898444</v>
      </c>
      <c r="Z441" s="8">
        <v>67.164516878612872</v>
      </c>
      <c r="AA441" s="7">
        <v>33.647600892053703</v>
      </c>
      <c r="AB441" s="7">
        <v>29.12273467184297</v>
      </c>
      <c r="AC441" s="7">
        <v>0.61484508648029723</v>
      </c>
      <c r="AD441" s="7">
        <v>60.709731529381799</v>
      </c>
      <c r="AE441" s="7">
        <v>71.4429157415764</v>
      </c>
      <c r="AF441" s="8">
        <v>33.864276455063489</v>
      </c>
      <c r="AG441" s="8">
        <v>28.25263655325524</v>
      </c>
      <c r="AH441" s="8">
        <v>0.63339762993730064</v>
      </c>
      <c r="AI441" s="8">
        <v>60.718822074554687</v>
      </c>
      <c r="AJ441" s="8">
        <v>69.867595314941184</v>
      </c>
      <c r="AK441" s="8">
        <v>33.371820236029833</v>
      </c>
      <c r="AL441" s="8">
        <v>30.217804076207411</v>
      </c>
      <c r="AM441" s="8">
        <v>0.58417124003328502</v>
      </c>
      <c r="AN441" s="8">
        <v>60.6105229096678</v>
      </c>
      <c r="AO441" s="8">
        <v>76.54459214667844</v>
      </c>
      <c r="AP441" s="8">
        <v>33.062832640161787</v>
      </c>
      <c r="AQ441" s="8">
        <v>31.563463047218448</v>
      </c>
      <c r="AR441" s="8">
        <v>0.55032765158167307</v>
      </c>
      <c r="AS441" s="8">
        <v>58.993956411504783</v>
      </c>
      <c r="AT441" s="8">
        <v>73.759530834855838</v>
      </c>
      <c r="AU441" s="8">
        <v>33.85957920311693</v>
      </c>
      <c r="AV441" s="8">
        <v>28.38788045474805</v>
      </c>
      <c r="AW441" s="8">
        <v>0.63473443974224752</v>
      </c>
      <c r="AX441" s="8">
        <v>61.126027553249152</v>
      </c>
      <c r="AY441" s="8">
        <v>70.558661308642201</v>
      </c>
      <c r="AZ441" s="8">
        <v>34.061689961097237</v>
      </c>
      <c r="BA441" s="8">
        <v>28.758446368392509</v>
      </c>
      <c r="BB441" s="8">
        <v>0.6089086305412319</v>
      </c>
      <c r="BC441" s="8">
        <v>62.750228501623212</v>
      </c>
      <c r="BD441" s="8">
        <v>80.708170608033399</v>
      </c>
      <c r="BE441" s="8">
        <v>31.193499734078081</v>
      </c>
      <c r="BF441" s="8">
        <v>24.710974670391291</v>
      </c>
      <c r="BG441" s="8">
        <v>0.56211393791279995</v>
      </c>
      <c r="BH441" s="8">
        <v>68.987882561599676</v>
      </c>
      <c r="BI441" s="8">
        <v>82.443057714539705</v>
      </c>
    </row>
    <row r="442" spans="1:61" x14ac:dyDescent="0.15">
      <c r="A442" s="7">
        <v>2021</v>
      </c>
      <c r="B442" s="7">
        <v>127</v>
      </c>
      <c r="C442" s="7">
        <v>29.527502103983039</v>
      </c>
      <c r="D442" s="7">
        <v>24.602514940189781</v>
      </c>
      <c r="E442" s="8">
        <v>32.710364060563009</v>
      </c>
      <c r="F442" s="8">
        <v>20.941707816621861</v>
      </c>
      <c r="G442" s="8">
        <v>0.67983669816810055</v>
      </c>
      <c r="H442" s="8">
        <v>60.602003786291299</v>
      </c>
      <c r="I442" s="8">
        <v>50.727679132414707</v>
      </c>
      <c r="J442" s="8">
        <v>32.691915300380572</v>
      </c>
      <c r="K442" s="8">
        <v>23.26694785768921</v>
      </c>
      <c r="L442" s="8">
        <v>0.64582128340809042</v>
      </c>
      <c r="M442" s="8">
        <v>54.835186001450268</v>
      </c>
      <c r="N442" s="8">
        <v>49.754995721802587</v>
      </c>
      <c r="O442" s="8">
        <v>290.923</v>
      </c>
      <c r="P442" s="8">
        <v>286.49200000000002</v>
      </c>
      <c r="Q442" s="8">
        <v>96.334199999999996</v>
      </c>
      <c r="R442" s="8">
        <v>-0.72581099999999998</v>
      </c>
      <c r="S442" s="8">
        <v>-0.88561500000000004</v>
      </c>
      <c r="T442" s="7">
        <f>C442-D442</f>
        <v>4.9249871637932578</v>
      </c>
      <c r="U442" s="8">
        <f>D442/C442</f>
        <v>0.833206779684594</v>
      </c>
      <c r="V442" s="8">
        <v>32.235595627322454</v>
      </c>
      <c r="W442" s="8">
        <v>21.048016624268392</v>
      </c>
      <c r="X442" s="8">
        <v>0.65100833894033061</v>
      </c>
      <c r="Y442" s="8">
        <v>56.995041472162399</v>
      </c>
      <c r="Z442" s="8">
        <v>50.885195598496793</v>
      </c>
      <c r="AA442" s="7">
        <v>32.463755463851513</v>
      </c>
      <c r="AB442" s="7">
        <v>22.157482240978801</v>
      </c>
      <c r="AC442" s="7">
        <v>0.64841481117421051</v>
      </c>
      <c r="AD442" s="7">
        <v>55.915113736806333</v>
      </c>
      <c r="AE442" s="7">
        <v>50.32009566014969</v>
      </c>
      <c r="AF442" s="8">
        <v>33.436572667917012</v>
      </c>
      <c r="AG442" s="8">
        <v>23.99565732275461</v>
      </c>
      <c r="AH442" s="8">
        <v>0.67191353193514547</v>
      </c>
      <c r="AI442" s="8">
        <v>54.596721335861233</v>
      </c>
      <c r="AJ442" s="8">
        <v>50.860128275562317</v>
      </c>
      <c r="AK442" s="8">
        <v>32.588509588437539</v>
      </c>
      <c r="AL442" s="8">
        <v>23.16575672694945</v>
      </c>
      <c r="AM442" s="8">
        <v>0.64219802302988349</v>
      </c>
      <c r="AN442" s="8">
        <v>54.868300034284019</v>
      </c>
      <c r="AO442" s="8">
        <v>49.60153317178311</v>
      </c>
      <c r="AP442" s="8">
        <v>32.329304290753427</v>
      </c>
      <c r="AQ442" s="8">
        <v>22.304543115923451</v>
      </c>
      <c r="AR442" s="8">
        <v>0.63485639368296054</v>
      </c>
      <c r="AS442" s="8">
        <v>54.983724881645408</v>
      </c>
      <c r="AT442" s="8">
        <v>50.337476636320247</v>
      </c>
      <c r="AU442" s="8">
        <v>29.404201141934589</v>
      </c>
      <c r="AV442" s="8">
        <v>30.47152682565758</v>
      </c>
      <c r="AW442" s="8">
        <v>0.58193607297557681</v>
      </c>
      <c r="AX442" s="8">
        <v>59.633038710374393</v>
      </c>
      <c r="AY442" s="8">
        <v>50.005694230605151</v>
      </c>
      <c r="AZ442" s="8">
        <v>32.468153543375053</v>
      </c>
      <c r="BA442" s="8">
        <v>25.772045666735181</v>
      </c>
      <c r="BB442" s="8">
        <v>0.669607860902524</v>
      </c>
      <c r="BC442" s="8">
        <v>53.32378764743396</v>
      </c>
      <c r="BD442" s="8">
        <v>49.048884904864472</v>
      </c>
      <c r="BE442" s="8">
        <v>28.66076325627893</v>
      </c>
      <c r="BF442" s="8">
        <v>27.25628891626052</v>
      </c>
      <c r="BG442" s="8">
        <v>0.51828479438102515</v>
      </c>
      <c r="BH442" s="8">
        <v>60.039461389515047</v>
      </c>
      <c r="BI442" s="8">
        <v>53.135090503350611</v>
      </c>
    </row>
    <row r="443" spans="1:61" x14ac:dyDescent="0.15">
      <c r="A443" s="7">
        <v>2019</v>
      </c>
      <c r="B443" s="7">
        <v>145</v>
      </c>
      <c r="C443" s="7">
        <v>42.798078417266375</v>
      </c>
      <c r="D443" s="7">
        <v>40.772122967735314</v>
      </c>
      <c r="E443" s="8">
        <v>22.43191931044424</v>
      </c>
      <c r="F443" s="8">
        <v>17.802295347220749</v>
      </c>
      <c r="G443" s="8">
        <v>0.67992646304983539</v>
      </c>
      <c r="H443" s="8">
        <v>63.000760729879339</v>
      </c>
      <c r="I443" s="8">
        <v>33.073771004527217</v>
      </c>
      <c r="J443" s="8">
        <v>24.553541128978122</v>
      </c>
      <c r="K443" s="8">
        <v>18.011170996970481</v>
      </c>
      <c r="L443" s="8">
        <v>0.70814184068403552</v>
      </c>
      <c r="M443" s="8">
        <v>67.928137227089763</v>
      </c>
      <c r="N443" s="8">
        <v>37.989577253840757</v>
      </c>
      <c r="O443" s="8">
        <v>295.54700000000003</v>
      </c>
      <c r="P443" s="8">
        <v>291.423</v>
      </c>
      <c r="Q443" s="8">
        <v>98.700600000000009</v>
      </c>
      <c r="R443" s="8">
        <v>-0.43997999999999998</v>
      </c>
      <c r="S443" s="8">
        <v>-0.14249300000000001</v>
      </c>
      <c r="T443" s="7">
        <f>C443-D443</f>
        <v>2.025955449531061</v>
      </c>
      <c r="U443" s="8">
        <f>D443/C443</f>
        <v>0.95266246699726331</v>
      </c>
      <c r="V443" s="8">
        <v>23.647156680669259</v>
      </c>
      <c r="W443" s="8">
        <v>18.680148872344919</v>
      </c>
      <c r="X443" s="8">
        <v>0.7004956139217583</v>
      </c>
      <c r="Y443" s="8">
        <v>61.297377413410857</v>
      </c>
      <c r="Z443" s="8">
        <v>34.313883073780026</v>
      </c>
      <c r="AA443" s="7">
        <v>24.10034890482369</v>
      </c>
      <c r="AB443" s="7">
        <v>18.3456599346577</v>
      </c>
      <c r="AC443" s="7">
        <v>0.70431872730289691</v>
      </c>
      <c r="AD443" s="7">
        <v>64.61275732025031</v>
      </c>
      <c r="AE443" s="7">
        <v>36.151730163810392</v>
      </c>
      <c r="AF443" s="8">
        <v>25.11649530967987</v>
      </c>
      <c r="AG443" s="8">
        <v>18.330449799420489</v>
      </c>
      <c r="AH443" s="8">
        <v>0.6959412220552923</v>
      </c>
      <c r="AI443" s="8">
        <v>62.994655760167667</v>
      </c>
      <c r="AJ443" s="8">
        <v>39.931832497687878</v>
      </c>
      <c r="AK443" s="8">
        <v>24.45788043139174</v>
      </c>
      <c r="AL443" s="8">
        <v>17.95691714467856</v>
      </c>
      <c r="AM443" s="8">
        <v>0.71021504615798048</v>
      </c>
      <c r="AN443" s="8">
        <v>68.766465273729295</v>
      </c>
      <c r="AO443" s="8">
        <v>37.659537087364662</v>
      </c>
      <c r="AP443" s="8">
        <v>25.861075875782241</v>
      </c>
      <c r="AQ443" s="8">
        <v>18.495318018005431</v>
      </c>
      <c r="AR443" s="8">
        <v>0.72449648709941805</v>
      </c>
      <c r="AS443" s="8">
        <v>65.609243089977923</v>
      </c>
      <c r="AT443" s="8">
        <v>38.68147899616946</v>
      </c>
      <c r="AU443" s="8">
        <v>21.628793742276759</v>
      </c>
      <c r="AV443" s="8">
        <v>16.342728103333389</v>
      </c>
      <c r="AW443" s="8">
        <v>0.63392116254989361</v>
      </c>
      <c r="AX443" s="8">
        <v>70.038838177607403</v>
      </c>
      <c r="AY443" s="8">
        <v>35.286426423104707</v>
      </c>
      <c r="AZ443" s="8">
        <v>24.15791288345671</v>
      </c>
      <c r="BA443" s="8">
        <v>16.93237200551712</v>
      </c>
      <c r="BB443" s="8">
        <v>0.7063108651143446</v>
      </c>
      <c r="BC443" s="8">
        <v>71.165674508228875</v>
      </c>
      <c r="BD443" s="8">
        <v>38.827456376695409</v>
      </c>
      <c r="BE443" s="8">
        <v>21.18267505531837</v>
      </c>
      <c r="BF443" s="8">
        <v>16.90115315917976</v>
      </c>
      <c r="BG443" s="8">
        <v>0.6489236529730309</v>
      </c>
      <c r="BH443" s="8">
        <v>69.861226391987998</v>
      </c>
      <c r="BI443" s="8">
        <v>34.564567548847592</v>
      </c>
    </row>
    <row r="444" spans="1:61" x14ac:dyDescent="0.15">
      <c r="A444" s="7">
        <v>2019</v>
      </c>
      <c r="B444" s="7">
        <v>108</v>
      </c>
      <c r="C444" s="7">
        <v>39.555032646916594</v>
      </c>
      <c r="D444" s="7">
        <v>18.153234857138223</v>
      </c>
      <c r="E444" s="8">
        <v>27.089560799526001</v>
      </c>
      <c r="F444" s="8">
        <v>14.87939012838838</v>
      </c>
      <c r="G444" s="8">
        <v>0.68039187881301733</v>
      </c>
      <c r="H444" s="8">
        <v>53.512879145760692</v>
      </c>
      <c r="I444" s="8">
        <v>40.424066443505367</v>
      </c>
      <c r="J444" s="8">
        <v>30.76137564377585</v>
      </c>
      <c r="K444" s="8">
        <v>17.3231559289821</v>
      </c>
      <c r="L444" s="8">
        <v>0.71346890683107822</v>
      </c>
      <c r="M444" s="8">
        <v>56.510261675278379</v>
      </c>
      <c r="N444" s="8">
        <v>47.058916769619053</v>
      </c>
      <c r="O444" s="8">
        <v>292.19499999999999</v>
      </c>
      <c r="P444" s="8">
        <v>288.495</v>
      </c>
      <c r="Q444" s="8">
        <v>96.249200000000002</v>
      </c>
      <c r="R444" s="8">
        <v>-0.49837100000000001</v>
      </c>
      <c r="S444" s="8">
        <v>-0.54442500000000005</v>
      </c>
      <c r="T444" s="7">
        <f>C444-D444</f>
        <v>21.401797789778371</v>
      </c>
      <c r="U444" s="8">
        <f>D444/C444</f>
        <v>0.45893616165560946</v>
      </c>
      <c r="V444" s="8">
        <v>24.881459327619972</v>
      </c>
      <c r="W444" s="8">
        <v>12.344428184602261</v>
      </c>
      <c r="X444" s="8">
        <v>0.63952705122164133</v>
      </c>
      <c r="Y444" s="8">
        <v>52.831629500879394</v>
      </c>
      <c r="Z444" s="8">
        <v>36.878856344392624</v>
      </c>
      <c r="AA444" s="7">
        <v>27.821417485697911</v>
      </c>
      <c r="AB444" s="7">
        <v>14.833792056792181</v>
      </c>
      <c r="AC444" s="7">
        <v>0.67649797902635977</v>
      </c>
      <c r="AD444" s="7">
        <v>54.670945588078887</v>
      </c>
      <c r="AE444" s="7">
        <v>41.968886557005838</v>
      </c>
      <c r="AF444" s="8">
        <v>30.93838367369403</v>
      </c>
      <c r="AG444" s="8">
        <v>17.216622954329541</v>
      </c>
      <c r="AH444" s="8">
        <v>0.6974194567020473</v>
      </c>
      <c r="AI444" s="8">
        <v>56.837130260659343</v>
      </c>
      <c r="AJ444" s="8">
        <v>47.10998487048743</v>
      </c>
      <c r="AK444" s="8">
        <v>30.72634949185295</v>
      </c>
      <c r="AL444" s="8">
        <v>17.344236555418671</v>
      </c>
      <c r="AM444" s="8">
        <v>0.71664475415709039</v>
      </c>
      <c r="AN444" s="8">
        <v>56.445581283458488</v>
      </c>
      <c r="AO444" s="8">
        <v>47.048811470665903</v>
      </c>
      <c r="AP444" s="8">
        <v>29.51659884900544</v>
      </c>
      <c r="AQ444" s="8">
        <v>14.291961080717551</v>
      </c>
      <c r="AR444" s="8">
        <v>0.6484684643753329</v>
      </c>
      <c r="AS444" s="8">
        <v>58.193155337667513</v>
      </c>
      <c r="AT444" s="8">
        <v>45.944624395601018</v>
      </c>
      <c r="AU444" s="8">
        <v>29.29171061232331</v>
      </c>
      <c r="AV444" s="8">
        <v>15.89727299860998</v>
      </c>
      <c r="AW444" s="8">
        <v>0.62143113993847821</v>
      </c>
      <c r="AX444" s="8">
        <v>60.051844665370773</v>
      </c>
      <c r="AY444" s="8">
        <v>44.794113907453529</v>
      </c>
      <c r="AZ444" s="8">
        <v>32.636548197315747</v>
      </c>
      <c r="BA444" s="8">
        <v>20.006728446783491</v>
      </c>
      <c r="BB444" s="8">
        <v>0.79495767862407596</v>
      </c>
      <c r="BC444" s="8">
        <v>55.980858651240197</v>
      </c>
      <c r="BD444" s="8">
        <v>48.734833805881387</v>
      </c>
      <c r="BE444" s="8">
        <v>27.264776318313722</v>
      </c>
      <c r="BF444" s="8">
        <v>18.69786745876581</v>
      </c>
      <c r="BG444" s="8">
        <v>0.57844388390834223</v>
      </c>
      <c r="BH444" s="8">
        <v>58.20081379679241</v>
      </c>
      <c r="BI444" s="8">
        <v>45.080779341644728</v>
      </c>
    </row>
    <row r="445" spans="1:61" x14ac:dyDescent="0.15">
      <c r="A445" s="7">
        <v>2023</v>
      </c>
      <c r="B445" s="7">
        <v>91</v>
      </c>
      <c r="C445" s="9">
        <v>22.810638430259196</v>
      </c>
      <c r="D445" s="7">
        <v>0.26790727008534393</v>
      </c>
      <c r="E445" s="8">
        <v>35.869618899446841</v>
      </c>
      <c r="F445" s="8">
        <v>25.789493638004831</v>
      </c>
      <c r="G445" s="8">
        <v>0.68083606116835416</v>
      </c>
      <c r="H445" s="8">
        <v>78.031201112373083</v>
      </c>
      <c r="I445" s="8">
        <v>73.707590778663871</v>
      </c>
      <c r="J445" s="8">
        <v>36.589002696855573</v>
      </c>
      <c r="K445" s="8">
        <v>30.029148629136031</v>
      </c>
      <c r="L445" s="8">
        <v>0.70904466603881489</v>
      </c>
      <c r="M445" s="8">
        <v>69.149584965411194</v>
      </c>
      <c r="N445" s="8">
        <v>68.583649086084023</v>
      </c>
      <c r="O445" s="7">
        <v>287.24099999999999</v>
      </c>
      <c r="P445" s="7">
        <v>276.86700000000002</v>
      </c>
      <c r="Q445" s="7">
        <v>101.12</v>
      </c>
      <c r="R445" s="7">
        <v>0.26609699999999997</v>
      </c>
      <c r="S445" s="7">
        <v>0.114277</v>
      </c>
      <c r="T445" s="7">
        <f>C445-D445</f>
        <v>22.542731160173851</v>
      </c>
      <c r="U445" s="8">
        <f>D445/C445</f>
        <v>1.1744838747255515E-2</v>
      </c>
      <c r="V445" s="8">
        <v>30.559045747989842</v>
      </c>
      <c r="W445" s="8">
        <v>23.622432423672507</v>
      </c>
      <c r="X445" s="8">
        <v>0.66932650387669945</v>
      </c>
      <c r="Y445" s="8">
        <v>68.840302222187589</v>
      </c>
      <c r="Z445" s="8">
        <v>64.4236294402738</v>
      </c>
      <c r="AA445" s="7">
        <v>33.574024222422707</v>
      </c>
      <c r="AB445" s="7">
        <v>26.825790526404269</v>
      </c>
      <c r="AC445" s="7">
        <v>0.68918558495775717</v>
      </c>
      <c r="AD445" s="7">
        <v>68.994943593799391</v>
      </c>
      <c r="AE445" s="7">
        <v>66.503639263178911</v>
      </c>
      <c r="AF445" s="8">
        <v>37.829800887837237</v>
      </c>
      <c r="AG445" s="8">
        <v>31.208927788601041</v>
      </c>
      <c r="AH445" s="8">
        <v>0.71477277745748768</v>
      </c>
      <c r="AI445" s="8">
        <v>69.550086339980211</v>
      </c>
      <c r="AJ445" s="8">
        <v>69.303105835633872</v>
      </c>
      <c r="AK445" s="8">
        <v>36.406936754093238</v>
      </c>
      <c r="AL445" s="8">
        <v>29.856036187096279</v>
      </c>
      <c r="AM445" s="8">
        <v>0.70820416351933313</v>
      </c>
      <c r="AN445" s="8">
        <v>69.090818228911672</v>
      </c>
      <c r="AO445" s="8">
        <v>68.478081095789079</v>
      </c>
      <c r="AP445" s="8">
        <v>32.825538532448739</v>
      </c>
      <c r="AQ445" s="8">
        <v>26.562675182754688</v>
      </c>
      <c r="AR445" s="8">
        <v>0.69577616028224243</v>
      </c>
      <c r="AS445" s="8">
        <v>69.083138691878418</v>
      </c>
      <c r="AT445" s="8">
        <v>66.130764835214862</v>
      </c>
      <c r="AU445" s="8">
        <v>34.385882788525201</v>
      </c>
      <c r="AV445" s="8">
        <v>24.319575447628441</v>
      </c>
      <c r="AW445" s="8">
        <v>0.62735483725699859</v>
      </c>
      <c r="AX445" s="8">
        <v>68.051162243089962</v>
      </c>
      <c r="AY445" s="8">
        <v>69.794518816200338</v>
      </c>
      <c r="AZ445" s="8">
        <v>35.230052645008193</v>
      </c>
      <c r="BA445" s="8">
        <v>27.522288210510819</v>
      </c>
      <c r="BB445" s="8">
        <v>0.67266616883149577</v>
      </c>
      <c r="BC445" s="8">
        <v>68.544525855207667</v>
      </c>
      <c r="BD445" s="8">
        <v>67.19308576207186</v>
      </c>
      <c r="BE445" s="8">
        <v>30.4366623747086</v>
      </c>
      <c r="BF445" s="8">
        <v>25.943204313346829</v>
      </c>
      <c r="BG445" s="8">
        <v>0.66403621021857862</v>
      </c>
      <c r="BH445" s="8">
        <v>61.931818420606412</v>
      </c>
      <c r="BI445" s="8">
        <v>64.4198668492552</v>
      </c>
    </row>
    <row r="446" spans="1:61" x14ac:dyDescent="0.15">
      <c r="A446" s="7">
        <v>2020</v>
      </c>
      <c r="B446" s="7">
        <v>127</v>
      </c>
      <c r="C446" s="7">
        <v>31.888958898723743</v>
      </c>
      <c r="D446" s="7">
        <v>7.1188429065767469</v>
      </c>
      <c r="E446" s="8">
        <v>31.717814979311768</v>
      </c>
      <c r="F446" s="8">
        <v>20.33160816269595</v>
      </c>
      <c r="G446" s="8">
        <v>0.6813057023638508</v>
      </c>
      <c r="H446" s="8">
        <v>60.143980696059153</v>
      </c>
      <c r="I446" s="8">
        <v>49.095375332020843</v>
      </c>
      <c r="J446" s="8">
        <v>33.440686871815821</v>
      </c>
      <c r="K446" s="8">
        <v>22.353964615268129</v>
      </c>
      <c r="L446" s="8">
        <v>0.65088833984074912</v>
      </c>
      <c r="M446" s="8">
        <v>52.479523485864881</v>
      </c>
      <c r="N446" s="8">
        <v>48.61143456709285</v>
      </c>
      <c r="O446" s="8">
        <v>290.88299999999998</v>
      </c>
      <c r="P446" s="8">
        <v>286.18400000000003</v>
      </c>
      <c r="Q446" s="8">
        <v>96.340899999999991</v>
      </c>
      <c r="R446" s="8">
        <v>-0.86756500000000003</v>
      </c>
      <c r="S446" s="8">
        <v>-0.91328399999999998</v>
      </c>
      <c r="T446" s="7">
        <f>C446-D446</f>
        <v>24.770115992146998</v>
      </c>
      <c r="U446" s="8">
        <f>D446/C446</f>
        <v>0.22323848605987751</v>
      </c>
      <c r="V446" s="8">
        <v>31.484576842458985</v>
      </c>
      <c r="W446" s="8">
        <v>21.314008473659992</v>
      </c>
      <c r="X446" s="8">
        <v>0.63856496333444424</v>
      </c>
      <c r="Y446" s="8">
        <v>55.470766010865113</v>
      </c>
      <c r="Z446" s="8">
        <v>47.476423405939904</v>
      </c>
      <c r="AA446" s="7">
        <v>32.462631857137403</v>
      </c>
      <c r="AB446" s="7">
        <v>21.833986544464061</v>
      </c>
      <c r="AC446" s="7">
        <v>0.64472665158759668</v>
      </c>
      <c r="AD446" s="7">
        <v>53.975144748364997</v>
      </c>
      <c r="AE446" s="7">
        <v>48.043928986516377</v>
      </c>
      <c r="AF446" s="8">
        <v>33.791272479228489</v>
      </c>
      <c r="AG446" s="8">
        <v>23.629506920541889</v>
      </c>
      <c r="AH446" s="8">
        <v>0.67201683303390281</v>
      </c>
      <c r="AI446" s="8">
        <v>51.454226289501563</v>
      </c>
      <c r="AJ446" s="8">
        <v>49.842237780736518</v>
      </c>
      <c r="AK446" s="8">
        <v>33.393454311852153</v>
      </c>
      <c r="AL446" s="8">
        <v>22.182117491067341</v>
      </c>
      <c r="AM446" s="8">
        <v>0.64804180877790063</v>
      </c>
      <c r="AN446" s="8">
        <v>52.617656399150221</v>
      </c>
      <c r="AO446" s="8">
        <v>48.445614906037903</v>
      </c>
      <c r="AP446" s="8">
        <v>32.56411250659869</v>
      </c>
      <c r="AQ446" s="8">
        <v>22.064141452234949</v>
      </c>
      <c r="AR446" s="8">
        <v>0.63211796851870805</v>
      </c>
      <c r="AS446" s="8">
        <v>52.828485958262732</v>
      </c>
      <c r="AT446" s="8">
        <v>47.709761180240037</v>
      </c>
      <c r="AU446" s="8">
        <v>32.84254310331265</v>
      </c>
      <c r="AV446" s="8">
        <v>33.813727678015972</v>
      </c>
      <c r="AW446" s="8">
        <v>0.63636064801109649</v>
      </c>
      <c r="AX446" s="8">
        <v>59.046851190258153</v>
      </c>
      <c r="AY446" s="8">
        <v>56.927352231153478</v>
      </c>
      <c r="AZ446" s="8">
        <v>33.762213653038252</v>
      </c>
      <c r="BA446" s="8">
        <v>24.01977273767266</v>
      </c>
      <c r="BB446" s="8">
        <v>0.66160836036020476</v>
      </c>
      <c r="BC446" s="8">
        <v>51.170769544606323</v>
      </c>
      <c r="BD446" s="8">
        <v>50.342068933692069</v>
      </c>
      <c r="BE446" s="8">
        <v>30.34015544061123</v>
      </c>
      <c r="BF446" s="8">
        <v>38.136393858608599</v>
      </c>
      <c r="BG446" s="8">
        <v>0.57615591557117984</v>
      </c>
      <c r="BH446" s="8">
        <v>55.636857165374153</v>
      </c>
      <c r="BI446" s="8">
        <v>56.630325327198577</v>
      </c>
    </row>
    <row r="447" spans="1:61" x14ac:dyDescent="0.15">
      <c r="A447" s="7">
        <v>2019</v>
      </c>
      <c r="B447" s="7">
        <v>110</v>
      </c>
      <c r="C447" s="7">
        <v>47.737776631827202</v>
      </c>
      <c r="D447" s="7">
        <v>30.102557642260685</v>
      </c>
      <c r="E447" s="8">
        <v>33.362847473094263</v>
      </c>
      <c r="F447" s="8">
        <v>17.10689870574025</v>
      </c>
      <c r="G447" s="8">
        <v>0.68216425181127049</v>
      </c>
      <c r="H447" s="8">
        <v>67.481072483448472</v>
      </c>
      <c r="I447" s="8">
        <v>49.752352192570321</v>
      </c>
      <c r="J447" s="8">
        <v>39.052016069336119</v>
      </c>
      <c r="K447" s="8">
        <v>20.591319424387422</v>
      </c>
      <c r="L447" s="8">
        <v>0.8643460089665741</v>
      </c>
      <c r="M447" s="8">
        <v>66.907913827574802</v>
      </c>
      <c r="N447" s="8">
        <v>57.321443346778018</v>
      </c>
      <c r="O447" s="8">
        <v>290.81900000000002</v>
      </c>
      <c r="P447" s="8">
        <v>285.95100000000002</v>
      </c>
      <c r="Q447" s="8">
        <v>100.621</v>
      </c>
      <c r="R447" s="8">
        <v>-0.43163099999999999</v>
      </c>
      <c r="S447" s="8">
        <v>-0.855626</v>
      </c>
      <c r="T447" s="7">
        <f>C447-D447</f>
        <v>17.635218989566518</v>
      </c>
      <c r="U447" s="8">
        <f>D447/C447</f>
        <v>0.63058147584927615</v>
      </c>
      <c r="V447" s="8">
        <v>40.529867096321382</v>
      </c>
      <c r="W447" s="8">
        <v>22.076345577519241</v>
      </c>
      <c r="X447" s="8">
        <v>0.78768984835892752</v>
      </c>
      <c r="Y447" s="8">
        <v>65.08896906038747</v>
      </c>
      <c r="Z447" s="8">
        <v>58.977249749020764</v>
      </c>
      <c r="AA447" s="7">
        <v>39.790941582828751</v>
      </c>
      <c r="AB447" s="7">
        <v>21.333832500953331</v>
      </c>
      <c r="AC447" s="7">
        <v>0.82601792866275081</v>
      </c>
      <c r="AD447" s="7">
        <v>65.998441443981136</v>
      </c>
      <c r="AE447" s="7">
        <v>58.149346547899391</v>
      </c>
      <c r="AF447" s="8">
        <v>38.959625089703493</v>
      </c>
      <c r="AG447" s="8">
        <v>20.49807684175471</v>
      </c>
      <c r="AH447" s="8">
        <v>0.85641852316357625</v>
      </c>
      <c r="AI447" s="8">
        <v>68.064856464049456</v>
      </c>
      <c r="AJ447" s="8">
        <v>57.574540208032197</v>
      </c>
      <c r="AK447" s="8">
        <v>39.069046601498577</v>
      </c>
      <c r="AL447" s="8">
        <v>20.608506933479219</v>
      </c>
      <c r="AM447" s="8">
        <v>0.86580729125270384</v>
      </c>
      <c r="AN447" s="8">
        <v>66.694653303019891</v>
      </c>
      <c r="AO447" s="8">
        <v>57.274789720493892</v>
      </c>
      <c r="AP447" s="8">
        <v>39.331324135711291</v>
      </c>
      <c r="AQ447" s="8">
        <v>21.304362130507691</v>
      </c>
      <c r="AR447" s="8">
        <v>0.82007475852640133</v>
      </c>
      <c r="AS447" s="8">
        <v>66.372898947393566</v>
      </c>
      <c r="AT447" s="8">
        <v>57.519019237166603</v>
      </c>
      <c r="AU447" s="8">
        <v>34.802683277013273</v>
      </c>
      <c r="AV447" s="8">
        <v>28.263930754211412</v>
      </c>
      <c r="AW447" s="8">
        <v>0.86706504377787741</v>
      </c>
      <c r="AX447" s="8">
        <v>60.076761432988967</v>
      </c>
      <c r="AY447" s="8">
        <v>65.647252969994682</v>
      </c>
      <c r="AZ447" s="8">
        <v>39.928985110862492</v>
      </c>
      <c r="BA447" s="8">
        <v>22.201292768454529</v>
      </c>
      <c r="BB447" s="8">
        <v>0.91171037145237566</v>
      </c>
      <c r="BC447" s="8">
        <v>66.188501326605675</v>
      </c>
      <c r="BD447" s="8">
        <v>60.108281538028358</v>
      </c>
      <c r="BE447" s="8">
        <v>37.848572392976877</v>
      </c>
      <c r="BF447" s="8">
        <v>31.607586792486231</v>
      </c>
      <c r="BG447" s="8">
        <v>0.56468393008195084</v>
      </c>
      <c r="BH447" s="8">
        <v>61.697557341980783</v>
      </c>
      <c r="BI447" s="8">
        <v>72.326330873314745</v>
      </c>
    </row>
    <row r="448" spans="1:61" x14ac:dyDescent="0.15">
      <c r="A448" s="7">
        <v>2020</v>
      </c>
      <c r="B448" s="7">
        <v>73</v>
      </c>
      <c r="C448" s="7">
        <v>33.710887231926158</v>
      </c>
      <c r="D448" s="7">
        <v>31.217285732149779</v>
      </c>
      <c r="E448" s="8">
        <v>25.206817911251211</v>
      </c>
      <c r="F448" s="8">
        <v>22.796446040111729</v>
      </c>
      <c r="G448" s="8">
        <v>0.68286462103486922</v>
      </c>
      <c r="H448" s="8">
        <v>62.159243915133807</v>
      </c>
      <c r="I448" s="8">
        <v>37.611268167727623</v>
      </c>
      <c r="J448" s="8">
        <v>25.132533057025601</v>
      </c>
      <c r="K448" s="8">
        <v>25.652081664125291</v>
      </c>
      <c r="L448" s="8">
        <v>0.70607800343933413</v>
      </c>
      <c r="M448" s="8">
        <v>62.259882813161681</v>
      </c>
      <c r="N448" s="8">
        <v>39.894431707985717</v>
      </c>
      <c r="O448" s="8">
        <v>296.86599999999999</v>
      </c>
      <c r="P448" s="8">
        <v>293.10300000000001</v>
      </c>
      <c r="Q448" s="8">
        <v>101.02500000000001</v>
      </c>
      <c r="R448" s="8">
        <v>-1.54928</v>
      </c>
      <c r="S448" s="8">
        <v>-0.18086099999999999</v>
      </c>
      <c r="T448" s="7">
        <f>C448-D448</f>
        <v>2.4936014997763785</v>
      </c>
      <c r="U448" s="8">
        <f>D448/C448</f>
        <v>0.92602978727255825</v>
      </c>
      <c r="V448" s="8">
        <v>28.509834314670837</v>
      </c>
      <c r="W448" s="8">
        <v>27.300684298477186</v>
      </c>
      <c r="X448" s="8">
        <v>0.8596921130224382</v>
      </c>
      <c r="Y448" s="8">
        <v>64.583502960097533</v>
      </c>
      <c r="Z448" s="8">
        <v>40.474462642195604</v>
      </c>
      <c r="AA448" s="7">
        <v>26.821183685848219</v>
      </c>
      <c r="AB448" s="7">
        <v>26.476382981301239</v>
      </c>
      <c r="AC448" s="7">
        <v>0.78288505823088617</v>
      </c>
      <c r="AD448" s="7">
        <v>63.421692886629607</v>
      </c>
      <c r="AE448" s="7">
        <v>40.184447175090661</v>
      </c>
      <c r="AF448" s="8">
        <v>26.042765592071181</v>
      </c>
      <c r="AG448" s="8">
        <v>26.619564722262659</v>
      </c>
      <c r="AH448" s="8">
        <v>0.7296279281011635</v>
      </c>
      <c r="AI448" s="8">
        <v>62.346333130969001</v>
      </c>
      <c r="AJ448" s="8">
        <v>41.064422903104557</v>
      </c>
      <c r="AK448" s="8">
        <v>25.037617774750512</v>
      </c>
      <c r="AL448" s="8">
        <v>25.551196534200891</v>
      </c>
      <c r="AM448" s="8">
        <v>0.70362231474356274</v>
      </c>
      <c r="AN448" s="8">
        <v>62.250868131746188</v>
      </c>
      <c r="AO448" s="8">
        <v>39.772429867501593</v>
      </c>
      <c r="AP448" s="8">
        <v>25.399182964795571</v>
      </c>
      <c r="AQ448" s="8">
        <v>24.54167404258569</v>
      </c>
      <c r="AR448" s="8">
        <v>0.68894196724790779</v>
      </c>
      <c r="AS448" s="8">
        <v>63.279365947253972</v>
      </c>
      <c r="AT448" s="8">
        <v>38.972745656705882</v>
      </c>
      <c r="AU448" s="8">
        <v>23.17172379942479</v>
      </c>
      <c r="AV448" s="8">
        <v>23.321049513530259</v>
      </c>
      <c r="AW448" s="8">
        <v>0.69215804715125318</v>
      </c>
      <c r="AX448" s="8">
        <v>62.536362489985237</v>
      </c>
      <c r="AY448" s="8">
        <v>35.637399417605927</v>
      </c>
      <c r="AZ448" s="8">
        <v>25.132188926009931</v>
      </c>
      <c r="BA448" s="8">
        <v>25.881049441676119</v>
      </c>
      <c r="BB448" s="8">
        <v>0.71369082519905958</v>
      </c>
      <c r="BC448" s="8">
        <v>62.19277197842284</v>
      </c>
      <c r="BD448" s="8">
        <v>39.839479009095378</v>
      </c>
      <c r="BE448" s="8">
        <v>22.024921917644932</v>
      </c>
      <c r="BF448" s="8">
        <v>21.95775356850481</v>
      </c>
      <c r="BG448" s="8">
        <v>0.66462942966591376</v>
      </c>
      <c r="BH448" s="8">
        <v>59.775128962928768</v>
      </c>
      <c r="BI448" s="8">
        <v>34.513539825761661</v>
      </c>
    </row>
    <row r="449" spans="1:61" x14ac:dyDescent="0.15">
      <c r="A449" s="7">
        <v>2020</v>
      </c>
      <c r="B449" s="7">
        <v>21</v>
      </c>
      <c r="C449" s="7">
        <v>74.084978884202869</v>
      </c>
      <c r="D449" s="7">
        <v>66.415779330359157</v>
      </c>
      <c r="E449" s="8">
        <v>32.96489721515205</v>
      </c>
      <c r="F449" s="8">
        <v>28.010064198381091</v>
      </c>
      <c r="G449" s="8">
        <v>0.68326230107903374</v>
      </c>
      <c r="H449" s="8">
        <v>69.369880756444743</v>
      </c>
      <c r="I449" s="8">
        <v>48.578128778230862</v>
      </c>
      <c r="J449" s="8">
        <v>37.971303543801142</v>
      </c>
      <c r="K449" s="8">
        <v>30.553540049933819</v>
      </c>
      <c r="L449" s="8">
        <v>0.6880119879953539</v>
      </c>
      <c r="M449" s="8">
        <v>68.224339238568007</v>
      </c>
      <c r="N449" s="8">
        <v>60.102546377292583</v>
      </c>
      <c r="O449" s="8">
        <v>290.072</v>
      </c>
      <c r="P449" s="8">
        <v>285.33499999999998</v>
      </c>
      <c r="Q449" s="8">
        <v>101.087</v>
      </c>
      <c r="R449" s="8">
        <v>-0.64936899999999997</v>
      </c>
      <c r="S449" s="8">
        <v>-0.198214</v>
      </c>
      <c r="T449" s="7">
        <f>C449-D449</f>
        <v>7.6691995538437112</v>
      </c>
      <c r="U449" s="8">
        <f>D449/C449</f>
        <v>0.89648104555943908</v>
      </c>
      <c r="V449" s="8">
        <v>35.912463511316105</v>
      </c>
      <c r="W449" s="8">
        <v>26.555796386520658</v>
      </c>
      <c r="X449" s="8">
        <v>0.70418990488284372</v>
      </c>
      <c r="Y449" s="8">
        <v>69.355699805975348</v>
      </c>
      <c r="Z449" s="8">
        <v>50.851535965032852</v>
      </c>
      <c r="AA449" s="7">
        <v>36.941883527558623</v>
      </c>
      <c r="AB449" s="7">
        <v>28.554668218227238</v>
      </c>
      <c r="AC449" s="7">
        <v>0.69610094643909881</v>
      </c>
      <c r="AD449" s="7">
        <v>68.790019522271677</v>
      </c>
      <c r="AE449" s="7">
        <v>55.477041171162718</v>
      </c>
      <c r="AF449" s="8">
        <v>37.374955800078482</v>
      </c>
      <c r="AG449" s="8">
        <v>31.537769150043829</v>
      </c>
      <c r="AH449" s="8">
        <v>0.69657962145392971</v>
      </c>
      <c r="AI449" s="8">
        <v>67.837575410638323</v>
      </c>
      <c r="AJ449" s="8">
        <v>58.467861399561137</v>
      </c>
      <c r="AK449" s="8">
        <v>38.011857655761787</v>
      </c>
      <c r="AL449" s="8">
        <v>30.48660840218141</v>
      </c>
      <c r="AM449" s="8">
        <v>0.68742935350033951</v>
      </c>
      <c r="AN449" s="8">
        <v>68.250640777804634</v>
      </c>
      <c r="AO449" s="8">
        <v>60.213711713801558</v>
      </c>
      <c r="AP449" s="8">
        <v>36.701521044119673</v>
      </c>
      <c r="AQ449" s="8">
        <v>28.64118944848838</v>
      </c>
      <c r="AR449" s="8">
        <v>0.66160636148597129</v>
      </c>
      <c r="AS449" s="8">
        <v>68.48226030905407</v>
      </c>
      <c r="AT449" s="8">
        <v>54.862600611116903</v>
      </c>
      <c r="AU449" s="8">
        <v>40.112374145645241</v>
      </c>
      <c r="AV449" s="8">
        <v>30.46909642522774</v>
      </c>
      <c r="AW449" s="8">
        <v>0.67506940656633452</v>
      </c>
      <c r="AX449" s="8">
        <v>67.427642141377831</v>
      </c>
      <c r="AY449" s="8">
        <v>66.27088355588198</v>
      </c>
      <c r="AZ449" s="8">
        <v>38.649235304116132</v>
      </c>
      <c r="BA449" s="8">
        <v>29.72291027543784</v>
      </c>
      <c r="BB449" s="8">
        <v>0.6922454916496954</v>
      </c>
      <c r="BC449" s="8">
        <v>68.205983865952064</v>
      </c>
      <c r="BD449" s="8">
        <v>61.421273416795181</v>
      </c>
      <c r="BE449" s="8">
        <v>40.981406355833457</v>
      </c>
      <c r="BF449" s="8">
        <v>31.051506781222841</v>
      </c>
      <c r="BG449" s="8">
        <v>0.58349308311596459</v>
      </c>
      <c r="BH449" s="8">
        <v>64.157033020301157</v>
      </c>
      <c r="BI449" s="8">
        <v>68.274304272608674</v>
      </c>
    </row>
    <row r="450" spans="1:61" x14ac:dyDescent="0.15">
      <c r="A450" s="7">
        <v>2020</v>
      </c>
      <c r="B450" s="7">
        <v>116</v>
      </c>
      <c r="C450" s="7">
        <v>45.118060512429871</v>
      </c>
      <c r="D450" s="7">
        <v>36.954148646239396</v>
      </c>
      <c r="E450" s="8">
        <v>35.308605349130808</v>
      </c>
      <c r="F450" s="8">
        <v>18.850777856266252</v>
      </c>
      <c r="G450" s="8">
        <v>0.68396419630360172</v>
      </c>
      <c r="H450" s="8">
        <v>72.130058974451416</v>
      </c>
      <c r="I450" s="8">
        <v>51.652251816829747</v>
      </c>
      <c r="J450" s="8">
        <v>44.780657498570001</v>
      </c>
      <c r="K450" s="8">
        <v>24.861362588986541</v>
      </c>
      <c r="L450" s="8">
        <v>0.82748485434204666</v>
      </c>
      <c r="M450" s="8">
        <v>71.141754532151595</v>
      </c>
      <c r="N450" s="8">
        <v>68.408104695667632</v>
      </c>
      <c r="O450" s="8">
        <v>288.51499999999999</v>
      </c>
      <c r="P450" s="8">
        <v>281.23500000000001</v>
      </c>
      <c r="Q450" s="8">
        <v>97.813199999999995</v>
      </c>
      <c r="R450" s="8">
        <v>7.4187299999999998E-2</v>
      </c>
      <c r="S450" s="8">
        <v>-0.17228399999999999</v>
      </c>
      <c r="T450" s="7">
        <f>C450-D450</f>
        <v>8.1639118661904746</v>
      </c>
      <c r="U450" s="8">
        <f>D450/C450</f>
        <v>0.81905445904658636</v>
      </c>
      <c r="V450" s="8">
        <v>37.112136590787266</v>
      </c>
      <c r="W450" s="8">
        <v>25.474196482268741</v>
      </c>
      <c r="X450" s="8">
        <v>0.83484698046147809</v>
      </c>
      <c r="Y450" s="8">
        <v>62.842305985366437</v>
      </c>
      <c r="Z450" s="8">
        <v>60.587180662656365</v>
      </c>
      <c r="AA450" s="7">
        <v>40.946397044678633</v>
      </c>
      <c r="AB450" s="7">
        <v>25.167779535627641</v>
      </c>
      <c r="AC450" s="7">
        <v>0.83116591740176238</v>
      </c>
      <c r="AD450" s="7">
        <v>66.992030258759016</v>
      </c>
      <c r="AE450" s="7">
        <v>64.497642679161999</v>
      </c>
      <c r="AF450" s="8">
        <v>41.685082429168773</v>
      </c>
      <c r="AG450" s="8">
        <v>22.895876017771162</v>
      </c>
      <c r="AH450" s="8">
        <v>0.7944104226780464</v>
      </c>
      <c r="AI450" s="8">
        <v>71.8565448607267</v>
      </c>
      <c r="AJ450" s="8">
        <v>63.729061601558811</v>
      </c>
      <c r="AK450" s="8">
        <v>45.418621139689407</v>
      </c>
      <c r="AL450" s="8">
        <v>25.26642754184082</v>
      </c>
      <c r="AM450" s="8">
        <v>0.83430112737024453</v>
      </c>
      <c r="AN450" s="8">
        <v>70.994444184177084</v>
      </c>
      <c r="AO450" s="8">
        <v>69.372403510055534</v>
      </c>
      <c r="AP450" s="8">
        <v>41.455491406917893</v>
      </c>
      <c r="AQ450" s="8">
        <v>27.06336614773949</v>
      </c>
      <c r="AR450" s="8">
        <v>0.87507564587532605</v>
      </c>
      <c r="AS450" s="8">
        <v>64.223509265713318</v>
      </c>
      <c r="AT450" s="8">
        <v>67.415545640046659</v>
      </c>
      <c r="AU450" s="8">
        <v>32.867268278718498</v>
      </c>
      <c r="AV450" s="8">
        <v>20.644809279672781</v>
      </c>
      <c r="AW450" s="8">
        <v>0.71641381829703055</v>
      </c>
      <c r="AX450" s="8">
        <v>70.654022748066808</v>
      </c>
      <c r="AY450" s="8">
        <v>51.008964997353182</v>
      </c>
      <c r="AZ450" s="8">
        <v>45.30934485548574</v>
      </c>
      <c r="BA450" s="8">
        <v>25.222900610408669</v>
      </c>
      <c r="BB450" s="8">
        <v>0.84420768991386297</v>
      </c>
      <c r="BC450" s="8">
        <v>70.903108129663167</v>
      </c>
      <c r="BD450" s="8">
        <v>68.862819880413554</v>
      </c>
      <c r="BE450" s="8">
        <v>44.957275578575413</v>
      </c>
      <c r="BF450" s="8">
        <v>33.034587169182288</v>
      </c>
      <c r="BG450" s="8">
        <v>0.7698169740220977</v>
      </c>
      <c r="BH450" s="8">
        <v>63.561593315185533</v>
      </c>
      <c r="BI450" s="8">
        <v>89.805747369269497</v>
      </c>
    </row>
    <row r="451" spans="1:61" x14ac:dyDescent="0.15">
      <c r="A451" s="7">
        <v>2023</v>
      </c>
      <c r="B451" s="7">
        <v>122</v>
      </c>
      <c r="C451" s="9">
        <v>10.13004929498036</v>
      </c>
      <c r="D451" s="7">
        <v>0.25122103261552231</v>
      </c>
      <c r="E451" s="8">
        <v>21.250418458357021</v>
      </c>
      <c r="F451" s="8">
        <v>13.09695523347718</v>
      </c>
      <c r="G451" s="8">
        <v>0.68409722756730862</v>
      </c>
      <c r="H451" s="8">
        <v>50.836813008564789</v>
      </c>
      <c r="I451" s="8">
        <v>33.192207267382798</v>
      </c>
      <c r="J451" s="8">
        <v>22.300838572114241</v>
      </c>
      <c r="K451" s="8">
        <v>13.344248218410421</v>
      </c>
      <c r="L451" s="8">
        <v>0.58096452092736317</v>
      </c>
      <c r="M451" s="8">
        <v>51.874645385385271</v>
      </c>
      <c r="N451" s="8">
        <v>33.364350150639737</v>
      </c>
      <c r="O451" s="7">
        <v>292.678</v>
      </c>
      <c r="P451" s="7">
        <v>287.89400000000001</v>
      </c>
      <c r="Q451" s="7">
        <v>98.280100000000004</v>
      </c>
      <c r="R451" s="7">
        <v>-0.35508400000000001</v>
      </c>
      <c r="S451" s="7">
        <v>-0.38698700000000003</v>
      </c>
      <c r="T451" s="7">
        <f>C451-D451</f>
        <v>9.8788282623648378</v>
      </c>
      <c r="U451" s="8">
        <f>D451/C451</f>
        <v>2.4799586388983053E-2</v>
      </c>
      <c r="V451" s="8">
        <v>20.862491728181336</v>
      </c>
      <c r="W451" s="8">
        <v>12.48685877302648</v>
      </c>
      <c r="X451" s="8">
        <v>0.70757923344555318</v>
      </c>
      <c r="Y451" s="8">
        <v>51.628860494772574</v>
      </c>
      <c r="Z451" s="8">
        <v>33.190239145318429</v>
      </c>
      <c r="AA451" s="7">
        <v>21.581665150147789</v>
      </c>
      <c r="AB451" s="7">
        <v>12.91555349571845</v>
      </c>
      <c r="AC451" s="7">
        <v>0.64427187718645818</v>
      </c>
      <c r="AD451" s="7">
        <v>51.751752940078923</v>
      </c>
      <c r="AE451" s="7">
        <v>33.277294647979083</v>
      </c>
      <c r="AF451" s="8">
        <v>22.50171237081419</v>
      </c>
      <c r="AG451" s="8">
        <v>14.32140228223073</v>
      </c>
      <c r="AH451" s="8">
        <v>0.60052087916796015</v>
      </c>
      <c r="AI451" s="8">
        <v>50.609725741114097</v>
      </c>
      <c r="AJ451" s="8">
        <v>33.759644994149667</v>
      </c>
      <c r="AK451" s="8">
        <v>22.26606240065674</v>
      </c>
      <c r="AL451" s="8">
        <v>13.17507893160578</v>
      </c>
      <c r="AM451" s="8">
        <v>0.57757883662378129</v>
      </c>
      <c r="AN451" s="8">
        <v>52.093633937968193</v>
      </c>
      <c r="AO451" s="8">
        <v>33.295914937370817</v>
      </c>
      <c r="AP451" s="8">
        <v>22.317019235085251</v>
      </c>
      <c r="AQ451" s="8">
        <v>12.168500954147779</v>
      </c>
      <c r="AR451" s="8">
        <v>0.56056743677629228</v>
      </c>
      <c r="AS451" s="8">
        <v>54.212936792182113</v>
      </c>
      <c r="AT451" s="8">
        <v>33.429276837048867</v>
      </c>
      <c r="AU451" s="8">
        <v>20.36895054417564</v>
      </c>
      <c r="AV451" s="8">
        <v>13.294422168663949</v>
      </c>
      <c r="AW451" s="8">
        <v>0.55977658955268594</v>
      </c>
      <c r="AX451" s="8">
        <v>59.477667926009417</v>
      </c>
      <c r="AY451" s="8">
        <v>31.955459820343471</v>
      </c>
      <c r="AZ451" s="8">
        <v>21.811874007334861</v>
      </c>
      <c r="BA451" s="8">
        <v>13.432524655733021</v>
      </c>
      <c r="BB451" s="8">
        <v>0.55948747285505152</v>
      </c>
      <c r="BC451" s="8">
        <v>50.248049772395099</v>
      </c>
      <c r="BD451" s="8">
        <v>32.931224486757813</v>
      </c>
      <c r="BE451" s="8">
        <v>23.3463760438447</v>
      </c>
      <c r="BF451" s="8">
        <v>21.747460112088788</v>
      </c>
      <c r="BG451" s="8">
        <v>0.59557948266348892</v>
      </c>
      <c r="BH451" s="8">
        <v>60.323412183608987</v>
      </c>
      <c r="BI451" s="8">
        <v>41.046675175110153</v>
      </c>
    </row>
    <row r="452" spans="1:61" x14ac:dyDescent="0.15">
      <c r="A452" s="7">
        <v>2019</v>
      </c>
      <c r="B452" s="7">
        <v>123</v>
      </c>
      <c r="C452" s="7">
        <v>4.5530817689610998</v>
      </c>
      <c r="D452" s="7">
        <v>2.776473247910777</v>
      </c>
      <c r="E452" s="8">
        <v>35.315685359777511</v>
      </c>
      <c r="F452" s="8">
        <v>22.107695328010671</v>
      </c>
      <c r="G452" s="8">
        <v>0.68427026314126682</v>
      </c>
      <c r="H452" s="8">
        <v>71.053019059533852</v>
      </c>
      <c r="I452" s="8">
        <v>50.092957421917177</v>
      </c>
      <c r="J452" s="8">
        <v>38.726006490868649</v>
      </c>
      <c r="K452" s="8">
        <v>25.00764036475708</v>
      </c>
      <c r="L452" s="8">
        <v>0.82482332272995462</v>
      </c>
      <c r="M452" s="8">
        <v>68.21000176588133</v>
      </c>
      <c r="N452" s="8">
        <v>57.727428483405212</v>
      </c>
      <c r="O452" s="8">
        <v>290.238</v>
      </c>
      <c r="P452" s="8">
        <v>285.25099999999998</v>
      </c>
      <c r="Q452" s="8">
        <v>99.220699999999994</v>
      </c>
      <c r="R452" s="8">
        <v>-0.67614700000000005</v>
      </c>
      <c r="S452" s="8">
        <v>-0.40559899999999999</v>
      </c>
      <c r="T452" s="7">
        <f>C452-D452</f>
        <v>1.7766085210503229</v>
      </c>
      <c r="U452" s="8">
        <f>D452/C452</f>
        <v>0.60980087527492377</v>
      </c>
      <c r="V452" s="8">
        <v>35.307131532915385</v>
      </c>
      <c r="W452" s="8">
        <v>20.437865172680517</v>
      </c>
      <c r="X452" s="8">
        <v>0.63706051277263875</v>
      </c>
      <c r="Y452" s="8">
        <v>69.82410370848514</v>
      </c>
      <c r="Z452" s="8">
        <v>46.626621267048513</v>
      </c>
      <c r="AA452" s="7">
        <v>37.016569011892017</v>
      </c>
      <c r="AB452" s="7">
        <v>22.722752768718799</v>
      </c>
      <c r="AC452" s="7">
        <v>0.73094191775129669</v>
      </c>
      <c r="AD452" s="7">
        <v>69.017052737183235</v>
      </c>
      <c r="AE452" s="7">
        <v>52.177024875226863</v>
      </c>
      <c r="AF452" s="8">
        <v>38.926759928297798</v>
      </c>
      <c r="AG452" s="8">
        <v>26.79713093407889</v>
      </c>
      <c r="AH452" s="8">
        <v>0.84634228195216377</v>
      </c>
      <c r="AI452" s="8">
        <v>68.016308386771144</v>
      </c>
      <c r="AJ452" s="8">
        <v>58.825691234413988</v>
      </c>
      <c r="AK452" s="8">
        <v>38.68648688873013</v>
      </c>
      <c r="AL452" s="8">
        <v>24.65536766529106</v>
      </c>
      <c r="AM452" s="8">
        <v>0.82058717754714994</v>
      </c>
      <c r="AN452" s="8">
        <v>68.248131550244324</v>
      </c>
      <c r="AO452" s="8">
        <v>57.511228414707737</v>
      </c>
      <c r="AP452" s="8">
        <v>37.626339317082227</v>
      </c>
      <c r="AQ452" s="8">
        <v>22.80948759432804</v>
      </c>
      <c r="AR452" s="8">
        <v>0.7508684586616754</v>
      </c>
      <c r="AS452" s="8">
        <v>67.80508120626267</v>
      </c>
      <c r="AT452" s="8">
        <v>52.105447607869252</v>
      </c>
      <c r="AU452" s="8">
        <v>37.538150005974153</v>
      </c>
      <c r="AV452" s="8">
        <v>23.978433019462461</v>
      </c>
      <c r="AW452" s="8">
        <v>0.71385622070793497</v>
      </c>
      <c r="AX452" s="8">
        <v>69.470891728689182</v>
      </c>
      <c r="AY452" s="8">
        <v>57.26747762493082</v>
      </c>
      <c r="AZ452" s="8">
        <v>39.977852057852601</v>
      </c>
      <c r="BA452" s="8">
        <v>26.81322663196681</v>
      </c>
      <c r="BB452" s="8">
        <v>0.8485146038011292</v>
      </c>
      <c r="BC452" s="8">
        <v>67.797906812420152</v>
      </c>
      <c r="BD452" s="8">
        <v>61.693035431997373</v>
      </c>
      <c r="BE452" s="8">
        <v>42.542397758561663</v>
      </c>
      <c r="BF452" s="8">
        <v>31.019905324339419</v>
      </c>
      <c r="BG452" s="8">
        <v>0.65509423735611261</v>
      </c>
      <c r="BH452" s="8">
        <v>68.740902146929329</v>
      </c>
      <c r="BI452" s="8">
        <v>69.211366635037734</v>
      </c>
    </row>
    <row r="453" spans="1:61" x14ac:dyDescent="0.15">
      <c r="A453" s="7">
        <v>2019</v>
      </c>
      <c r="B453" s="7">
        <v>54</v>
      </c>
      <c r="C453" s="7">
        <v>100.67187519310355</v>
      </c>
      <c r="D453" s="7">
        <v>29.694380835082008</v>
      </c>
      <c r="E453" s="8">
        <v>25.097676152916819</v>
      </c>
      <c r="F453" s="8">
        <v>25.217695043389121</v>
      </c>
      <c r="G453" s="8">
        <v>0.68441115092756566</v>
      </c>
      <c r="H453" s="8">
        <v>57.855138101045029</v>
      </c>
      <c r="I453" s="8">
        <v>35.659963283164807</v>
      </c>
      <c r="J453" s="8">
        <v>24.679847684789479</v>
      </c>
      <c r="K453" s="8">
        <v>24.395968339666901</v>
      </c>
      <c r="L453" s="8">
        <v>0.70176186952550712</v>
      </c>
      <c r="M453" s="8">
        <v>60.327652031924863</v>
      </c>
      <c r="N453" s="8">
        <v>38.553214727137302</v>
      </c>
      <c r="O453" s="8">
        <v>295.75400000000002</v>
      </c>
      <c r="P453" s="8">
        <v>291.64</v>
      </c>
      <c r="Q453" s="8">
        <v>99.113900000000001</v>
      </c>
      <c r="R453" s="8">
        <v>-0.57261200000000001</v>
      </c>
      <c r="S453" s="8">
        <v>-0.25249700000000003</v>
      </c>
      <c r="T453" s="7">
        <f>C453-D453</f>
        <v>70.977494358021545</v>
      </c>
      <c r="U453" s="8">
        <f>D453/C453</f>
        <v>0.2949620316312157</v>
      </c>
      <c r="V453" s="8">
        <v>25.588838085266964</v>
      </c>
      <c r="W453" s="8">
        <v>24.983853929222761</v>
      </c>
      <c r="X453" s="8">
        <v>0.70189685142322522</v>
      </c>
      <c r="Y453" s="8">
        <v>57.300128552470333</v>
      </c>
      <c r="Z453" s="8">
        <v>35.249374766660722</v>
      </c>
      <c r="AA453" s="7">
        <v>25.134342885028222</v>
      </c>
      <c r="AB453" s="7">
        <v>24.689911134444831</v>
      </c>
      <c r="AC453" s="7">
        <v>0.70182936047436617</v>
      </c>
      <c r="AD453" s="7">
        <v>58.813890292197598</v>
      </c>
      <c r="AE453" s="7">
        <v>36.901294746899012</v>
      </c>
      <c r="AF453" s="8">
        <v>25.569005450660761</v>
      </c>
      <c r="AG453" s="8">
        <v>25.944705354446121</v>
      </c>
      <c r="AH453" s="8">
        <v>0.70326879928642905</v>
      </c>
      <c r="AI453" s="8">
        <v>57.523422597173663</v>
      </c>
      <c r="AJ453" s="8">
        <v>42.843786628516661</v>
      </c>
      <c r="AK453" s="8">
        <v>24.512909338646232</v>
      </c>
      <c r="AL453" s="8">
        <v>24.105194749442759</v>
      </c>
      <c r="AM453" s="8">
        <v>0.70147894519902854</v>
      </c>
      <c r="AN453" s="8">
        <v>60.854142877545328</v>
      </c>
      <c r="AO453" s="8">
        <v>37.747664795823262</v>
      </c>
      <c r="AP453" s="8">
        <v>23.851060380240519</v>
      </c>
      <c r="AQ453" s="8">
        <v>22.730256802123868</v>
      </c>
      <c r="AR453" s="8">
        <v>0.72075827567971451</v>
      </c>
      <c r="AS453" s="8">
        <v>60.293863865866378</v>
      </c>
      <c r="AT453" s="8">
        <v>37.059030118289321</v>
      </c>
      <c r="AU453" s="8">
        <v>23.644154059413161</v>
      </c>
      <c r="AV453" s="8">
        <v>21.483421552777699</v>
      </c>
      <c r="AW453" s="8">
        <v>0.66597258771441736</v>
      </c>
      <c r="AX453" s="8">
        <v>65.106814285385511</v>
      </c>
      <c r="AY453" s="8">
        <v>33.626998324801939</v>
      </c>
      <c r="AZ453" s="8">
        <v>26.649409340614721</v>
      </c>
      <c r="BA453" s="8">
        <v>24.714790252722569</v>
      </c>
      <c r="BB453" s="8">
        <v>0.70210922153115207</v>
      </c>
      <c r="BC453" s="8">
        <v>61.917136568445208</v>
      </c>
      <c r="BD453" s="8">
        <v>40.766936457065263</v>
      </c>
      <c r="BE453" s="8">
        <v>22.655930457022951</v>
      </c>
      <c r="BF453" s="8">
        <v>21.70759249734774</v>
      </c>
      <c r="BG453" s="8">
        <v>0.66801720774943774</v>
      </c>
      <c r="BH453" s="8">
        <v>62.553841785473971</v>
      </c>
      <c r="BI453" s="8">
        <v>33.976362696971769</v>
      </c>
    </row>
    <row r="454" spans="1:61" x14ac:dyDescent="0.15">
      <c r="A454" s="7">
        <v>2021</v>
      </c>
      <c r="B454" s="7">
        <v>84</v>
      </c>
      <c r="C454" s="7">
        <v>65.34523634953679</v>
      </c>
      <c r="D454" s="7">
        <v>16.304364282848862</v>
      </c>
      <c r="E454" s="8">
        <v>47.506952977767412</v>
      </c>
      <c r="F454" s="8">
        <v>33.224417515154549</v>
      </c>
      <c r="G454" s="8">
        <v>0.68462927228159254</v>
      </c>
      <c r="H454" s="8">
        <v>67.169972680652165</v>
      </c>
      <c r="I454" s="8">
        <v>85.222202747654151</v>
      </c>
      <c r="J454" s="8">
        <v>45.299361051372401</v>
      </c>
      <c r="K454" s="8">
        <v>33.419152137585577</v>
      </c>
      <c r="L454" s="8">
        <v>0.7171814049761055</v>
      </c>
      <c r="M454" s="8">
        <v>69.799854288890174</v>
      </c>
      <c r="N454" s="8">
        <v>86.216956958020276</v>
      </c>
      <c r="O454" s="8">
        <v>288.09699999999998</v>
      </c>
      <c r="P454" s="8">
        <v>279.54500000000002</v>
      </c>
      <c r="Q454" s="8">
        <v>101.34099999999999</v>
      </c>
      <c r="R454" s="8">
        <v>-0.13547200000000001</v>
      </c>
      <c r="S454" s="8">
        <v>0.36147499999999999</v>
      </c>
      <c r="T454" s="7">
        <f>C454-D454</f>
        <v>49.040872066687925</v>
      </c>
      <c r="U454" s="8">
        <f>D454/C454</f>
        <v>0.24951113797546831</v>
      </c>
      <c r="V454" s="8">
        <v>46.668046083967752</v>
      </c>
      <c r="W454" s="8">
        <v>35.538071748215508</v>
      </c>
      <c r="X454" s="8">
        <v>0.61232997173530868</v>
      </c>
      <c r="Y454" s="8">
        <v>70.084055714858494</v>
      </c>
      <c r="Z454" s="8">
        <v>76.908985419249959</v>
      </c>
      <c r="AA454" s="7">
        <v>45.983703567670076</v>
      </c>
      <c r="AB454" s="7">
        <v>34.478611942900542</v>
      </c>
      <c r="AC454" s="7">
        <v>0.66475568835570709</v>
      </c>
      <c r="AD454" s="7">
        <v>69.941955001874334</v>
      </c>
      <c r="AE454" s="7">
        <v>81.562971188635117</v>
      </c>
      <c r="AF454" s="8">
        <v>44.856191000646817</v>
      </c>
      <c r="AG454" s="8">
        <v>31.977361119927391</v>
      </c>
      <c r="AH454" s="8">
        <v>0.75567692720339152</v>
      </c>
      <c r="AI454" s="8">
        <v>69.91176842978291</v>
      </c>
      <c r="AJ454" s="8">
        <v>84.233582165675458</v>
      </c>
      <c r="AK454" s="8">
        <v>45.352350267751852</v>
      </c>
      <c r="AL454" s="8">
        <v>33.591545051058752</v>
      </c>
      <c r="AM454" s="8">
        <v>0.71257854981113711</v>
      </c>
      <c r="AN454" s="8">
        <v>69.786472873295907</v>
      </c>
      <c r="AO454" s="8">
        <v>86.454106277702493</v>
      </c>
      <c r="AP454" s="8">
        <v>46.427243077186937</v>
      </c>
      <c r="AQ454" s="8">
        <v>34.53267801437223</v>
      </c>
      <c r="AR454" s="8">
        <v>0.65054346341249636</v>
      </c>
      <c r="AS454" s="8">
        <v>70.163095819508285</v>
      </c>
      <c r="AT454" s="8">
        <v>80.820782569879455</v>
      </c>
      <c r="AU454" s="8">
        <v>48.411322988902057</v>
      </c>
      <c r="AV454" s="8">
        <v>33.606849936441051</v>
      </c>
      <c r="AW454" s="8">
        <v>0.80277131520523581</v>
      </c>
      <c r="AX454" s="8">
        <v>68.818706066476466</v>
      </c>
      <c r="AY454" s="8">
        <v>93.77798234583075</v>
      </c>
      <c r="AZ454" s="8">
        <v>44.55535806585867</v>
      </c>
      <c r="BA454" s="8">
        <v>34.265734538012481</v>
      </c>
      <c r="BB454" s="8">
        <v>0.70386067532618324</v>
      </c>
      <c r="BC454" s="8">
        <v>69.464592808868957</v>
      </c>
      <c r="BD454" s="8">
        <v>84.3712352401148</v>
      </c>
      <c r="BE454" s="8">
        <v>45.3791421562889</v>
      </c>
      <c r="BF454" s="8">
        <v>37.371386930580883</v>
      </c>
      <c r="BG454" s="8">
        <v>0.81821457597272107</v>
      </c>
      <c r="BH454" s="8">
        <v>61.59331694797558</v>
      </c>
      <c r="BI454" s="8">
        <v>76.04168401660219</v>
      </c>
    </row>
    <row r="455" spans="1:61" x14ac:dyDescent="0.15">
      <c r="A455" s="7">
        <v>2019</v>
      </c>
      <c r="B455" s="7">
        <v>112</v>
      </c>
      <c r="C455" s="7">
        <v>37.273252793714597</v>
      </c>
      <c r="D455" s="7">
        <v>11.014479083225085</v>
      </c>
      <c r="E455" s="8">
        <v>31.172663347572161</v>
      </c>
      <c r="F455" s="8">
        <v>17.40326297171169</v>
      </c>
      <c r="G455" s="8">
        <v>0.68485650315791058</v>
      </c>
      <c r="H455" s="8">
        <v>81.565133226126832</v>
      </c>
      <c r="I455" s="8">
        <v>65.533024837935145</v>
      </c>
      <c r="J455" s="8">
        <v>44.864469587358009</v>
      </c>
      <c r="K455" s="8">
        <v>33.580545367517288</v>
      </c>
      <c r="L455" s="8">
        <v>0.73553151481888268</v>
      </c>
      <c r="M455" s="8">
        <v>55.509909549495369</v>
      </c>
      <c r="N455" s="8">
        <v>83.301723618598785</v>
      </c>
      <c r="O455" s="8">
        <v>285.202</v>
      </c>
      <c r="P455" s="8">
        <v>276.97699999999998</v>
      </c>
      <c r="Q455" s="8">
        <v>89.929699999999997</v>
      </c>
      <c r="R455" s="8">
        <v>-0.40414600000000001</v>
      </c>
      <c r="S455" s="8">
        <v>-0.14635799999999999</v>
      </c>
      <c r="T455" s="7">
        <f>C455-D455</f>
        <v>26.258773710489514</v>
      </c>
      <c r="U455" s="8">
        <f>D455/C455</f>
        <v>0.29550624798387493</v>
      </c>
      <c r="V455" s="8">
        <v>36.945245221017537</v>
      </c>
      <c r="W455" s="8">
        <v>21.72504073834633</v>
      </c>
      <c r="X455" s="8">
        <v>0.69539097913667092</v>
      </c>
      <c r="Y455" s="8">
        <v>67.391138888996977</v>
      </c>
      <c r="Z455" s="8">
        <v>74.953110450486392</v>
      </c>
      <c r="AA455" s="7">
        <v>40.904857404187773</v>
      </c>
      <c r="AB455" s="7">
        <v>27.652793052931809</v>
      </c>
      <c r="AC455" s="7">
        <v>0.7154612469777768</v>
      </c>
      <c r="AD455" s="7">
        <v>61.450524219246176</v>
      </c>
      <c r="AE455" s="7">
        <v>79.127417034542589</v>
      </c>
      <c r="AF455" s="8">
        <v>46.288025023109881</v>
      </c>
      <c r="AG455" s="8">
        <v>34.84805759784615</v>
      </c>
      <c r="AH455" s="8">
        <v>0.75594784456129605</v>
      </c>
      <c r="AI455" s="8">
        <v>54.891057017804549</v>
      </c>
      <c r="AJ455" s="8">
        <v>83.193411058637565</v>
      </c>
      <c r="AK455" s="8">
        <v>44.644888944212298</v>
      </c>
      <c r="AL455" s="8">
        <v>33.385034083769028</v>
      </c>
      <c r="AM455" s="8">
        <v>0.73238233586671464</v>
      </c>
      <c r="AN455" s="8">
        <v>55.605366342752767</v>
      </c>
      <c r="AO455" s="8">
        <v>83.318430619239393</v>
      </c>
      <c r="AP455" s="8">
        <v>43.395632393044977</v>
      </c>
      <c r="AQ455" s="8">
        <v>29.87589947884258</v>
      </c>
      <c r="AR455" s="8">
        <v>0.7141348500433975</v>
      </c>
      <c r="AS455" s="8">
        <v>56.527296434559652</v>
      </c>
      <c r="AT455" s="8">
        <v>83.3899228996343</v>
      </c>
      <c r="AU455" s="8">
        <v>37.324070005815877</v>
      </c>
      <c r="AV455" s="8">
        <v>23.924497290269649</v>
      </c>
      <c r="AW455" s="8">
        <v>0.75219236469994388</v>
      </c>
      <c r="AX455" s="8">
        <v>65.754618855572602</v>
      </c>
      <c r="AY455" s="8">
        <v>71.344675703835563</v>
      </c>
      <c r="AZ455" s="8">
        <v>45.404514021560423</v>
      </c>
      <c r="BA455" s="8">
        <v>35.883970676665903</v>
      </c>
      <c r="BB455" s="8">
        <v>0.74118182652725417</v>
      </c>
      <c r="BC455" s="8">
        <v>54.342971390550382</v>
      </c>
      <c r="BD455" s="8">
        <v>82.691941235644165</v>
      </c>
      <c r="BE455" s="8">
        <v>39.25030339003861</v>
      </c>
      <c r="BF455" s="8">
        <v>33.694471286429263</v>
      </c>
      <c r="BG455" s="8">
        <v>0.68450673031635734</v>
      </c>
      <c r="BH455" s="8">
        <v>58.334852958041672</v>
      </c>
      <c r="BI455" s="8">
        <v>81.857021847003239</v>
      </c>
    </row>
    <row r="456" spans="1:61" x14ac:dyDescent="0.15">
      <c r="A456" s="7">
        <v>2023</v>
      </c>
      <c r="B456" s="7">
        <v>88</v>
      </c>
      <c r="C456" s="9">
        <v>36.057469599860525</v>
      </c>
      <c r="D456" s="7">
        <v>20.118096191940911</v>
      </c>
      <c r="E456" s="8">
        <v>34.051838362995227</v>
      </c>
      <c r="F456" s="8">
        <v>21.44519945692365</v>
      </c>
      <c r="G456" s="8">
        <v>0.68623888791340282</v>
      </c>
      <c r="H456" s="8">
        <v>70.527921613234398</v>
      </c>
      <c r="I456" s="8">
        <v>63.394380677741133</v>
      </c>
      <c r="J456" s="8">
        <v>35.740281306071587</v>
      </c>
      <c r="K456" s="8">
        <v>20.15455684854221</v>
      </c>
      <c r="L456" s="8">
        <v>0.60765218048046765</v>
      </c>
      <c r="M456" s="8">
        <v>79.837467083469605</v>
      </c>
      <c r="N456" s="8">
        <v>72.907316058834184</v>
      </c>
      <c r="O456" s="7">
        <v>289.899</v>
      </c>
      <c r="P456" s="7">
        <v>282.65499999999997</v>
      </c>
      <c r="Q456" s="7">
        <v>101.035</v>
      </c>
      <c r="R456" s="7">
        <v>-0.322604</v>
      </c>
      <c r="S456" s="7">
        <v>-1.46403E-2</v>
      </c>
      <c r="T456" s="7">
        <f>C456-D456</f>
        <v>15.939373407919614</v>
      </c>
      <c r="U456" s="8">
        <f>D456/C456</f>
        <v>0.55794531383363433</v>
      </c>
      <c r="V456" s="8">
        <v>33.61449516303842</v>
      </c>
      <c r="W456" s="8">
        <v>19.28098857709735</v>
      </c>
      <c r="X456" s="8">
        <v>0.60178815229134386</v>
      </c>
      <c r="Y456" s="8">
        <v>81.274749173183309</v>
      </c>
      <c r="Z456" s="8">
        <v>68.230556918354338</v>
      </c>
      <c r="AA456" s="7">
        <v>34.677388234555004</v>
      </c>
      <c r="AB456" s="7">
        <v>19.71777271281978</v>
      </c>
      <c r="AC456" s="7">
        <v>0.60472016638590576</v>
      </c>
      <c r="AD456" s="7">
        <v>80.556108128326457</v>
      </c>
      <c r="AE456" s="7">
        <v>70.568936488594261</v>
      </c>
      <c r="AF456" s="8">
        <v>36.667667314828847</v>
      </c>
      <c r="AG456" s="8">
        <v>19.861391395761931</v>
      </c>
      <c r="AH456" s="8">
        <v>0.60489696721842068</v>
      </c>
      <c r="AI456" s="8">
        <v>79.921728060512763</v>
      </c>
      <c r="AJ456" s="8">
        <v>72.773852614191256</v>
      </c>
      <c r="AK456" s="8">
        <v>35.625330570954468</v>
      </c>
      <c r="AL456" s="8">
        <v>20.190895098192101</v>
      </c>
      <c r="AM456" s="8">
        <v>0.60799369284628524</v>
      </c>
      <c r="AN456" s="8">
        <v>79.827022822761194</v>
      </c>
      <c r="AO456" s="8">
        <v>72.923859031154336</v>
      </c>
      <c r="AP456" s="8">
        <v>34.667117043021648</v>
      </c>
      <c r="AQ456" s="8">
        <v>19.917433831741111</v>
      </c>
      <c r="AR456" s="8">
        <v>0.60439240248021453</v>
      </c>
      <c r="AS456" s="8">
        <v>80.645092898720293</v>
      </c>
      <c r="AT456" s="8">
        <v>70.507054207728487</v>
      </c>
      <c r="AU456" s="8">
        <v>30.750357756272859</v>
      </c>
      <c r="AV456" s="8">
        <v>28.340233099902949</v>
      </c>
      <c r="AW456" s="8">
        <v>0.67880700323757404</v>
      </c>
      <c r="AX456" s="8">
        <v>64.177203086617922</v>
      </c>
      <c r="AY456" s="8">
        <v>62.378296904546893</v>
      </c>
      <c r="AZ456" s="8">
        <v>34.705273094996762</v>
      </c>
      <c r="BA456" s="8">
        <v>18.74307331729651</v>
      </c>
      <c r="BB456" s="8">
        <v>0.60453395386068653</v>
      </c>
      <c r="BC456" s="8">
        <v>80.391666815701242</v>
      </c>
      <c r="BD456" s="8">
        <v>70.944840548814582</v>
      </c>
      <c r="BE456" s="8">
        <v>34.407446186854678</v>
      </c>
      <c r="BF456" s="8">
        <v>32.777664101668563</v>
      </c>
      <c r="BG456" s="8">
        <v>0.72799226190366884</v>
      </c>
      <c r="BH456" s="8">
        <v>64.260245745451456</v>
      </c>
      <c r="BI456" s="8">
        <v>68.345772095900671</v>
      </c>
    </row>
    <row r="457" spans="1:61" x14ac:dyDescent="0.15">
      <c r="A457" s="7">
        <v>2020</v>
      </c>
      <c r="B457" s="7">
        <v>43</v>
      </c>
      <c r="C457" s="7">
        <v>31.860688865574964</v>
      </c>
      <c r="D457" s="7">
        <v>21.502512961362847</v>
      </c>
      <c r="E457" s="8">
        <v>38.467579098132553</v>
      </c>
      <c r="F457" s="8">
        <v>32.87088631743655</v>
      </c>
      <c r="G457" s="8">
        <v>0.68626571431941497</v>
      </c>
      <c r="H457" s="8">
        <v>68.8767006454529</v>
      </c>
      <c r="I457" s="8">
        <v>57.499752307937229</v>
      </c>
      <c r="J457" s="8">
        <v>34.486488479024587</v>
      </c>
      <c r="K457" s="8">
        <v>31.3820738103888</v>
      </c>
      <c r="L457" s="8">
        <v>0.73862094705503445</v>
      </c>
      <c r="M457" s="8">
        <v>70.601308934824473</v>
      </c>
      <c r="N457" s="8">
        <v>55.310885926440733</v>
      </c>
      <c r="O457" s="8">
        <v>289.524</v>
      </c>
      <c r="P457" s="8">
        <v>284.67099999999999</v>
      </c>
      <c r="Q457" s="8">
        <v>101.684</v>
      </c>
      <c r="R457" s="8">
        <v>-0.62787999999999999</v>
      </c>
      <c r="S457" s="8">
        <v>-0.22451399999999999</v>
      </c>
      <c r="T457" s="7">
        <f>C457-D457</f>
        <v>10.358175904212118</v>
      </c>
      <c r="U457" s="8">
        <f>D457/C457</f>
        <v>0.67489165259687822</v>
      </c>
      <c r="V457" s="8">
        <v>33.732800126328456</v>
      </c>
      <c r="W457" s="8">
        <v>28.73663234567098</v>
      </c>
      <c r="X457" s="8">
        <v>0.66819373117893899</v>
      </c>
      <c r="Y457" s="8">
        <v>72.753693001178519</v>
      </c>
      <c r="Z457" s="8">
        <v>48.104951550647286</v>
      </c>
      <c r="AA457" s="7">
        <v>34.109644302676521</v>
      </c>
      <c r="AB457" s="7">
        <v>30.05935307802989</v>
      </c>
      <c r="AC457" s="7">
        <v>0.70340733911698672</v>
      </c>
      <c r="AD457" s="7">
        <v>71.677500968001496</v>
      </c>
      <c r="AE457" s="7">
        <v>51.707918738544009</v>
      </c>
      <c r="AF457" s="8">
        <v>32.376083976151442</v>
      </c>
      <c r="AG457" s="8">
        <v>32.189184739219627</v>
      </c>
      <c r="AH457" s="8">
        <v>0.72098688616169515</v>
      </c>
      <c r="AI457" s="8">
        <v>70.5393863717659</v>
      </c>
      <c r="AJ457" s="8">
        <v>51.710926808117392</v>
      </c>
      <c r="AK457" s="8">
        <v>34.63589022282909</v>
      </c>
      <c r="AL457" s="8">
        <v>31.32493605312623</v>
      </c>
      <c r="AM457" s="8">
        <v>0.73986931410705392</v>
      </c>
      <c r="AN457" s="8">
        <v>70.605692615246511</v>
      </c>
      <c r="AO457" s="8">
        <v>55.565737623909257</v>
      </c>
      <c r="AP457" s="8">
        <v>33.342404251107467</v>
      </c>
      <c r="AQ457" s="8">
        <v>29.64014209316348</v>
      </c>
      <c r="AR457" s="8">
        <v>0.68587496972972872</v>
      </c>
      <c r="AS457" s="8">
        <v>72.074965152584539</v>
      </c>
      <c r="AT457" s="8">
        <v>49.46833666858322</v>
      </c>
      <c r="AU457" s="8">
        <v>25.98614151584913</v>
      </c>
      <c r="AV457" s="8">
        <v>19.249309278898071</v>
      </c>
      <c r="AW457" s="8">
        <v>0.8692609058061882</v>
      </c>
      <c r="AX457" s="8">
        <v>70.707355388072827</v>
      </c>
      <c r="AY457" s="8">
        <v>50.375607655772548</v>
      </c>
      <c r="AZ457" s="8">
        <v>36.0968662483874</v>
      </c>
      <c r="BA457" s="8">
        <v>30.804373984601789</v>
      </c>
      <c r="BB457" s="8">
        <v>0.73833329652435853</v>
      </c>
      <c r="BC457" s="8">
        <v>70.941792267937103</v>
      </c>
      <c r="BD457" s="8">
        <v>59.17087866053766</v>
      </c>
      <c r="BE457" s="8">
        <v>37.859219652985267</v>
      </c>
      <c r="BF457" s="8">
        <v>32.91014967335304</v>
      </c>
      <c r="BG457" s="8">
        <v>0.60190041740631162</v>
      </c>
      <c r="BH457" s="8">
        <v>63.176394534833577</v>
      </c>
      <c r="BI457" s="8">
        <v>49.779086435477502</v>
      </c>
    </row>
    <row r="458" spans="1:61" x14ac:dyDescent="0.15">
      <c r="A458" s="7">
        <v>2017</v>
      </c>
      <c r="B458" s="7">
        <v>51</v>
      </c>
      <c r="C458" s="7">
        <v>138.25359969290218</v>
      </c>
      <c r="D458" s="7">
        <v>14.759167786247291</v>
      </c>
      <c r="E458" s="8">
        <v>29.968089177217578</v>
      </c>
      <c r="F458" s="8">
        <v>28.55752609977857</v>
      </c>
      <c r="G458" s="8">
        <v>0.68686143322342841</v>
      </c>
      <c r="H458" s="8">
        <v>60.676253568134783</v>
      </c>
      <c r="I458" s="8">
        <v>47.542258218015718</v>
      </c>
      <c r="J458" s="8">
        <v>35.856358041187029</v>
      </c>
      <c r="K458" s="8">
        <v>29.561311090067871</v>
      </c>
      <c r="L458" s="8">
        <v>0.75501310045108572</v>
      </c>
      <c r="M458" s="8">
        <v>62.809810136572231</v>
      </c>
      <c r="N458" s="8">
        <v>56.420277684157583</v>
      </c>
      <c r="O458" s="8">
        <v>291.17</v>
      </c>
      <c r="P458" s="8">
        <v>285.83199999999999</v>
      </c>
      <c r="Q458" s="8">
        <v>98.247199999999992</v>
      </c>
      <c r="R458" s="8">
        <v>-0.50436499999999995</v>
      </c>
      <c r="S458" s="8">
        <v>-0.332978</v>
      </c>
      <c r="T458" s="7">
        <f>C458-D458</f>
        <v>123.4944319066549</v>
      </c>
      <c r="U458" s="8">
        <f>D458/C458</f>
        <v>0.10675431105614108</v>
      </c>
      <c r="V458" s="8">
        <v>28.423653946036517</v>
      </c>
      <c r="W458" s="8">
        <v>27.619816195417027</v>
      </c>
      <c r="X458" s="8">
        <v>0.66932881672853128</v>
      </c>
      <c r="Y458" s="8">
        <v>59.549953079862782</v>
      </c>
      <c r="Z458" s="8">
        <v>44.865423863932804</v>
      </c>
      <c r="AA458" s="7">
        <v>32.140005993611773</v>
      </c>
      <c r="AB458" s="7">
        <v>28.590563642742449</v>
      </c>
      <c r="AC458" s="7">
        <v>0.7121709585898085</v>
      </c>
      <c r="AD458" s="7">
        <v>61.179881608217507</v>
      </c>
      <c r="AE458" s="7">
        <v>50.642850774045193</v>
      </c>
      <c r="AF458" s="8">
        <v>36.016015111354328</v>
      </c>
      <c r="AG458" s="8">
        <v>29.97244751654447</v>
      </c>
      <c r="AH458" s="8">
        <v>0.74614952395006318</v>
      </c>
      <c r="AI458" s="8">
        <v>61.95670648556699</v>
      </c>
      <c r="AJ458" s="8">
        <v>56.189266375001381</v>
      </c>
      <c r="AK458" s="8">
        <v>35.843751900218173</v>
      </c>
      <c r="AL458" s="8">
        <v>29.528848739705509</v>
      </c>
      <c r="AM458" s="8">
        <v>0.75571294728369476</v>
      </c>
      <c r="AN458" s="8">
        <v>62.877169163481327</v>
      </c>
      <c r="AO458" s="8">
        <v>56.438517785429482</v>
      </c>
      <c r="AP458" s="8">
        <v>35.833247249988638</v>
      </c>
      <c r="AQ458" s="8">
        <v>28.12172006815749</v>
      </c>
      <c r="AR458" s="8">
        <v>0.75359561591895352</v>
      </c>
      <c r="AS458" s="8">
        <v>61.915273975470193</v>
      </c>
      <c r="AT458" s="8">
        <v>54.792777246046228</v>
      </c>
      <c r="AU458" s="8">
        <v>26.886801964422641</v>
      </c>
      <c r="AV458" s="8">
        <v>22.027931563087581</v>
      </c>
      <c r="AW458" s="8">
        <v>0.61975423352560011</v>
      </c>
      <c r="AX458" s="8">
        <v>67.297308601706192</v>
      </c>
      <c r="AY458" s="8">
        <v>43.486597886484098</v>
      </c>
      <c r="AZ458" s="8">
        <v>35.427982363446638</v>
      </c>
      <c r="BA458" s="8">
        <v>29.374974968500069</v>
      </c>
      <c r="BB458" s="8">
        <v>0.75000403249795811</v>
      </c>
      <c r="BC458" s="8">
        <v>62.250143261965832</v>
      </c>
      <c r="BD458" s="8">
        <v>58.568281360937107</v>
      </c>
      <c r="BE458" s="8">
        <v>44.069799554361737</v>
      </c>
      <c r="BF458" s="8">
        <v>27.55259184769459</v>
      </c>
      <c r="BG458" s="8">
        <v>0.76793209136790708</v>
      </c>
      <c r="BH458" s="8">
        <v>66.94744124091801</v>
      </c>
      <c r="BI458" s="8">
        <v>74.945065720010433</v>
      </c>
    </row>
    <row r="459" spans="1:61" x14ac:dyDescent="0.15">
      <c r="A459" s="7">
        <v>2018</v>
      </c>
      <c r="B459" s="7">
        <v>58</v>
      </c>
      <c r="C459" s="7">
        <v>82.356893834953127</v>
      </c>
      <c r="D459" s="7">
        <v>26.549438726332497</v>
      </c>
      <c r="E459" s="8">
        <v>25.723552021631189</v>
      </c>
      <c r="F459" s="8">
        <v>16.58534594567594</v>
      </c>
      <c r="G459" s="8">
        <v>0.68694737772065273</v>
      </c>
      <c r="H459" s="8">
        <v>59.868607008295733</v>
      </c>
      <c r="I459" s="8">
        <v>39.407470479960608</v>
      </c>
      <c r="J459" s="8">
        <v>27.705432393624498</v>
      </c>
      <c r="K459" s="8">
        <v>16.362334029486512</v>
      </c>
      <c r="L459" s="8">
        <v>0.65273866025369609</v>
      </c>
      <c r="M459" s="8">
        <v>57.628166352631837</v>
      </c>
      <c r="N459" s="8">
        <v>43.825943353438802</v>
      </c>
      <c r="O459" s="8">
        <v>288.35199999999998</v>
      </c>
      <c r="P459" s="8">
        <v>284.78899999999999</v>
      </c>
      <c r="Q459" s="8">
        <v>88.049499999999995</v>
      </c>
      <c r="R459" s="8">
        <v>-0.64512700000000001</v>
      </c>
      <c r="S459" s="8">
        <v>0.26835999999999999</v>
      </c>
      <c r="T459" s="7">
        <f>C459-D459</f>
        <v>55.80745510862063</v>
      </c>
      <c r="U459" s="8">
        <f>D459/C459</f>
        <v>0.3223705689961881</v>
      </c>
      <c r="V459" s="8">
        <v>25.499959058602862</v>
      </c>
      <c r="W459" s="8">
        <v>13.90774194509029</v>
      </c>
      <c r="X459" s="8">
        <v>0.64774419175469478</v>
      </c>
      <c r="Y459" s="8">
        <v>60.031250637452757</v>
      </c>
      <c r="Z459" s="8">
        <v>37.968166664715582</v>
      </c>
      <c r="AA459" s="7">
        <v>26.60269572611368</v>
      </c>
      <c r="AB459" s="7">
        <v>15.135037987288401</v>
      </c>
      <c r="AC459" s="7">
        <v>0.65024142600419543</v>
      </c>
      <c r="AD459" s="7">
        <v>58.829708495042297</v>
      </c>
      <c r="AE459" s="7">
        <v>40.897055009077192</v>
      </c>
      <c r="AF459" s="8">
        <v>27.516595828594809</v>
      </c>
      <c r="AG459" s="8">
        <v>16.446288042434961</v>
      </c>
      <c r="AH459" s="8">
        <v>0.65005189688907716</v>
      </c>
      <c r="AI459" s="8">
        <v>57.504200025961637</v>
      </c>
      <c r="AJ459" s="8">
        <v>43.910690242334709</v>
      </c>
      <c r="AK459" s="8">
        <v>27.739574007131129</v>
      </c>
      <c r="AL459" s="8">
        <v>16.347155160595481</v>
      </c>
      <c r="AM459" s="8">
        <v>0.65322442653717072</v>
      </c>
      <c r="AN459" s="8">
        <v>57.650579439908377</v>
      </c>
      <c r="AO459" s="8">
        <v>43.810621132733729</v>
      </c>
      <c r="AP459" s="8">
        <v>27.18633314899381</v>
      </c>
      <c r="AQ459" s="8">
        <v>13.3069802649728</v>
      </c>
      <c r="AR459" s="8">
        <v>0.60878809050321037</v>
      </c>
      <c r="AS459" s="8">
        <v>57.632763659591667</v>
      </c>
      <c r="AT459" s="8">
        <v>41.764494559764643</v>
      </c>
      <c r="AU459" s="8">
        <v>25.833941953742229</v>
      </c>
      <c r="AV459" s="8">
        <v>16.51953868177003</v>
      </c>
      <c r="AW459" s="8">
        <v>0.64400346811042009</v>
      </c>
      <c r="AX459" s="8">
        <v>63.109184599013453</v>
      </c>
      <c r="AY459" s="8">
        <v>44.116979902188469</v>
      </c>
      <c r="AZ459" s="8">
        <v>28.83224191922805</v>
      </c>
      <c r="BA459" s="8">
        <v>19.312943820404509</v>
      </c>
      <c r="BB459" s="8">
        <v>0.69047583059243522</v>
      </c>
      <c r="BC459" s="8">
        <v>58.260175797174497</v>
      </c>
      <c r="BD459" s="8">
        <v>45.622058373699637</v>
      </c>
      <c r="BE459" s="8">
        <v>25.214997727683759</v>
      </c>
      <c r="BF459" s="8">
        <v>20.72986294968015</v>
      </c>
      <c r="BG459" s="8">
        <v>0.60957199371354076</v>
      </c>
      <c r="BH459" s="8">
        <v>63.110027809921839</v>
      </c>
      <c r="BI459" s="8">
        <v>50.879694340179029</v>
      </c>
    </row>
    <row r="460" spans="1:61" x14ac:dyDescent="0.15">
      <c r="A460" s="7">
        <v>2020</v>
      </c>
      <c r="B460" s="7">
        <v>76</v>
      </c>
      <c r="C460" s="7">
        <v>75.41894328400997</v>
      </c>
      <c r="D460" s="7">
        <v>17.644389297160746</v>
      </c>
      <c r="E460" s="8">
        <v>24.842535158878199</v>
      </c>
      <c r="F460" s="8">
        <v>15.50754269376357</v>
      </c>
      <c r="G460" s="8">
        <v>0.68783673520372945</v>
      </c>
      <c r="H460" s="8">
        <v>54.136045576224113</v>
      </c>
      <c r="I460" s="8">
        <v>37.092269507278658</v>
      </c>
      <c r="J460" s="8">
        <v>23.172257663771578</v>
      </c>
      <c r="K460" s="8">
        <v>13.99030279917443</v>
      </c>
      <c r="L460" s="8">
        <v>0.6626407657745198</v>
      </c>
      <c r="M460" s="8">
        <v>62.860617315669373</v>
      </c>
      <c r="N460" s="8">
        <v>36.474534663431911</v>
      </c>
      <c r="O460" s="8">
        <v>296.06299999999999</v>
      </c>
      <c r="P460" s="8">
        <v>292.21899999999999</v>
      </c>
      <c r="Q460" s="8">
        <v>99.167100000000005</v>
      </c>
      <c r="R460" s="8">
        <v>-1.1502699999999999</v>
      </c>
      <c r="S460" s="8">
        <v>0.153668</v>
      </c>
      <c r="T460" s="7">
        <f>C460-D460</f>
        <v>57.774553986849227</v>
      </c>
      <c r="U460" s="8">
        <f>D460/C460</f>
        <v>0.23395169076708133</v>
      </c>
      <c r="V460" s="8">
        <v>25.574925591148581</v>
      </c>
      <c r="W460" s="8">
        <v>16.398167404882692</v>
      </c>
      <c r="X460" s="8">
        <v>0.7167516632874994</v>
      </c>
      <c r="Y460" s="8">
        <v>51.037793752957</v>
      </c>
      <c r="Z460" s="8">
        <v>37.902105929961536</v>
      </c>
      <c r="AA460" s="7">
        <v>24.37359162746008</v>
      </c>
      <c r="AB460" s="7">
        <v>15.194235102028561</v>
      </c>
      <c r="AC460" s="7">
        <v>0.6896962145310096</v>
      </c>
      <c r="AD460" s="7">
        <v>56.949205534313187</v>
      </c>
      <c r="AE460" s="7">
        <v>37.188320296696723</v>
      </c>
      <c r="AF460" s="8">
        <v>23.428353159687681</v>
      </c>
      <c r="AG460" s="8">
        <v>13.29119286195902</v>
      </c>
      <c r="AH460" s="8">
        <v>0.65040310654484546</v>
      </c>
      <c r="AI460" s="8">
        <v>63.487948729559697</v>
      </c>
      <c r="AJ460" s="8">
        <v>36.595178320592822</v>
      </c>
      <c r="AK460" s="8">
        <v>23.142974257416121</v>
      </c>
      <c r="AL460" s="8">
        <v>14.07024298049383</v>
      </c>
      <c r="AM460" s="8">
        <v>0.66404008889334387</v>
      </c>
      <c r="AN460" s="8">
        <v>62.788884696371341</v>
      </c>
      <c r="AO460" s="8">
        <v>36.460739585840983</v>
      </c>
      <c r="AP460" s="8">
        <v>23.332082456675071</v>
      </c>
      <c r="AQ460" s="8">
        <v>13.523038230140839</v>
      </c>
      <c r="AR460" s="8">
        <v>0.68480123449280184</v>
      </c>
      <c r="AS460" s="8">
        <v>62.136785685123428</v>
      </c>
      <c r="AT460" s="8">
        <v>36.884235097400207</v>
      </c>
      <c r="AU460" s="8">
        <v>21.735197625327348</v>
      </c>
      <c r="AV460" s="8">
        <v>14.87118568821837</v>
      </c>
      <c r="AW460" s="8">
        <v>0.6410287745727411</v>
      </c>
      <c r="AX460" s="8">
        <v>63.665863076228682</v>
      </c>
      <c r="AY460" s="8">
        <v>33.375042324037857</v>
      </c>
      <c r="AZ460" s="8">
        <v>22.36090961103417</v>
      </c>
      <c r="BA460" s="8">
        <v>14.82566033061137</v>
      </c>
      <c r="BB460" s="8">
        <v>0.6596338560767272</v>
      </c>
      <c r="BC460" s="8">
        <v>64.782525169925066</v>
      </c>
      <c r="BD460" s="8">
        <v>36.046448592098052</v>
      </c>
      <c r="BE460" s="8">
        <v>21.027611040900211</v>
      </c>
      <c r="BF460" s="8">
        <v>15.94800704375886</v>
      </c>
      <c r="BG460" s="8">
        <v>0.63193680277953734</v>
      </c>
      <c r="BH460" s="8">
        <v>60.54407067389478</v>
      </c>
      <c r="BI460" s="8">
        <v>31.934951959062801</v>
      </c>
    </row>
    <row r="461" spans="1:61" x14ac:dyDescent="0.15">
      <c r="A461" s="7">
        <v>2021</v>
      </c>
      <c r="B461" s="7">
        <v>16</v>
      </c>
      <c r="C461" s="7">
        <v>254.82022657959769</v>
      </c>
      <c r="D461" s="7">
        <v>47.728961959822215</v>
      </c>
      <c r="E461" s="8">
        <v>37.50249102799652</v>
      </c>
      <c r="F461" s="8">
        <v>21.45431292536167</v>
      </c>
      <c r="G461" s="8">
        <v>0.68796204978474318</v>
      </c>
      <c r="H461" s="8">
        <v>73.896856419549394</v>
      </c>
      <c r="I461" s="8">
        <v>54.603885840445663</v>
      </c>
      <c r="J461" s="8">
        <v>40.51730028539906</v>
      </c>
      <c r="K461" s="8">
        <v>25.62678743083513</v>
      </c>
      <c r="L461" s="8">
        <v>0.77270253216562657</v>
      </c>
      <c r="M461" s="8">
        <v>71.838203108086361</v>
      </c>
      <c r="N461" s="8">
        <v>72.610209887975117</v>
      </c>
      <c r="O461" s="8">
        <v>289.54399999999998</v>
      </c>
      <c r="P461" s="8">
        <v>280.43099999999998</v>
      </c>
      <c r="Q461" s="8">
        <v>99.428100000000001</v>
      </c>
      <c r="R461" s="8">
        <v>8.6155599999999999E-2</v>
      </c>
      <c r="S461" s="8">
        <v>-2.5302700000000001E-2</v>
      </c>
      <c r="T461" s="7">
        <f>C461-D461</f>
        <v>207.09126461977547</v>
      </c>
      <c r="U461" s="8">
        <f>D461/C461</f>
        <v>0.18730444831824689</v>
      </c>
      <c r="V461" s="8">
        <v>37.304163560988954</v>
      </c>
      <c r="W461" s="8">
        <v>23.768101488913132</v>
      </c>
      <c r="X461" s="8">
        <v>0.72999685008939175</v>
      </c>
      <c r="Y461" s="8">
        <v>68.189837856826273</v>
      </c>
      <c r="Z461" s="8">
        <v>66.586474554676357</v>
      </c>
      <c r="AA461" s="7">
        <v>38.910731923194007</v>
      </c>
      <c r="AB461" s="7">
        <v>24.697444459874131</v>
      </c>
      <c r="AC461" s="7">
        <v>0.75134969112750916</v>
      </c>
      <c r="AD461" s="7">
        <v>70.014020482456317</v>
      </c>
      <c r="AE461" s="7">
        <v>69.598342221325737</v>
      </c>
      <c r="AF461" s="8">
        <v>38.94397482892979</v>
      </c>
      <c r="AG461" s="8">
        <v>23.523970729456181</v>
      </c>
      <c r="AH461" s="8">
        <v>0.75015987566158837</v>
      </c>
      <c r="AI461" s="8">
        <v>72.542421460817351</v>
      </c>
      <c r="AJ461" s="8">
        <v>64.573013685936516</v>
      </c>
      <c r="AK461" s="8">
        <v>40.690781057342463</v>
      </c>
      <c r="AL461" s="8">
        <v>25.858651895438239</v>
      </c>
      <c r="AM461" s="8">
        <v>0.77518817010906349</v>
      </c>
      <c r="AN461" s="8">
        <v>71.760553348498377</v>
      </c>
      <c r="AO461" s="8">
        <v>73.496421317185195</v>
      </c>
      <c r="AP461" s="8">
        <v>37.831476060145192</v>
      </c>
      <c r="AQ461" s="8">
        <v>24.345280239754171</v>
      </c>
      <c r="AR461" s="8">
        <v>0.74002441599825897</v>
      </c>
      <c r="AS461" s="8">
        <v>68.888411581900826</v>
      </c>
      <c r="AT461" s="8">
        <v>68.032611463784605</v>
      </c>
      <c r="AU461" s="8">
        <v>33.252839901987478</v>
      </c>
      <c r="AV461" s="8">
        <v>22.179278564927191</v>
      </c>
      <c r="AW461" s="8">
        <v>0.70866305412138908</v>
      </c>
      <c r="AX461" s="8">
        <v>70.866243979838913</v>
      </c>
      <c r="AY461" s="8">
        <v>58.311044306874727</v>
      </c>
      <c r="AZ461" s="8">
        <v>41.194946925802057</v>
      </c>
      <c r="BA461" s="8">
        <v>25.988980980893459</v>
      </c>
      <c r="BB461" s="8">
        <v>0.78748472061145225</v>
      </c>
      <c r="BC461" s="8">
        <v>71.451741245061982</v>
      </c>
      <c r="BD461" s="8">
        <v>76.51212614393161</v>
      </c>
      <c r="BE461" s="8">
        <v>42.1121200277965</v>
      </c>
      <c r="BF461" s="8">
        <v>28.808623250835179</v>
      </c>
      <c r="BG461" s="8">
        <v>0.8136953944531391</v>
      </c>
      <c r="BH461" s="8">
        <v>68.649289312440473</v>
      </c>
      <c r="BI461" s="8">
        <v>79.968910927460911</v>
      </c>
    </row>
    <row r="462" spans="1:61" x14ac:dyDescent="0.15">
      <c r="A462" s="7">
        <v>2021</v>
      </c>
      <c r="B462" s="7">
        <v>50</v>
      </c>
      <c r="C462" s="7">
        <v>71.096928771677582</v>
      </c>
      <c r="D462" s="7">
        <v>38.418376779643033</v>
      </c>
      <c r="E462" s="8">
        <v>33.524136889246293</v>
      </c>
      <c r="F462" s="8">
        <v>27.820775154749249</v>
      </c>
      <c r="G462" s="8">
        <v>0.6885760541482091</v>
      </c>
      <c r="H462" s="8">
        <v>77.952351035964412</v>
      </c>
      <c r="I462" s="8">
        <v>60.893855307725872</v>
      </c>
      <c r="J462" s="8">
        <v>36.962828577051283</v>
      </c>
      <c r="K462" s="8">
        <v>36.910135629065422</v>
      </c>
      <c r="L462" s="8">
        <v>0.73569340744565515</v>
      </c>
      <c r="M462" s="8">
        <v>62.361120774199897</v>
      </c>
      <c r="N462" s="8">
        <v>83.140601942189789</v>
      </c>
      <c r="O462" s="8">
        <v>281.995</v>
      </c>
      <c r="P462" s="8">
        <v>272.67700000000002</v>
      </c>
      <c r="Q462" s="8">
        <v>86.837100000000007</v>
      </c>
      <c r="R462" s="8">
        <v>0.71853400000000001</v>
      </c>
      <c r="S462" s="8">
        <v>-0.13528999999999999</v>
      </c>
      <c r="T462" s="7">
        <f>C462-D462</f>
        <v>32.678551992034549</v>
      </c>
      <c r="U462" s="8">
        <f>D462/C462</f>
        <v>0.54036619363715066</v>
      </c>
      <c r="V462" s="8">
        <v>32.825682278727683</v>
      </c>
      <c r="W462" s="8">
        <v>30.483751921908379</v>
      </c>
      <c r="X462" s="8">
        <v>0.64065360056106546</v>
      </c>
      <c r="Y462" s="8">
        <v>73.401814417280917</v>
      </c>
      <c r="Z462" s="8">
        <v>60.60868996952064</v>
      </c>
      <c r="AA462" s="7">
        <v>34.894255427889483</v>
      </c>
      <c r="AB462" s="7">
        <v>33.696943775486901</v>
      </c>
      <c r="AC462" s="7">
        <v>0.6881735040033603</v>
      </c>
      <c r="AD462" s="7">
        <v>67.881467595740403</v>
      </c>
      <c r="AE462" s="7">
        <v>71.874645955855215</v>
      </c>
      <c r="AF462" s="8">
        <v>36.789648875164708</v>
      </c>
      <c r="AG462" s="8">
        <v>36.136498463222757</v>
      </c>
      <c r="AH462" s="8">
        <v>0.70588445076842898</v>
      </c>
      <c r="AI462" s="8">
        <v>64.196702921274607</v>
      </c>
      <c r="AJ462" s="8">
        <v>76.364076351828473</v>
      </c>
      <c r="AK462" s="8">
        <v>36.980387709240517</v>
      </c>
      <c r="AL462" s="8">
        <v>36.988576676795333</v>
      </c>
      <c r="AM462" s="8">
        <v>0.73871581368043049</v>
      </c>
      <c r="AN462" s="8">
        <v>62.175006413142782</v>
      </c>
      <c r="AO462" s="8">
        <v>83.827691175677472</v>
      </c>
      <c r="AP462" s="8">
        <v>36.251945300763893</v>
      </c>
      <c r="AQ462" s="8">
        <v>36.409126119736612</v>
      </c>
      <c r="AR462" s="8">
        <v>0.71526851778729394</v>
      </c>
      <c r="AS462" s="8">
        <v>64.754199490403067</v>
      </c>
      <c r="AT462" s="8">
        <v>81.031817834234147</v>
      </c>
      <c r="AU462" s="8">
        <v>34.145647069577358</v>
      </c>
      <c r="AV462" s="8">
        <v>35.135417623067433</v>
      </c>
      <c r="AW462" s="8">
        <v>0.65173037851601912</v>
      </c>
      <c r="AX462" s="8">
        <v>64.809632938169855</v>
      </c>
      <c r="AY462" s="8">
        <v>68.667669461783092</v>
      </c>
      <c r="AZ462" s="8">
        <v>37.786920692632918</v>
      </c>
      <c r="BA462" s="8">
        <v>37.748328186834513</v>
      </c>
      <c r="BB462" s="8">
        <v>0.7618481631541556</v>
      </c>
      <c r="BC462" s="8">
        <v>60.173073717430754</v>
      </c>
      <c r="BD462" s="8">
        <v>93.023079005262247</v>
      </c>
      <c r="BE462" s="8">
        <v>37.476016368336339</v>
      </c>
      <c r="BF462" s="8">
        <v>35.784968406710682</v>
      </c>
      <c r="BG462" s="8">
        <v>0.67308427716710806</v>
      </c>
      <c r="BH462" s="8">
        <v>58.273059409219996</v>
      </c>
      <c r="BI462" s="8">
        <v>101.82841454967669</v>
      </c>
    </row>
    <row r="463" spans="1:61" x14ac:dyDescent="0.15">
      <c r="A463" s="7">
        <v>2023</v>
      </c>
      <c r="B463" s="7">
        <v>126</v>
      </c>
      <c r="C463" s="9">
        <v>14.111695082640733</v>
      </c>
      <c r="D463" s="7">
        <v>14.070788927017094</v>
      </c>
      <c r="E463" s="8">
        <v>29.31872074444026</v>
      </c>
      <c r="F463" s="8">
        <v>13.85741838224253</v>
      </c>
      <c r="G463" s="8">
        <v>0.68921403737215348</v>
      </c>
      <c r="H463" s="8">
        <v>56.357360540269312</v>
      </c>
      <c r="I463" s="8">
        <v>39.200558172969743</v>
      </c>
      <c r="J463" s="8">
        <v>30.11335035012495</v>
      </c>
      <c r="K463" s="8">
        <v>13.893156896634791</v>
      </c>
      <c r="L463" s="8">
        <v>0.60542287850590215</v>
      </c>
      <c r="M463" s="8">
        <v>57.727749078986541</v>
      </c>
      <c r="N463" s="8">
        <v>40.119308562429232</v>
      </c>
      <c r="O463" s="7">
        <v>292.19200000000001</v>
      </c>
      <c r="P463" s="7">
        <v>286.99400000000003</v>
      </c>
      <c r="Q463" s="7">
        <v>99.712399999999988</v>
      </c>
      <c r="R463" s="7">
        <v>-1.6091399999999999E-2</v>
      </c>
      <c r="S463" s="7">
        <v>-1.0098800000000001</v>
      </c>
      <c r="T463" s="7">
        <f>C463-D463</f>
        <v>4.0906155623638085E-2</v>
      </c>
      <c r="U463" s="8">
        <f>D463/C463</f>
        <v>0.99710125853881593</v>
      </c>
      <c r="V463" s="8">
        <v>28.865555044049568</v>
      </c>
      <c r="W463" s="8">
        <v>12.91339254833227</v>
      </c>
      <c r="X463" s="8">
        <v>0.6746238776058171</v>
      </c>
      <c r="Y463" s="8">
        <v>58.297623155700002</v>
      </c>
      <c r="Z463" s="8">
        <v>38.39404855093445</v>
      </c>
      <c r="AA463" s="7">
        <v>29.489452697087259</v>
      </c>
      <c r="AB463" s="7">
        <v>13.40327472248353</v>
      </c>
      <c r="AC463" s="7">
        <v>0.64002337805585963</v>
      </c>
      <c r="AD463" s="7">
        <v>58.012686117343272</v>
      </c>
      <c r="AE463" s="7">
        <v>39.256678556681841</v>
      </c>
      <c r="AF463" s="8">
        <v>30.98745354745904</v>
      </c>
      <c r="AG463" s="8">
        <v>13.97118947357022</v>
      </c>
      <c r="AH463" s="8">
        <v>0.61875380293809057</v>
      </c>
      <c r="AI463" s="8">
        <v>56.697339951714362</v>
      </c>
      <c r="AJ463" s="8">
        <v>39.934892899120783</v>
      </c>
      <c r="AK463" s="8">
        <v>29.99229059289485</v>
      </c>
      <c r="AL463" s="8">
        <v>13.882349700357899</v>
      </c>
      <c r="AM463" s="8">
        <v>0.60357659939339525</v>
      </c>
      <c r="AN463" s="8">
        <v>57.870456575281828</v>
      </c>
      <c r="AO463" s="8">
        <v>40.144849385867047</v>
      </c>
      <c r="AP463" s="8">
        <v>29.787380543861872</v>
      </c>
      <c r="AQ463" s="8">
        <v>12.730886008647129</v>
      </c>
      <c r="AR463" s="8">
        <v>0.607574101524887</v>
      </c>
      <c r="AS463" s="8">
        <v>59.606669194317732</v>
      </c>
      <c r="AT463" s="8">
        <v>39.436173171008463</v>
      </c>
      <c r="AU463" s="8">
        <v>25.847328729307549</v>
      </c>
      <c r="AV463" s="8">
        <v>19.954611646591161</v>
      </c>
      <c r="AW463" s="8">
        <v>0.5809406787414102</v>
      </c>
      <c r="AX463" s="8">
        <v>59.63857794704667</v>
      </c>
      <c r="AY463" s="8">
        <v>42.069820936146002</v>
      </c>
      <c r="AZ463" s="8">
        <v>29.399528444534599</v>
      </c>
      <c r="BA463" s="8">
        <v>15.741610464548589</v>
      </c>
      <c r="BB463" s="8">
        <v>0.60824658262761955</v>
      </c>
      <c r="BC463" s="8">
        <v>55.187579766483928</v>
      </c>
      <c r="BD463" s="8">
        <v>40.545766496232943</v>
      </c>
      <c r="BE463" s="8">
        <v>23.98078359068446</v>
      </c>
      <c r="BF463" s="8">
        <v>27.506272627162151</v>
      </c>
      <c r="BG463" s="8">
        <v>0.54488857006073688</v>
      </c>
      <c r="BH463" s="8">
        <v>54.763045674902017</v>
      </c>
      <c r="BI463" s="8">
        <v>47.534293463034437</v>
      </c>
    </row>
    <row r="464" spans="1:61" x14ac:dyDescent="0.15">
      <c r="A464" s="7">
        <v>2021</v>
      </c>
      <c r="B464" s="7">
        <v>87</v>
      </c>
      <c r="C464" s="7">
        <v>25.573094630184539</v>
      </c>
      <c r="D464" s="7">
        <v>11.948135804789274</v>
      </c>
      <c r="E464" s="8">
        <v>32.077833904550218</v>
      </c>
      <c r="F464" s="8">
        <v>24.744045315040129</v>
      </c>
      <c r="G464" s="8">
        <v>0.68937685865168585</v>
      </c>
      <c r="H464" s="8">
        <v>67.442357057431664</v>
      </c>
      <c r="I464" s="8">
        <v>47.159865403087018</v>
      </c>
      <c r="J464" s="8">
        <v>44.180439449324673</v>
      </c>
      <c r="K464" s="8">
        <v>31.230790099186159</v>
      </c>
      <c r="L464" s="8">
        <v>0.78466705933654202</v>
      </c>
      <c r="M464" s="8">
        <v>67.109154670422882</v>
      </c>
      <c r="N464" s="8">
        <v>70.548371080995608</v>
      </c>
      <c r="O464" s="8">
        <v>287.37900000000002</v>
      </c>
      <c r="P464" s="8">
        <v>280.48599999999999</v>
      </c>
      <c r="Q464" s="8">
        <v>101.61499999999999</v>
      </c>
      <c r="R464" s="8">
        <v>-0.34620099999999998</v>
      </c>
      <c r="S464" s="8">
        <v>0.20886399999999999</v>
      </c>
      <c r="T464" s="7">
        <f>C464-D464</f>
        <v>13.624958825395264</v>
      </c>
      <c r="U464" s="8">
        <f>D464/C464</f>
        <v>0.46721509373709513</v>
      </c>
      <c r="V464" s="8">
        <v>40.334293076427066</v>
      </c>
      <c r="W464" s="8">
        <v>34.819491376416075</v>
      </c>
      <c r="X464" s="8">
        <v>0.83475953600257824</v>
      </c>
      <c r="Y464" s="8">
        <v>62.987605249273813</v>
      </c>
      <c r="Z464" s="8">
        <v>62.709487779294292</v>
      </c>
      <c r="AA464" s="7">
        <v>42.25736626287587</v>
      </c>
      <c r="AB464" s="7">
        <v>33.025140737801117</v>
      </c>
      <c r="AC464" s="7">
        <v>0.80971329766956013</v>
      </c>
      <c r="AD464" s="7">
        <v>65.048379959848347</v>
      </c>
      <c r="AE464" s="7">
        <v>66.62892943014495</v>
      </c>
      <c r="AF464" s="8">
        <v>42.628444910870343</v>
      </c>
      <c r="AG464" s="8">
        <v>29.70930300715376</v>
      </c>
      <c r="AH464" s="8">
        <v>0.79595384207704389</v>
      </c>
      <c r="AI464" s="8">
        <v>67.486548135046604</v>
      </c>
      <c r="AJ464" s="8">
        <v>58.993170065732272</v>
      </c>
      <c r="AK464" s="8">
        <v>44.302597659943252</v>
      </c>
      <c r="AL464" s="8">
        <v>31.350547054534118</v>
      </c>
      <c r="AM464" s="8">
        <v>0.78377867142726931</v>
      </c>
      <c r="AN464" s="8">
        <v>67.07944985562149</v>
      </c>
      <c r="AO464" s="8">
        <v>71.457886317285343</v>
      </c>
      <c r="AP464" s="8">
        <v>42.069703746672587</v>
      </c>
      <c r="AQ464" s="8">
        <v>32.824427200824488</v>
      </c>
      <c r="AR464" s="8">
        <v>0.78064768847443078</v>
      </c>
      <c r="AS464" s="8">
        <v>65.185144466094442</v>
      </c>
      <c r="AT464" s="8">
        <v>66.597973602624108</v>
      </c>
      <c r="AU464" s="8">
        <v>36.415446153163607</v>
      </c>
      <c r="AV464" s="8">
        <v>28.680196507339041</v>
      </c>
      <c r="AW464" s="8">
        <v>0.78795054214272242</v>
      </c>
      <c r="AX464" s="8">
        <v>64.868780249628415</v>
      </c>
      <c r="AY464" s="8">
        <v>52.134361237551872</v>
      </c>
      <c r="AZ464" s="8">
        <v>44.190635370761441</v>
      </c>
      <c r="BA464" s="8">
        <v>32.218951977689947</v>
      </c>
      <c r="BB464" s="8">
        <v>0.77718047841236393</v>
      </c>
      <c r="BC464" s="8">
        <v>67.119755682495153</v>
      </c>
      <c r="BD464" s="8">
        <v>74.266138552127401</v>
      </c>
      <c r="BE464" s="8">
        <v>42.118088978363531</v>
      </c>
      <c r="BF464" s="8">
        <v>33.675169618583247</v>
      </c>
      <c r="BG464" s="8">
        <v>0.82100744650820456</v>
      </c>
      <c r="BH464" s="8">
        <v>64.848812614656879</v>
      </c>
      <c r="BI464" s="8">
        <v>60.978074591550147</v>
      </c>
    </row>
    <row r="465" spans="1:61" x14ac:dyDescent="0.15">
      <c r="A465" s="7">
        <v>2022</v>
      </c>
      <c r="B465" s="7">
        <v>132</v>
      </c>
      <c r="C465" s="7">
        <v>51.887934063113377</v>
      </c>
      <c r="D465" s="7">
        <v>3.2821475408037664</v>
      </c>
      <c r="E465" s="8">
        <v>29.69293747884031</v>
      </c>
      <c r="F465" s="8">
        <v>21.290932921302009</v>
      </c>
      <c r="G465" s="8">
        <v>0.6894796995068343</v>
      </c>
      <c r="H465" s="8">
        <v>77.235545197197666</v>
      </c>
      <c r="I465" s="8">
        <v>66.303342592946933</v>
      </c>
      <c r="J465" s="8">
        <v>36.104350845748769</v>
      </c>
      <c r="K465" s="8">
        <v>22.06702007332952</v>
      </c>
      <c r="L465" s="8">
        <v>0.5359630307743376</v>
      </c>
      <c r="M465" s="8">
        <v>64.236433212692774</v>
      </c>
      <c r="N465" s="8">
        <v>92.027568030434978</v>
      </c>
      <c r="O465" s="8">
        <v>283.39</v>
      </c>
      <c r="P465" s="8">
        <v>269.89400000000001</v>
      </c>
      <c r="Q465" s="8">
        <v>86.47</v>
      </c>
      <c r="R465" s="8">
        <v>-5.3024099999999998E-2</v>
      </c>
      <c r="S465" s="8">
        <v>3.30862E-3</v>
      </c>
      <c r="T465" s="7">
        <f>C465-D465</f>
        <v>48.605786522309614</v>
      </c>
      <c r="U465" s="8">
        <f>D465/C465</f>
        <v>6.3254542699880068E-2</v>
      </c>
      <c r="V465" s="8">
        <v>33.710115638559586</v>
      </c>
      <c r="W465" s="8">
        <v>23.473706676698182</v>
      </c>
      <c r="X465" s="8">
        <v>0.46059701719182755</v>
      </c>
      <c r="Y465" s="8">
        <v>66.51289981434455</v>
      </c>
      <c r="Z465" s="8">
        <v>83.791194716155914</v>
      </c>
      <c r="AA465" s="7">
        <v>34.907233242154177</v>
      </c>
      <c r="AB465" s="7">
        <v>22.770363375013851</v>
      </c>
      <c r="AC465" s="7">
        <v>0.49828002398308258</v>
      </c>
      <c r="AD465" s="7">
        <v>65.374666513518662</v>
      </c>
      <c r="AE465" s="7">
        <v>87.909381373295446</v>
      </c>
      <c r="AF465" s="8">
        <v>35.908187120355286</v>
      </c>
      <c r="AG465" s="8">
        <v>20.223677596378302</v>
      </c>
      <c r="AH465" s="8">
        <v>0.52393711656218611</v>
      </c>
      <c r="AI465" s="8">
        <v>65.990553766404673</v>
      </c>
      <c r="AJ465" s="8">
        <v>92.590423390553326</v>
      </c>
      <c r="AK465" s="8">
        <v>36.132531037535948</v>
      </c>
      <c r="AL465" s="8">
        <v>22.331828179036989</v>
      </c>
      <c r="AM465" s="8">
        <v>0.53769063137039608</v>
      </c>
      <c r="AN465" s="8">
        <v>63.984442415095977</v>
      </c>
      <c r="AO465" s="8">
        <v>91.946710206365978</v>
      </c>
      <c r="AP465" s="8">
        <v>32.74802446240075</v>
      </c>
      <c r="AQ465" s="8">
        <v>20.156977190824829</v>
      </c>
      <c r="AR465" s="8">
        <v>0.4390026449786974</v>
      </c>
      <c r="AS465" s="8">
        <v>68.182154878714599</v>
      </c>
      <c r="AT465" s="8">
        <v>87.279371715604128</v>
      </c>
      <c r="AU465" s="8">
        <v>36.369657554690967</v>
      </c>
      <c r="AV465" s="8">
        <v>24.13524435017176</v>
      </c>
      <c r="AW465" s="8">
        <v>0.51580611319095548</v>
      </c>
      <c r="AX465" s="8">
        <v>63.636774054537938</v>
      </c>
      <c r="AY465" s="8">
        <v>89.480467102127307</v>
      </c>
      <c r="AZ465" s="8">
        <v>36.618793699107307</v>
      </c>
      <c r="BA465" s="8">
        <v>22.51978651423692</v>
      </c>
      <c r="BB465" s="8">
        <v>0.55314239101084484</v>
      </c>
      <c r="BC465" s="8">
        <v>64.603997877009874</v>
      </c>
      <c r="BD465" s="8">
        <v>92.239739648488239</v>
      </c>
      <c r="BE465" s="8">
        <v>36.126990956849653</v>
      </c>
      <c r="BF465" s="8">
        <v>26.629586496141592</v>
      </c>
      <c r="BG465" s="8">
        <v>0.55688496215031247</v>
      </c>
      <c r="BH465" s="8">
        <v>62.005987138243157</v>
      </c>
      <c r="BI465" s="8">
        <v>86.443621306428199</v>
      </c>
    </row>
    <row r="466" spans="1:61" x14ac:dyDescent="0.15">
      <c r="A466" s="7">
        <v>2020</v>
      </c>
      <c r="B466" s="7">
        <v>56</v>
      </c>
      <c r="C466" s="7">
        <v>186.77415542842755</v>
      </c>
      <c r="D466" s="7">
        <v>52.716030043093802</v>
      </c>
      <c r="E466" s="8">
        <v>26.11903299312138</v>
      </c>
      <c r="F466" s="8">
        <v>13.35613109413231</v>
      </c>
      <c r="G466" s="8">
        <v>0.69012063270370516</v>
      </c>
      <c r="H466" s="8">
        <v>54.346986544097568</v>
      </c>
      <c r="I466" s="8">
        <v>40.646110946682803</v>
      </c>
      <c r="J466" s="8">
        <v>27.59397616161284</v>
      </c>
      <c r="K466" s="8">
        <v>15.191093118162181</v>
      </c>
      <c r="L466" s="8">
        <v>0.71383095939298136</v>
      </c>
      <c r="M466" s="8">
        <v>57.941746914880092</v>
      </c>
      <c r="N466" s="8">
        <v>44.247656048586649</v>
      </c>
      <c r="O466" s="8">
        <v>294.88099999999997</v>
      </c>
      <c r="P466" s="8">
        <v>290.94299999999998</v>
      </c>
      <c r="Q466" s="8">
        <v>98.420899999999989</v>
      </c>
      <c r="R466" s="8">
        <v>-0.72027399999999997</v>
      </c>
      <c r="S466" s="8">
        <v>4.40534E-2</v>
      </c>
      <c r="T466" s="7">
        <f>C466-D466</f>
        <v>134.05812538533374</v>
      </c>
      <c r="U466" s="8">
        <f>D466/C466</f>
        <v>0.28224477804315251</v>
      </c>
      <c r="V466" s="8">
        <v>26.642033038544081</v>
      </c>
      <c r="W466" s="8">
        <v>12.933047949827481</v>
      </c>
      <c r="X466" s="8">
        <v>0.6893875999672302</v>
      </c>
      <c r="Y466" s="8">
        <v>54.004625663828044</v>
      </c>
      <c r="Z466" s="8">
        <v>41.255514720823498</v>
      </c>
      <c r="AA466" s="7">
        <v>27.118004600078461</v>
      </c>
      <c r="AB466" s="7">
        <v>14.062070533994831</v>
      </c>
      <c r="AC466" s="7">
        <v>0.70160927968010578</v>
      </c>
      <c r="AD466" s="7">
        <v>55.973186289354068</v>
      </c>
      <c r="AE466" s="7">
        <v>42.751585384705074</v>
      </c>
      <c r="AF466" s="8">
        <v>28.273705252227039</v>
      </c>
      <c r="AG466" s="8">
        <v>15.338942095165271</v>
      </c>
      <c r="AH466" s="8">
        <v>0.72496291320029227</v>
      </c>
      <c r="AI466" s="8">
        <v>58.567009523888643</v>
      </c>
      <c r="AJ466" s="8">
        <v>44.579779710975913</v>
      </c>
      <c r="AK466" s="8">
        <v>27.471918717836541</v>
      </c>
      <c r="AL466" s="8">
        <v>15.16454420559228</v>
      </c>
      <c r="AM466" s="8">
        <v>0.71183201916117755</v>
      </c>
      <c r="AN466" s="8">
        <v>57.829469896288003</v>
      </c>
      <c r="AO466" s="8">
        <v>44.188017339859002</v>
      </c>
      <c r="AP466" s="8">
        <v>28.533558669224931</v>
      </c>
      <c r="AQ466" s="8">
        <v>14.965112934972741</v>
      </c>
      <c r="AR466" s="8">
        <v>0.71419942773472678</v>
      </c>
      <c r="AS466" s="8">
        <v>58.363406664147007</v>
      </c>
      <c r="AT466" s="8">
        <v>45.568276504076763</v>
      </c>
      <c r="AU466" s="8">
        <v>26.088284565475689</v>
      </c>
      <c r="AV466" s="8">
        <v>15.249535611344751</v>
      </c>
      <c r="AW466" s="8">
        <v>0.6875745080711122</v>
      </c>
      <c r="AX466" s="8">
        <v>57.141859863557073</v>
      </c>
      <c r="AY466" s="8">
        <v>42.535471781183773</v>
      </c>
      <c r="AZ466" s="8">
        <v>26.478152435482819</v>
      </c>
      <c r="BA466" s="8">
        <v>15.27154003447197</v>
      </c>
      <c r="BB466" s="8">
        <v>0.70186434733490022</v>
      </c>
      <c r="BC466" s="8">
        <v>57.518915062811203</v>
      </c>
      <c r="BD466" s="8">
        <v>43.292241437256841</v>
      </c>
      <c r="BE466" s="8">
        <v>25.901523616666971</v>
      </c>
      <c r="BF466" s="8">
        <v>14.9191340312851</v>
      </c>
      <c r="BG466" s="8">
        <v>0.66914924258119979</v>
      </c>
      <c r="BH466" s="8">
        <v>55.862743456875677</v>
      </c>
      <c r="BI466" s="8">
        <v>42.326974646972531</v>
      </c>
    </row>
    <row r="467" spans="1:61" x14ac:dyDescent="0.15">
      <c r="A467" s="7">
        <v>2019</v>
      </c>
      <c r="B467" s="7">
        <v>79</v>
      </c>
      <c r="C467" s="7">
        <v>65.058839304627483</v>
      </c>
      <c r="D467" s="7">
        <v>14.843530827423534</v>
      </c>
      <c r="E467" s="8">
        <v>23.1843645969611</v>
      </c>
      <c r="F467" s="8">
        <v>13.52477779330823</v>
      </c>
      <c r="G467" s="8">
        <v>0.69191908236077504</v>
      </c>
      <c r="H467" s="8">
        <v>63.740153008489131</v>
      </c>
      <c r="I467" s="8">
        <v>33.24325678391579</v>
      </c>
      <c r="J467" s="8">
        <v>21.5760489601189</v>
      </c>
      <c r="K467" s="8">
        <v>14.4883409983542</v>
      </c>
      <c r="L467" s="8">
        <v>0.67212452564173686</v>
      </c>
      <c r="M467" s="8">
        <v>58.909234034958693</v>
      </c>
      <c r="N467" s="8">
        <v>34.626062266068992</v>
      </c>
      <c r="O467" s="8">
        <v>288.77600000000001</v>
      </c>
      <c r="P467" s="8">
        <v>282.255</v>
      </c>
      <c r="Q467" s="8">
        <v>79.802000000000007</v>
      </c>
      <c r="R467" s="8">
        <v>0.38626300000000002</v>
      </c>
      <c r="S467" s="8">
        <v>1.14584</v>
      </c>
      <c r="T467" s="7">
        <f>C467-D467</f>
        <v>50.215308477203948</v>
      </c>
      <c r="U467" s="8">
        <f>D467/C467</f>
        <v>0.22815548180810763</v>
      </c>
      <c r="V467" s="8">
        <v>24.260522377574599</v>
      </c>
      <c r="W467" s="8">
        <v>11.249770257346739</v>
      </c>
      <c r="X467" s="8">
        <v>0.66296057568533018</v>
      </c>
      <c r="Y467" s="8">
        <v>62.719432806811433</v>
      </c>
      <c r="Z467" s="8">
        <v>34.697447958556502</v>
      </c>
      <c r="AA467" s="7">
        <v>22.91828566884675</v>
      </c>
      <c r="AB467" s="7">
        <v>12.86905562785047</v>
      </c>
      <c r="AC467" s="7">
        <v>0.66754255066353352</v>
      </c>
      <c r="AD467" s="7">
        <v>60.814333420885063</v>
      </c>
      <c r="AE467" s="7">
        <v>34.661755112312747</v>
      </c>
      <c r="AF467" s="8">
        <v>21.411492972951049</v>
      </c>
      <c r="AG467" s="8">
        <v>15.287573031148989</v>
      </c>
      <c r="AH467" s="8">
        <v>0.70119189700692253</v>
      </c>
      <c r="AI467" s="8">
        <v>58.615582910093138</v>
      </c>
      <c r="AJ467" s="8">
        <v>33.760404694608788</v>
      </c>
      <c r="AK467" s="8">
        <v>21.601660294154691</v>
      </c>
      <c r="AL467" s="8">
        <v>14.363949300936721</v>
      </c>
      <c r="AM467" s="8">
        <v>0.66760050819096495</v>
      </c>
      <c r="AN467" s="8">
        <v>58.954937610856241</v>
      </c>
      <c r="AO467" s="8">
        <v>34.760792369815817</v>
      </c>
      <c r="AP467" s="8">
        <v>22.767997565449189</v>
      </c>
      <c r="AQ467" s="8">
        <v>12.23245223105741</v>
      </c>
      <c r="AR467" s="8">
        <v>0.64805897578821248</v>
      </c>
      <c r="AS467" s="8">
        <v>57.961353774028822</v>
      </c>
      <c r="AT467" s="8">
        <v>36.430869576267533</v>
      </c>
      <c r="AU467" s="8">
        <v>21.502509408380739</v>
      </c>
      <c r="AV467" s="8">
        <v>11.84371576427721</v>
      </c>
      <c r="AW467" s="8">
        <v>0.61456042942825917</v>
      </c>
      <c r="AX467" s="8">
        <v>59.730958265048599</v>
      </c>
      <c r="AY467" s="8">
        <v>32.880873899378933</v>
      </c>
      <c r="AZ467" s="8">
        <v>21.84084615118411</v>
      </c>
      <c r="BA467" s="8">
        <v>19.8804905638702</v>
      </c>
      <c r="BB467" s="8">
        <v>0.74068379737421308</v>
      </c>
      <c r="BC467" s="8">
        <v>56.238827592174189</v>
      </c>
      <c r="BD467" s="8">
        <v>36.997237034754022</v>
      </c>
      <c r="BE467" s="8">
        <v>20.843787169423191</v>
      </c>
      <c r="BF467" s="8">
        <v>20.532235794229319</v>
      </c>
      <c r="BG467" s="8">
        <v>0.63643516098168196</v>
      </c>
      <c r="BH467" s="8">
        <v>60.211639644012237</v>
      </c>
      <c r="BI467" s="8">
        <v>40.060308489339207</v>
      </c>
    </row>
    <row r="468" spans="1:61" x14ac:dyDescent="0.15">
      <c r="A468" s="7">
        <v>2020</v>
      </c>
      <c r="B468" s="7">
        <v>148</v>
      </c>
      <c r="C468" s="7">
        <v>25.100860307963703</v>
      </c>
      <c r="D468" s="7">
        <v>9.2593293186419832</v>
      </c>
      <c r="E468" s="8">
        <v>37.552489419963393</v>
      </c>
      <c r="F468" s="8">
        <v>25.236004493442671</v>
      </c>
      <c r="G468" s="8">
        <v>0.72353497520459709</v>
      </c>
      <c r="H468" s="8">
        <v>78.789918054408645</v>
      </c>
      <c r="I468" s="8">
        <v>64.842279186795025</v>
      </c>
      <c r="J468" s="8">
        <v>43.509283347212211</v>
      </c>
      <c r="K468" s="8">
        <v>31.08523179461935</v>
      </c>
      <c r="L468" s="8">
        <v>0.91435318362221107</v>
      </c>
      <c r="M468" s="8">
        <v>66.785009923696435</v>
      </c>
      <c r="N468" s="8">
        <v>76.605418772706969</v>
      </c>
      <c r="O468" s="8">
        <v>284.07799999999997</v>
      </c>
      <c r="P468" s="8">
        <v>275.084</v>
      </c>
      <c r="Q468" s="8">
        <v>89.840299999999999</v>
      </c>
      <c r="R468" s="8">
        <v>0.343277</v>
      </c>
      <c r="S468" s="8">
        <v>-0.100878</v>
      </c>
      <c r="T468" s="7">
        <f>C468-D468</f>
        <v>15.84153098932172</v>
      </c>
      <c r="U468" s="8">
        <f>D468/C468</f>
        <v>0.36888493880443984</v>
      </c>
      <c r="V468" s="8">
        <v>39.419197271677071</v>
      </c>
      <c r="W468" s="8">
        <v>27.879110504485208</v>
      </c>
      <c r="X468" s="8">
        <v>0.75121478750673731</v>
      </c>
      <c r="Y468" s="8">
        <v>72.688472452118106</v>
      </c>
      <c r="Z468" s="8">
        <v>66.707474520214475</v>
      </c>
      <c r="AA468" s="7">
        <v>41.464240309444641</v>
      </c>
      <c r="AB468" s="7">
        <v>29.482171149552279</v>
      </c>
      <c r="AC468" s="7">
        <v>0.83278398556447419</v>
      </c>
      <c r="AD468" s="7">
        <v>69.736741187907271</v>
      </c>
      <c r="AE468" s="7">
        <v>71.656446646460722</v>
      </c>
      <c r="AF468" s="8">
        <v>44.290956842082153</v>
      </c>
      <c r="AG468" s="8">
        <v>31.26341232692662</v>
      </c>
      <c r="AH468" s="8">
        <v>0.88819297321711077</v>
      </c>
      <c r="AI468" s="8">
        <v>65.813710171062084</v>
      </c>
      <c r="AJ468" s="8">
        <v>76.780380492846618</v>
      </c>
      <c r="AK468" s="8">
        <v>43.382893845053196</v>
      </c>
      <c r="AL468" s="8">
        <v>31.056421621419741</v>
      </c>
      <c r="AM468" s="8">
        <v>0.91858305196388368</v>
      </c>
      <c r="AN468" s="8">
        <v>66.94206026887035</v>
      </c>
      <c r="AO468" s="8">
        <v>76.577129052190102</v>
      </c>
      <c r="AP468" s="8">
        <v>45.330587662899212</v>
      </c>
      <c r="AQ468" s="8">
        <v>31.528886658630739</v>
      </c>
      <c r="AR468" s="8">
        <v>0.90315051589465445</v>
      </c>
      <c r="AS468" s="8">
        <v>65.808171229420267</v>
      </c>
      <c r="AT468" s="8">
        <v>76.50643724638141</v>
      </c>
      <c r="AU468" s="8">
        <v>39.389505817043577</v>
      </c>
      <c r="AV468" s="8">
        <v>31.392808670478189</v>
      </c>
      <c r="AW468" s="8">
        <v>0.82916932148062095</v>
      </c>
      <c r="AX468" s="8">
        <v>64.252108854255368</v>
      </c>
      <c r="AY468" s="8">
        <v>71.14266561435187</v>
      </c>
      <c r="AZ468" s="8">
        <v>46.881307045394948</v>
      </c>
      <c r="BA468" s="8">
        <v>31.191082624865611</v>
      </c>
      <c r="BB468" s="8">
        <v>1.0021799118053989</v>
      </c>
      <c r="BC468" s="8">
        <v>69.701202586464021</v>
      </c>
      <c r="BD468" s="8">
        <v>80.172373955278218</v>
      </c>
      <c r="BE468" s="8">
        <v>39.810029571548</v>
      </c>
      <c r="BF468" s="8">
        <v>33.268029822603978</v>
      </c>
      <c r="BG468" s="8">
        <v>0.79456930858143737</v>
      </c>
      <c r="BH468" s="8">
        <v>61.716328188697538</v>
      </c>
      <c r="BI468" s="8">
        <v>80.544021260663939</v>
      </c>
    </row>
    <row r="469" spans="1:61" x14ac:dyDescent="0.15">
      <c r="A469" s="7">
        <v>2021</v>
      </c>
      <c r="B469" s="7">
        <v>29</v>
      </c>
      <c r="C469" s="7">
        <v>55.061271987440712</v>
      </c>
      <c r="D469" s="7">
        <v>9.9222261322638712</v>
      </c>
      <c r="E469" s="8">
        <v>32.683493116045987</v>
      </c>
      <c r="F469" s="8">
        <v>23.960238604262749</v>
      </c>
      <c r="G469" s="8">
        <v>0.72476212613274615</v>
      </c>
      <c r="H469" s="8">
        <v>64.609750327759372</v>
      </c>
      <c r="I469" s="8">
        <v>52.628325481767916</v>
      </c>
      <c r="J469" s="8">
        <v>34.685206130544167</v>
      </c>
      <c r="K469" s="8">
        <v>25.473700731352451</v>
      </c>
      <c r="L469" s="8">
        <v>0.74680889923174287</v>
      </c>
      <c r="M469" s="8">
        <v>69.815298233097465</v>
      </c>
      <c r="N469" s="8">
        <v>58.678667218960172</v>
      </c>
      <c r="O469" s="8">
        <v>284.38600000000002</v>
      </c>
      <c r="P469" s="8">
        <v>279.214</v>
      </c>
      <c r="Q469" s="8">
        <v>100.96599999999999</v>
      </c>
      <c r="R469" s="8">
        <v>0.437724</v>
      </c>
      <c r="S469" s="8">
        <v>-0.23871000000000001</v>
      </c>
      <c r="T469" s="7">
        <f>C469-D469</f>
        <v>45.139045855176839</v>
      </c>
      <c r="U469" s="8">
        <f>D469/C469</f>
        <v>0.18020335844270174</v>
      </c>
      <c r="V469" s="8">
        <v>36.955488670882012</v>
      </c>
      <c r="W469" s="8">
        <v>25.655428106262008</v>
      </c>
      <c r="X469" s="8">
        <v>0.75996125315518348</v>
      </c>
      <c r="Y469" s="8">
        <v>63.786014107578652</v>
      </c>
      <c r="Z469" s="8">
        <v>56.606740612039445</v>
      </c>
      <c r="AA469" s="7">
        <v>35.820347400713089</v>
      </c>
      <c r="AB469" s="7">
        <v>25.56456441880723</v>
      </c>
      <c r="AC469" s="7">
        <v>0.75338507619346318</v>
      </c>
      <c r="AD469" s="7">
        <v>66.800656170338058</v>
      </c>
      <c r="AE469" s="7">
        <v>57.642703915499808</v>
      </c>
      <c r="AF469" s="8">
        <v>31.885197318950521</v>
      </c>
      <c r="AG469" s="8">
        <v>25.180115272279838</v>
      </c>
      <c r="AH469" s="8">
        <v>0.74825767656392161</v>
      </c>
      <c r="AI469" s="8">
        <v>68.762792653886734</v>
      </c>
      <c r="AJ469" s="8">
        <v>54.567393213979351</v>
      </c>
      <c r="AK469" s="8">
        <v>34.903605493159617</v>
      </c>
      <c r="AL469" s="8">
        <v>25.496600258264351</v>
      </c>
      <c r="AM469" s="8">
        <v>0.7466958952852516</v>
      </c>
      <c r="AN469" s="8">
        <v>69.897393170333729</v>
      </c>
      <c r="AO469" s="8">
        <v>58.999344646298027</v>
      </c>
      <c r="AP469" s="8">
        <v>37.928134781463271</v>
      </c>
      <c r="AQ469" s="8">
        <v>25.234625800305089</v>
      </c>
      <c r="AR469" s="8">
        <v>0.74866359690788198</v>
      </c>
      <c r="AS469" s="8">
        <v>67.463601643198814</v>
      </c>
      <c r="AT469" s="8">
        <v>60.818750487492053</v>
      </c>
      <c r="AU469" s="8">
        <v>39.215892018691498</v>
      </c>
      <c r="AV469" s="8">
        <v>26.015870915317031</v>
      </c>
      <c r="AW469" s="8">
        <v>0.77649853531273005</v>
      </c>
      <c r="AX469" s="8">
        <v>66.09109647844835</v>
      </c>
      <c r="AY469" s="8">
        <v>61.11602774387427</v>
      </c>
      <c r="AZ469" s="8">
        <v>35.662401952237218</v>
      </c>
      <c r="BA469" s="8">
        <v>26.253692236838479</v>
      </c>
      <c r="BB469" s="8">
        <v>0.76271686267468131</v>
      </c>
      <c r="BC469" s="8">
        <v>69.525070881179104</v>
      </c>
      <c r="BD469" s="8">
        <v>59.794629467874813</v>
      </c>
      <c r="BE469" s="8">
        <v>35.972494080355318</v>
      </c>
      <c r="BF469" s="8">
        <v>27.99767443244934</v>
      </c>
      <c r="BG469" s="8">
        <v>0.73215088069873702</v>
      </c>
      <c r="BH469" s="8">
        <v>64.93897655441873</v>
      </c>
      <c r="BI469" s="8">
        <v>59.286540808237334</v>
      </c>
    </row>
    <row r="470" spans="1:61" x14ac:dyDescent="0.15">
      <c r="A470" s="7">
        <v>2023</v>
      </c>
      <c r="B470" s="7">
        <v>125</v>
      </c>
      <c r="C470" s="9">
        <v>27.469505082271219</v>
      </c>
      <c r="D470" s="7">
        <v>17.570213411779946</v>
      </c>
      <c r="E470" s="8">
        <v>21.462373687216161</v>
      </c>
      <c r="F470" s="8">
        <v>17.787629179618101</v>
      </c>
      <c r="G470" s="8">
        <v>0.72483997028787417</v>
      </c>
      <c r="H470" s="8">
        <v>54.321612661874973</v>
      </c>
      <c r="I470" s="8">
        <v>35.109857014329023</v>
      </c>
      <c r="J470" s="8">
        <v>22.809710113410301</v>
      </c>
      <c r="K470" s="8">
        <v>21.186171777297361</v>
      </c>
      <c r="L470" s="8">
        <v>0.70355486586293281</v>
      </c>
      <c r="M470" s="8">
        <v>53.253298288948052</v>
      </c>
      <c r="N470" s="8">
        <v>39.815422770957973</v>
      </c>
      <c r="O470" s="7">
        <v>294.62599999999998</v>
      </c>
      <c r="P470" s="7">
        <v>290.84399999999999</v>
      </c>
      <c r="Q470" s="7">
        <v>98.162100000000009</v>
      </c>
      <c r="R470" s="7">
        <v>-0.62864699999999996</v>
      </c>
      <c r="S470" s="7">
        <v>-0.34150399999999997</v>
      </c>
      <c r="T470" s="7">
        <f>C470-D470</f>
        <v>9.899291670491273</v>
      </c>
      <c r="U470" s="8">
        <f>D470/C470</f>
        <v>0.6396261366616226</v>
      </c>
      <c r="V470" s="8">
        <v>20.684097952915959</v>
      </c>
      <c r="W470" s="8">
        <v>15.724917340227762</v>
      </c>
      <c r="X470" s="8">
        <v>0.73347785820479439</v>
      </c>
      <c r="Y470" s="8">
        <v>55.274866373565622</v>
      </c>
      <c r="Z470" s="8">
        <v>32.301101059676334</v>
      </c>
      <c r="AA470" s="7">
        <v>21.74690403316313</v>
      </c>
      <c r="AB470" s="7">
        <v>18.455544558762561</v>
      </c>
      <c r="AC470" s="7">
        <v>0.7185163620338636</v>
      </c>
      <c r="AD470" s="7">
        <v>54.264082331256837</v>
      </c>
      <c r="AE470" s="7">
        <v>36.058261915317154</v>
      </c>
      <c r="AF470" s="8">
        <v>22.16443320603333</v>
      </c>
      <c r="AG470" s="8">
        <v>21.168158318229509</v>
      </c>
      <c r="AH470" s="8">
        <v>0.71138923994991798</v>
      </c>
      <c r="AI470" s="8">
        <v>52.214072952129698</v>
      </c>
      <c r="AJ470" s="8">
        <v>39.283540630844733</v>
      </c>
      <c r="AK470" s="8">
        <v>22.923394605005591</v>
      </c>
      <c r="AL470" s="8">
        <v>21.189345377518581</v>
      </c>
      <c r="AM470" s="8">
        <v>0.7021746106192317</v>
      </c>
      <c r="AN470" s="8">
        <v>53.436388374333823</v>
      </c>
      <c r="AO470" s="8">
        <v>39.909129441685089</v>
      </c>
      <c r="AP470" s="8">
        <v>23.02302293723006</v>
      </c>
      <c r="AQ470" s="8">
        <v>20.78678430118477</v>
      </c>
      <c r="AR470" s="8">
        <v>0.71329134400317695</v>
      </c>
      <c r="AS470" s="8">
        <v>53.982262091832268</v>
      </c>
      <c r="AT470" s="8">
        <v>39.950729452425882</v>
      </c>
      <c r="AU470" s="8">
        <v>22.77162959106483</v>
      </c>
      <c r="AV470" s="8">
        <v>18.402784371768099</v>
      </c>
      <c r="AW470" s="8">
        <v>0.69835531013340357</v>
      </c>
      <c r="AX470" s="8">
        <v>60.414349079099082</v>
      </c>
      <c r="AY470" s="8">
        <v>39.846675201569347</v>
      </c>
      <c r="AZ470" s="8">
        <v>22.81720012148126</v>
      </c>
      <c r="BA470" s="8">
        <v>21.957654790833491</v>
      </c>
      <c r="BB470" s="8">
        <v>0.65276951568660668</v>
      </c>
      <c r="BC470" s="8">
        <v>54.356113561711247</v>
      </c>
      <c r="BD470" s="8">
        <v>40.884060063475921</v>
      </c>
      <c r="BE470" s="8">
        <v>21.138085804499791</v>
      </c>
      <c r="BF470" s="8">
        <v>19.5674626508534</v>
      </c>
      <c r="BG470" s="8">
        <v>0.5767737736707147</v>
      </c>
      <c r="BH470" s="8">
        <v>59.510584826353373</v>
      </c>
      <c r="BI470" s="8">
        <v>36.16463494211574</v>
      </c>
    </row>
    <row r="471" spans="1:61" x14ac:dyDescent="0.15">
      <c r="A471" s="7">
        <v>2021</v>
      </c>
      <c r="B471" s="7">
        <v>103</v>
      </c>
      <c r="C471" s="7">
        <v>40.554137510753201</v>
      </c>
      <c r="D471" s="7">
        <v>37.445305236432674</v>
      </c>
      <c r="E471" s="8">
        <v>35.857477004733447</v>
      </c>
      <c r="F471" s="8">
        <v>25.040616892071839</v>
      </c>
      <c r="G471" s="8">
        <v>0.72515801566436755</v>
      </c>
      <c r="H471" s="8">
        <v>71.246912725615246</v>
      </c>
      <c r="I471" s="8">
        <v>49.049783076109208</v>
      </c>
      <c r="J471" s="8">
        <v>35.881482259235703</v>
      </c>
      <c r="K471" s="8">
        <v>20.254732147584061</v>
      </c>
      <c r="L471" s="8">
        <v>0.6154270287119521</v>
      </c>
      <c r="M471" s="8">
        <v>73.608580665018351</v>
      </c>
      <c r="N471" s="8">
        <v>51.427770175578537</v>
      </c>
      <c r="O471" s="8">
        <v>289.92399999999998</v>
      </c>
      <c r="P471" s="8">
        <v>284.077</v>
      </c>
      <c r="Q471" s="8">
        <v>101.217</v>
      </c>
      <c r="R471" s="8">
        <v>-0.38737899999999997</v>
      </c>
      <c r="S471" s="8">
        <v>-5.4670900000000001E-2</v>
      </c>
      <c r="T471" s="7">
        <f>C471-D471</f>
        <v>3.1088322743205268</v>
      </c>
      <c r="U471" s="8">
        <f>D471/C471</f>
        <v>0.92334118131605691</v>
      </c>
      <c r="V471" s="8">
        <v>31.546645547611782</v>
      </c>
      <c r="W471" s="8">
        <v>24.986803385135378</v>
      </c>
      <c r="X471" s="8">
        <v>0.71447386986959871</v>
      </c>
      <c r="Y471" s="8">
        <v>63.144520100111166</v>
      </c>
      <c r="Z471" s="8">
        <v>45.577476109765819</v>
      </c>
      <c r="AA471" s="7">
        <v>33.714063903423742</v>
      </c>
      <c r="AB471" s="7">
        <v>22.62076776635972</v>
      </c>
      <c r="AC471" s="7">
        <v>0.6649504492907754</v>
      </c>
      <c r="AD471" s="7">
        <v>68.376550382564758</v>
      </c>
      <c r="AE471" s="7">
        <v>48.502623142672178</v>
      </c>
      <c r="AF471" s="8">
        <v>37.982188085508781</v>
      </c>
      <c r="AG471" s="8">
        <v>20.27552259055361</v>
      </c>
      <c r="AH471" s="8">
        <v>0.61048248776177816</v>
      </c>
      <c r="AI471" s="8">
        <v>74.975598611403967</v>
      </c>
      <c r="AJ471" s="8">
        <v>51.001165408686482</v>
      </c>
      <c r="AK471" s="8">
        <v>35.771405302769097</v>
      </c>
      <c r="AL471" s="8">
        <v>20.25364272865778</v>
      </c>
      <c r="AM471" s="8">
        <v>0.6156861225898822</v>
      </c>
      <c r="AN471" s="8">
        <v>73.536948943388737</v>
      </c>
      <c r="AO471" s="8">
        <v>51.450124259508961</v>
      </c>
      <c r="AP471" s="8">
        <v>33.220555326500943</v>
      </c>
      <c r="AQ471" s="8">
        <v>22.942586540492709</v>
      </c>
      <c r="AR471" s="8">
        <v>0.67384409828268943</v>
      </c>
      <c r="AS471" s="8">
        <v>67.271113462278379</v>
      </c>
      <c r="AT471" s="8">
        <v>47.681701849044323</v>
      </c>
      <c r="AU471" s="8">
        <v>40.928955534865118</v>
      </c>
      <c r="AV471" s="8">
        <v>28.30775220862914</v>
      </c>
      <c r="AW471" s="8">
        <v>0.77751825452407786</v>
      </c>
      <c r="AX471" s="8">
        <v>70.34357646865125</v>
      </c>
      <c r="AY471" s="8">
        <v>71.739778157656147</v>
      </c>
      <c r="AZ471" s="8">
        <v>34.998488717926293</v>
      </c>
      <c r="BA471" s="8">
        <v>20.32021054612559</v>
      </c>
      <c r="BB471" s="8">
        <v>0.60550414111557926</v>
      </c>
      <c r="BC471" s="8">
        <v>73.687100023411901</v>
      </c>
      <c r="BD471" s="8">
        <v>50.995602911514183</v>
      </c>
      <c r="BE471" s="8"/>
      <c r="BF471" s="8"/>
      <c r="BG471" s="8"/>
      <c r="BH471" s="8"/>
      <c r="BI471" s="8"/>
    </row>
    <row r="472" spans="1:61" x14ac:dyDescent="0.15">
      <c r="A472" s="7">
        <v>2023</v>
      </c>
      <c r="B472" s="7">
        <v>89</v>
      </c>
      <c r="C472" s="9">
        <v>61.506690100942372</v>
      </c>
      <c r="D472" s="7">
        <v>57.902572446642324</v>
      </c>
      <c r="E472" s="8">
        <v>24.11545387458629</v>
      </c>
      <c r="F472" s="8">
        <v>12.956353788244339</v>
      </c>
      <c r="G472" s="8">
        <v>0.72569650391607099</v>
      </c>
      <c r="H472" s="8">
        <v>53.846010248141063</v>
      </c>
      <c r="I472" s="8">
        <v>35.129783382268791</v>
      </c>
      <c r="J472" s="8">
        <v>26.81489053033475</v>
      </c>
      <c r="K472" s="8">
        <v>14.573073646772309</v>
      </c>
      <c r="L472" s="8">
        <v>0.62754433988139857</v>
      </c>
      <c r="M472" s="8">
        <v>53.15969934098986</v>
      </c>
      <c r="N472" s="8">
        <v>37.028187900111647</v>
      </c>
      <c r="O472" s="7">
        <v>292.77699999999999</v>
      </c>
      <c r="P472" s="7">
        <v>287.61399999999998</v>
      </c>
      <c r="Q472" s="7">
        <v>98.802800000000005</v>
      </c>
      <c r="R472" s="7">
        <v>-4.9573800000000001E-2</v>
      </c>
      <c r="S472" s="7">
        <v>-0.47507899999999997</v>
      </c>
      <c r="T472" s="7">
        <f>C472-D472</f>
        <v>3.6041176543000475</v>
      </c>
      <c r="U472" s="8">
        <f>D472/C472</f>
        <v>0.94140283523003576</v>
      </c>
      <c r="V472" s="8">
        <v>23.036689014645688</v>
      </c>
      <c r="W472" s="8">
        <v>11.790211653845011</v>
      </c>
      <c r="X472" s="8">
        <v>0.74344145280389629</v>
      </c>
      <c r="Y472" s="8">
        <v>54.652956453212425</v>
      </c>
      <c r="Z472" s="8">
        <v>33.88895202899478</v>
      </c>
      <c r="AA472" s="7">
        <v>24.925789772490219</v>
      </c>
      <c r="AB472" s="7">
        <v>13.18164265030866</v>
      </c>
      <c r="AC472" s="7">
        <v>0.68549289634264743</v>
      </c>
      <c r="AD472" s="7">
        <v>53.906327897101143</v>
      </c>
      <c r="AE472" s="7">
        <v>35.458569964553213</v>
      </c>
      <c r="AF472" s="8">
        <v>27.226663672757919</v>
      </c>
      <c r="AG472" s="8">
        <v>15.441599571918569</v>
      </c>
      <c r="AH472" s="8">
        <v>0.64502380823327354</v>
      </c>
      <c r="AI472" s="8">
        <v>52.716408959914887</v>
      </c>
      <c r="AJ472" s="8">
        <v>37.710819419530608</v>
      </c>
      <c r="AK472" s="8">
        <v>26.755196110040671</v>
      </c>
      <c r="AL472" s="8">
        <v>14.447164144013369</v>
      </c>
      <c r="AM472" s="8">
        <v>0.62501035545450356</v>
      </c>
      <c r="AN472" s="8">
        <v>53.223962789947443</v>
      </c>
      <c r="AO472" s="8">
        <v>36.929227359396492</v>
      </c>
      <c r="AP472" s="8">
        <v>26.55166106220921</v>
      </c>
      <c r="AQ472" s="8">
        <v>13.303011929119659</v>
      </c>
      <c r="AR472" s="8">
        <v>0.60732002259123952</v>
      </c>
      <c r="AS472" s="8">
        <v>54.049451045124087</v>
      </c>
      <c r="AT472" s="8">
        <v>35.989144123972579</v>
      </c>
      <c r="AU472" s="8">
        <v>19.956769623711931</v>
      </c>
      <c r="AV472" s="8">
        <v>12.026533285414811</v>
      </c>
      <c r="AW472" s="8">
        <v>0.57977974730942883</v>
      </c>
      <c r="AX472" s="8">
        <v>61.119697475696363</v>
      </c>
      <c r="AY472" s="8">
        <v>31.166455108704731</v>
      </c>
      <c r="AZ472" s="8">
        <v>26.968032134756591</v>
      </c>
      <c r="BA472" s="8">
        <v>16.02080460717718</v>
      </c>
      <c r="BB472" s="8">
        <v>0.62531035312842198</v>
      </c>
      <c r="BC472" s="8">
        <v>52.910348012258503</v>
      </c>
      <c r="BD472" s="8">
        <v>38.255353651891049</v>
      </c>
      <c r="BE472" s="8">
        <v>26.739870303480199</v>
      </c>
      <c r="BF472" s="8">
        <v>24.27379038648797</v>
      </c>
      <c r="BG472" s="8">
        <v>0.55077062748209082</v>
      </c>
      <c r="BH472" s="8">
        <v>54.42102660420742</v>
      </c>
      <c r="BI472" s="8">
        <v>45.404359244723317</v>
      </c>
    </row>
    <row r="473" spans="1:61" x14ac:dyDescent="0.15">
      <c r="A473" s="7">
        <v>2020</v>
      </c>
      <c r="B473" s="7">
        <v>138</v>
      </c>
      <c r="C473" s="7">
        <v>21.250945601641661</v>
      </c>
      <c r="D473" s="7">
        <v>19.30601117231932</v>
      </c>
      <c r="E473" s="8">
        <v>35.634688853829722</v>
      </c>
      <c r="F473" s="8">
        <v>28.978016627991359</v>
      </c>
      <c r="G473" s="8">
        <v>0.7261367287662196</v>
      </c>
      <c r="H473" s="8">
        <v>78.86921558523828</v>
      </c>
      <c r="I473" s="8">
        <v>64.343450784502593</v>
      </c>
      <c r="J473" s="8">
        <v>36.300897881507332</v>
      </c>
      <c r="K473" s="8">
        <v>35.277894923754907</v>
      </c>
      <c r="L473" s="8">
        <v>0.79508606944104743</v>
      </c>
      <c r="M473" s="8">
        <v>61.931222284439023</v>
      </c>
      <c r="N473" s="8">
        <v>76.50382425691528</v>
      </c>
      <c r="O473" s="8">
        <v>282.29300000000001</v>
      </c>
      <c r="P473" s="8">
        <v>272.09100000000001</v>
      </c>
      <c r="Q473" s="8">
        <v>87.736800000000002</v>
      </c>
      <c r="R473" s="8">
        <v>0.56101900000000005</v>
      </c>
      <c r="S473" s="8">
        <v>-8.5325300000000007E-2</v>
      </c>
      <c r="T473" s="7">
        <f>C473-D473</f>
        <v>1.9449344293223412</v>
      </c>
      <c r="U473" s="8">
        <f>D473/C473</f>
        <v>0.90847774655391844</v>
      </c>
      <c r="V473" s="8">
        <v>35.391864925824201</v>
      </c>
      <c r="W473" s="8">
        <v>31.775682613846975</v>
      </c>
      <c r="X473" s="8">
        <v>0.75176383928391288</v>
      </c>
      <c r="Y473" s="8">
        <v>72.192157035711688</v>
      </c>
      <c r="Z473" s="8">
        <v>66.055961566892634</v>
      </c>
      <c r="AA473" s="7">
        <v>35.846381403665767</v>
      </c>
      <c r="AB473" s="7">
        <v>33.526788768800941</v>
      </c>
      <c r="AC473" s="7">
        <v>0.77342495436248015</v>
      </c>
      <c r="AD473" s="7">
        <v>67.061689660075359</v>
      </c>
      <c r="AE473" s="7">
        <v>71.279892911903957</v>
      </c>
      <c r="AF473" s="8">
        <v>36.892264806758483</v>
      </c>
      <c r="AG473" s="8">
        <v>34.983779082621012</v>
      </c>
      <c r="AH473" s="8">
        <v>0.79470798652990926</v>
      </c>
      <c r="AI473" s="8">
        <v>63.598443265328569</v>
      </c>
      <c r="AJ473" s="8">
        <v>76.01625826355766</v>
      </c>
      <c r="AK473" s="8">
        <v>36.204663413655616</v>
      </c>
      <c r="AL473" s="8">
        <v>35.325757055114828</v>
      </c>
      <c r="AM473" s="8">
        <v>0.79514759572228433</v>
      </c>
      <c r="AN473" s="8">
        <v>61.659911669935177</v>
      </c>
      <c r="AO473" s="8">
        <v>76.583166966001443</v>
      </c>
      <c r="AP473" s="8">
        <v>37.620389120333883</v>
      </c>
      <c r="AQ473" s="8">
        <v>35.006269243688443</v>
      </c>
      <c r="AR473" s="8">
        <v>0.80904068388528982</v>
      </c>
      <c r="AS473" s="8">
        <v>63.250788456536448</v>
      </c>
      <c r="AT473" s="8">
        <v>75.192882771832117</v>
      </c>
      <c r="AU473" s="8">
        <v>34.621923495708693</v>
      </c>
      <c r="AV473" s="8">
        <v>35.312457946865202</v>
      </c>
      <c r="AW473" s="8">
        <v>0.77733075519713135</v>
      </c>
      <c r="AX473" s="8">
        <v>62.473150818011852</v>
      </c>
      <c r="AY473" s="8">
        <v>72.472545176504639</v>
      </c>
      <c r="AZ473" s="8">
        <v>39.26682520301221</v>
      </c>
      <c r="BA473" s="8">
        <v>35.173341580665543</v>
      </c>
      <c r="BB473" s="8">
        <v>0.85650689138525615</v>
      </c>
      <c r="BC473" s="8">
        <v>61.625603891982969</v>
      </c>
      <c r="BD473" s="8">
        <v>81.757037798792211</v>
      </c>
      <c r="BE473" s="8">
        <v>36.045641897329268</v>
      </c>
      <c r="BF473" s="8">
        <v>33.482807370992582</v>
      </c>
      <c r="BG473" s="8">
        <v>0.76101199252582175</v>
      </c>
      <c r="BH473" s="8">
        <v>62.030579077555657</v>
      </c>
      <c r="BI473" s="8">
        <v>80.169802967320621</v>
      </c>
    </row>
    <row r="474" spans="1:61" x14ac:dyDescent="0.15">
      <c r="A474" s="7">
        <v>2020</v>
      </c>
      <c r="B474" s="7">
        <v>146</v>
      </c>
      <c r="C474" s="7">
        <v>26.394223859190443</v>
      </c>
      <c r="D474" s="7">
        <v>12.003796352069605</v>
      </c>
      <c r="E474" s="8">
        <v>42.247448872755612</v>
      </c>
      <c r="F474" s="8">
        <v>24.034355467841468</v>
      </c>
      <c r="G474" s="8">
        <v>0.72676126863678303</v>
      </c>
      <c r="H474" s="8">
        <v>75.379491933917507</v>
      </c>
      <c r="I474" s="8">
        <v>66.638792948103699</v>
      </c>
      <c r="J474" s="8">
        <v>53.148152385768363</v>
      </c>
      <c r="K474" s="8">
        <v>32.15369293486998</v>
      </c>
      <c r="L474" s="8">
        <v>0.94078493720413103</v>
      </c>
      <c r="M474" s="8">
        <v>69.840623216085021</v>
      </c>
      <c r="N474" s="8">
        <v>89.461861987944303</v>
      </c>
      <c r="O474" s="8">
        <v>287.63600000000002</v>
      </c>
      <c r="P474" s="8">
        <v>278.88400000000001</v>
      </c>
      <c r="Q474" s="8">
        <v>96.36</v>
      </c>
      <c r="R474" s="8">
        <v>-3.5700999999999997E-2</v>
      </c>
      <c r="S474" s="8">
        <v>-0.13463800000000001</v>
      </c>
      <c r="T474" s="7">
        <f>C474-D474</f>
        <v>14.390427507120839</v>
      </c>
      <c r="U474" s="8">
        <f>D474/C474</f>
        <v>0.45478876045411332</v>
      </c>
      <c r="V474" s="8">
        <v>50.056091786811272</v>
      </c>
      <c r="W474" s="8">
        <v>35.907452315202519</v>
      </c>
      <c r="X474" s="8">
        <v>0.86524531536559968</v>
      </c>
      <c r="Y474" s="8">
        <v>65.379178012911808</v>
      </c>
      <c r="Z474" s="8">
        <v>82.739461891736454</v>
      </c>
      <c r="AA474" s="7">
        <v>51.602122086289818</v>
      </c>
      <c r="AB474" s="7">
        <v>34.03057262503625</v>
      </c>
      <c r="AC474" s="7">
        <v>0.90301512628486535</v>
      </c>
      <c r="AD474" s="7">
        <v>67.609900614498414</v>
      </c>
      <c r="AE474" s="7">
        <v>86.100661939840379</v>
      </c>
      <c r="AF474" s="8">
        <v>53.182069718193397</v>
      </c>
      <c r="AG474" s="8">
        <v>32.269749491450753</v>
      </c>
      <c r="AH474" s="8">
        <v>0.90068796044107524</v>
      </c>
      <c r="AI474" s="8">
        <v>68.983348265386113</v>
      </c>
      <c r="AJ474" s="8">
        <v>90.714343704034391</v>
      </c>
      <c r="AK474" s="8">
        <v>53.144728048872778</v>
      </c>
      <c r="AL474" s="8">
        <v>32.141975717734717</v>
      </c>
      <c r="AM474" s="8">
        <v>0.94483317882909301</v>
      </c>
      <c r="AN474" s="8">
        <v>69.927174782303211</v>
      </c>
      <c r="AO474" s="8">
        <v>89.335409845491228</v>
      </c>
      <c r="AP474" s="8">
        <v>52.429205577475123</v>
      </c>
      <c r="AQ474" s="8">
        <v>36.263831538948693</v>
      </c>
      <c r="AR474" s="8">
        <v>0.89354321263670544</v>
      </c>
      <c r="AS474" s="8">
        <v>65.499040058436378</v>
      </c>
      <c r="AT474" s="8">
        <v>87.636456800704167</v>
      </c>
      <c r="AU474" s="8">
        <v>42.750193420591508</v>
      </c>
      <c r="AV474" s="8">
        <v>28.756987526645499</v>
      </c>
      <c r="AW474" s="8">
        <v>0.86922031362980479</v>
      </c>
      <c r="AX474" s="8">
        <v>68.958033829564883</v>
      </c>
      <c r="AY474" s="8">
        <v>70.440798986005007</v>
      </c>
      <c r="AZ474" s="8">
        <v>53.375456895840472</v>
      </c>
      <c r="BA474" s="8">
        <v>32.368695755642378</v>
      </c>
      <c r="BB474" s="8">
        <v>1.001019034082022</v>
      </c>
      <c r="BC474" s="8">
        <v>70.046483146049567</v>
      </c>
      <c r="BD474" s="8">
        <v>90.594964905944494</v>
      </c>
      <c r="BE474" s="8">
        <v>51.024277168858113</v>
      </c>
      <c r="BF474" s="8">
        <v>32.863893444387777</v>
      </c>
      <c r="BG474" s="8">
        <v>1.013262891927047</v>
      </c>
      <c r="BH474" s="8">
        <v>68.846045253303743</v>
      </c>
      <c r="BI474" s="8">
        <v>91.777213254626076</v>
      </c>
    </row>
    <row r="475" spans="1:61" x14ac:dyDescent="0.15">
      <c r="A475" s="7">
        <v>2019</v>
      </c>
      <c r="B475" s="7">
        <v>136</v>
      </c>
      <c r="C475" s="7">
        <v>39.578766669650946</v>
      </c>
      <c r="D475" s="7">
        <v>28.946189692851654</v>
      </c>
      <c r="E475" s="8">
        <v>28.589227351152839</v>
      </c>
      <c r="F475" s="8">
        <v>19.96703045095003</v>
      </c>
      <c r="G475" s="8">
        <v>0.72700907048285168</v>
      </c>
      <c r="H475" s="8">
        <v>65.459449673633728</v>
      </c>
      <c r="I475" s="8">
        <v>48.098563380310729</v>
      </c>
      <c r="J475" s="8">
        <v>33.104308854956827</v>
      </c>
      <c r="K475" s="8">
        <v>25.199600030647069</v>
      </c>
      <c r="L475" s="8">
        <v>0.70978907058112206</v>
      </c>
      <c r="M475" s="8">
        <v>49.368394862690593</v>
      </c>
      <c r="N475" s="8">
        <v>51.727436051910203</v>
      </c>
      <c r="O475" s="8">
        <v>289.505</v>
      </c>
      <c r="P475" s="8">
        <v>285.61700000000002</v>
      </c>
      <c r="Q475" s="8">
        <v>93.966999999999999</v>
      </c>
      <c r="R475" s="8">
        <v>-0.63366100000000003</v>
      </c>
      <c r="S475" s="8">
        <v>-0.45007200000000003</v>
      </c>
      <c r="T475" s="7">
        <f>C475-D475</f>
        <v>10.632576976799292</v>
      </c>
      <c r="U475" s="8">
        <f>D475/C475</f>
        <v>0.73135653605516804</v>
      </c>
      <c r="V475" s="8">
        <v>27.927928017425955</v>
      </c>
      <c r="W475" s="8">
        <v>19.078786113601552</v>
      </c>
      <c r="X475" s="8">
        <v>0.72501931218418103</v>
      </c>
      <c r="Y475" s="8">
        <v>66.027123032154591</v>
      </c>
      <c r="Z475" s="8">
        <v>45.942247598188871</v>
      </c>
      <c r="AA475" s="7">
        <v>30.516118436191391</v>
      </c>
      <c r="AB475" s="7">
        <v>22.139193072124311</v>
      </c>
      <c r="AC475" s="7">
        <v>0.71740419138265155</v>
      </c>
      <c r="AD475" s="7">
        <v>57.697758947422592</v>
      </c>
      <c r="AE475" s="7">
        <v>48.834841825049537</v>
      </c>
      <c r="AF475" s="8">
        <v>33.008163819036533</v>
      </c>
      <c r="AG475" s="8">
        <v>24.644845815179131</v>
      </c>
      <c r="AH475" s="8">
        <v>0.72846604667593862</v>
      </c>
      <c r="AI475" s="8">
        <v>51.196547369130897</v>
      </c>
      <c r="AJ475" s="8">
        <v>52.051854254487992</v>
      </c>
      <c r="AK475" s="8">
        <v>33.11701944899356</v>
      </c>
      <c r="AL475" s="8">
        <v>25.272939808987999</v>
      </c>
      <c r="AM475" s="8">
        <v>0.70731993154859196</v>
      </c>
      <c r="AN475" s="8">
        <v>49.126708912665599</v>
      </c>
      <c r="AO475" s="8">
        <v>51.684547222220573</v>
      </c>
      <c r="AP475" s="8">
        <v>32.513829609096781</v>
      </c>
      <c r="AQ475" s="8">
        <v>24.406266881632771</v>
      </c>
      <c r="AR475" s="8">
        <v>0.70260887021108298</v>
      </c>
      <c r="AS475" s="8">
        <v>49.215736901754852</v>
      </c>
      <c r="AT475" s="8">
        <v>49.423414473707247</v>
      </c>
      <c r="AU475" s="8">
        <v>30.470056058788309</v>
      </c>
      <c r="AV475" s="8">
        <v>23.842142194722559</v>
      </c>
      <c r="AW475" s="8">
        <v>0.68155410349370649</v>
      </c>
      <c r="AX475" s="8">
        <v>55.928979439461997</v>
      </c>
      <c r="AY475" s="8">
        <v>51.193788918989362</v>
      </c>
      <c r="AZ475" s="8">
        <v>35.232617749306257</v>
      </c>
      <c r="BA475" s="8">
        <v>29.41145430136234</v>
      </c>
      <c r="BB475" s="8">
        <v>0.73952616362886103</v>
      </c>
      <c r="BC475" s="8">
        <v>48.485223907441188</v>
      </c>
      <c r="BD475" s="8">
        <v>57.066420629915413</v>
      </c>
      <c r="BE475" s="8">
        <v>37.28541446595591</v>
      </c>
      <c r="BF475" s="8">
        <v>41.682075508265022</v>
      </c>
      <c r="BG475" s="8">
        <v>0.77777992335950696</v>
      </c>
      <c r="BH475" s="8">
        <v>50.179254505444248</v>
      </c>
      <c r="BI475" s="8">
        <v>68.516526038863091</v>
      </c>
    </row>
    <row r="476" spans="1:61" x14ac:dyDescent="0.15">
      <c r="A476" s="7">
        <v>2018</v>
      </c>
      <c r="B476" s="7">
        <v>108</v>
      </c>
      <c r="C476" s="7">
        <v>65.282434875498041</v>
      </c>
      <c r="D476" s="7">
        <v>3.9119956072682429</v>
      </c>
      <c r="E476" s="8">
        <v>29.183124895614281</v>
      </c>
      <c r="F476" s="8">
        <v>16.219272980185721</v>
      </c>
      <c r="G476" s="8">
        <v>0.72711434359945804</v>
      </c>
      <c r="H476" s="8">
        <v>53.89183196810761</v>
      </c>
      <c r="I476" s="8">
        <v>43.155924331325302</v>
      </c>
      <c r="J476" s="8">
        <v>32.918047896702987</v>
      </c>
      <c r="K476" s="8">
        <v>17.374924923916542</v>
      </c>
      <c r="L476" s="8">
        <v>0.72246863913671722</v>
      </c>
      <c r="M476" s="8">
        <v>58.596695667881427</v>
      </c>
      <c r="N476" s="8">
        <v>50.860449019586817</v>
      </c>
      <c r="O476" s="8">
        <v>292.22800000000001</v>
      </c>
      <c r="P476" s="8">
        <v>288.47199999999998</v>
      </c>
      <c r="Q476" s="8">
        <v>96.242899999999992</v>
      </c>
      <c r="R476" s="8">
        <v>-0.55824700000000005</v>
      </c>
      <c r="S476" s="8">
        <v>-0.46446500000000002</v>
      </c>
      <c r="T476" s="7">
        <f>C476-D476</f>
        <v>61.370439268229795</v>
      </c>
      <c r="U476" s="8">
        <f>D476/C476</f>
        <v>5.9924168189022353E-2</v>
      </c>
      <c r="V476" s="8">
        <v>26.434224602011831</v>
      </c>
      <c r="W476" s="8">
        <v>14.279558928783537</v>
      </c>
      <c r="X476" s="8">
        <v>0.70313337052795388</v>
      </c>
      <c r="Y476" s="8">
        <v>52.798261766091578</v>
      </c>
      <c r="Z476" s="8">
        <v>38.818204026673008</v>
      </c>
      <c r="AA476" s="7">
        <v>29.676136249357409</v>
      </c>
      <c r="AB476" s="7">
        <v>15.827241926350039</v>
      </c>
      <c r="AC476" s="7">
        <v>0.71280100483233555</v>
      </c>
      <c r="AD476" s="7">
        <v>55.697478716986502</v>
      </c>
      <c r="AE476" s="7">
        <v>44.839326523129913</v>
      </c>
      <c r="AF476" s="8">
        <v>33.711774877271573</v>
      </c>
      <c r="AG476" s="8">
        <v>17.380816715604741</v>
      </c>
      <c r="AH476" s="8">
        <v>0.70798844242926662</v>
      </c>
      <c r="AI476" s="8">
        <v>59.800478352413712</v>
      </c>
      <c r="AJ476" s="8">
        <v>51.845850371097313</v>
      </c>
      <c r="AK476" s="8">
        <v>32.767612328626818</v>
      </c>
      <c r="AL476" s="8">
        <v>17.373808248975031</v>
      </c>
      <c r="AM476" s="8">
        <v>0.72521307982081673</v>
      </c>
      <c r="AN476" s="8">
        <v>58.368541987307118</v>
      </c>
      <c r="AO476" s="8">
        <v>50.673685288824757</v>
      </c>
      <c r="AP476" s="8">
        <v>30.306732785533971</v>
      </c>
      <c r="AQ476" s="8">
        <v>14.046917555133239</v>
      </c>
      <c r="AR476" s="8">
        <v>0.65755994960739939</v>
      </c>
      <c r="AS476" s="8">
        <v>61.161503333476162</v>
      </c>
      <c r="AT476" s="8">
        <v>48.649556625494462</v>
      </c>
      <c r="AU476" s="8">
        <v>29.76108675810665</v>
      </c>
      <c r="AV476" s="8">
        <v>16.53072836016328</v>
      </c>
      <c r="AW476" s="8">
        <v>0.63109438148049346</v>
      </c>
      <c r="AX476" s="8">
        <v>61.051272431753368</v>
      </c>
      <c r="AY476" s="8">
        <v>46.870699559945628</v>
      </c>
      <c r="AZ476" s="8">
        <v>36.128845749676699</v>
      </c>
      <c r="BA476" s="8">
        <v>20.735802509782491</v>
      </c>
      <c r="BB476" s="8">
        <v>0.79892750074843089</v>
      </c>
      <c r="BC476" s="8">
        <v>56.849678017294089</v>
      </c>
      <c r="BD476" s="8">
        <v>54.135989543073023</v>
      </c>
      <c r="BE476" s="8">
        <v>29.232176828472081</v>
      </c>
      <c r="BF476" s="8">
        <v>18.161472517580979</v>
      </c>
      <c r="BG476" s="8">
        <v>0.58411654085593112</v>
      </c>
      <c r="BH476" s="8">
        <v>60.804409765393537</v>
      </c>
      <c r="BI476" s="8">
        <v>48.543105020253769</v>
      </c>
    </row>
    <row r="477" spans="1:61" x14ac:dyDescent="0.15">
      <c r="A477" s="7">
        <v>2021</v>
      </c>
      <c r="B477" s="7">
        <v>101</v>
      </c>
      <c r="C477" s="7">
        <v>60.263300303621257</v>
      </c>
      <c r="D477" s="7">
        <v>6.6846545942250648</v>
      </c>
      <c r="E477" s="8">
        <v>40.615737121956549</v>
      </c>
      <c r="F477" s="8">
        <v>27.852874745200921</v>
      </c>
      <c r="G477" s="8">
        <v>0.72787947516158991</v>
      </c>
      <c r="H477" s="8">
        <v>73.156801087676001</v>
      </c>
      <c r="I477" s="8">
        <v>56.05174381781935</v>
      </c>
      <c r="J477" s="8">
        <v>40.217496969565993</v>
      </c>
      <c r="K477" s="8">
        <v>24.528227574109099</v>
      </c>
      <c r="L477" s="8">
        <v>0.72259474832780035</v>
      </c>
      <c r="M477" s="8">
        <v>71.856142679113617</v>
      </c>
      <c r="N477" s="8">
        <v>64.519752251445539</v>
      </c>
      <c r="O477" s="8">
        <v>289.59300000000002</v>
      </c>
      <c r="P477" s="8">
        <v>282.46800000000002</v>
      </c>
      <c r="Q477" s="8">
        <v>101.03</v>
      </c>
      <c r="R477" s="8">
        <v>-0.28032099999999999</v>
      </c>
      <c r="S477" s="8">
        <v>0.10385</v>
      </c>
      <c r="T477" s="7">
        <f>C477-D477</f>
        <v>53.578645709396191</v>
      </c>
      <c r="U477" s="8">
        <f>D477/C477</f>
        <v>0.11092413725345507</v>
      </c>
      <c r="V477" s="8">
        <v>31.693400414682621</v>
      </c>
      <c r="W477" s="8">
        <v>27.92522073454084</v>
      </c>
      <c r="X477" s="8">
        <v>0.79194471275055167</v>
      </c>
      <c r="Y477" s="8">
        <v>61.522512595760304</v>
      </c>
      <c r="Z477" s="8">
        <v>58.914361869927376</v>
      </c>
      <c r="AA477" s="7">
        <v>35.955448692124307</v>
      </c>
      <c r="AB477" s="7">
        <v>26.22672415432497</v>
      </c>
      <c r="AC477" s="7">
        <v>0.75726973053917601</v>
      </c>
      <c r="AD477" s="7">
        <v>66.689327637436961</v>
      </c>
      <c r="AE477" s="7">
        <v>61.717057060686457</v>
      </c>
      <c r="AF477" s="8">
        <v>39.307342193080693</v>
      </c>
      <c r="AG477" s="8">
        <v>22.270703917890099</v>
      </c>
      <c r="AH477" s="8">
        <v>0.70830123175799509</v>
      </c>
      <c r="AI477" s="8">
        <v>73.841873400848797</v>
      </c>
      <c r="AJ477" s="8">
        <v>58.310736213290177</v>
      </c>
      <c r="AK477" s="8">
        <v>40.33282456079975</v>
      </c>
      <c r="AL477" s="8">
        <v>24.814283058463499</v>
      </c>
      <c r="AM477" s="8">
        <v>0.7244059093290327</v>
      </c>
      <c r="AN477" s="8">
        <v>71.604526638750698</v>
      </c>
      <c r="AO477" s="8">
        <v>65.306509495501842</v>
      </c>
      <c r="AP477" s="8">
        <v>35.086880422648143</v>
      </c>
      <c r="AQ477" s="8">
        <v>26.7516172103287</v>
      </c>
      <c r="AR477" s="8">
        <v>0.76936173368420113</v>
      </c>
      <c r="AS477" s="8">
        <v>65.158454424429394</v>
      </c>
      <c r="AT477" s="8">
        <v>60.856535506726701</v>
      </c>
      <c r="AU477" s="8">
        <v>42.75253025544415</v>
      </c>
      <c r="AV477" s="8">
        <v>27.691924749039529</v>
      </c>
      <c r="AW477" s="8">
        <v>0.67675491579581681</v>
      </c>
      <c r="AX477" s="8">
        <v>68.391592022974493</v>
      </c>
      <c r="AY477" s="8">
        <v>67.690952381498064</v>
      </c>
      <c r="AZ477" s="8">
        <v>39.150975921278587</v>
      </c>
      <c r="BA477" s="8">
        <v>24.091110818705818</v>
      </c>
      <c r="BB477" s="8">
        <v>0.71062589400874343</v>
      </c>
      <c r="BC477" s="8">
        <v>72.584578450624434</v>
      </c>
      <c r="BD477" s="8">
        <v>64.94321708362726</v>
      </c>
      <c r="BE477" s="8">
        <v>45.982706830381261</v>
      </c>
      <c r="BF477" s="8">
        <v>28.846166103075259</v>
      </c>
      <c r="BG477" s="8">
        <v>0.7831584929265345</v>
      </c>
      <c r="BH477" s="8">
        <v>65.473293647394755</v>
      </c>
      <c r="BI477" s="8">
        <v>79.822832824199324</v>
      </c>
    </row>
    <row r="478" spans="1:61" x14ac:dyDescent="0.15">
      <c r="A478" s="7">
        <v>2020</v>
      </c>
      <c r="B478" s="7">
        <v>78</v>
      </c>
      <c r="C478" s="7">
        <v>7.5569056487510515</v>
      </c>
      <c r="D478" s="7">
        <v>3.8228078864791653</v>
      </c>
      <c r="E478" s="8">
        <v>25.55053491709786</v>
      </c>
      <c r="F478" s="8">
        <v>25.98132218577102</v>
      </c>
      <c r="G478" s="8">
        <v>0.72911119319283502</v>
      </c>
      <c r="H478" s="8">
        <v>66.366829071757294</v>
      </c>
      <c r="I478" s="8">
        <v>36.728808552518913</v>
      </c>
      <c r="J478" s="8">
        <v>32.952028765003092</v>
      </c>
      <c r="K478" s="8">
        <v>31.063453115265681</v>
      </c>
      <c r="L478" s="8">
        <v>0.8020879202441622</v>
      </c>
      <c r="M478" s="8">
        <v>68.672449730095508</v>
      </c>
      <c r="N478" s="8">
        <v>49.893045715769773</v>
      </c>
      <c r="O478" s="8">
        <v>290.49599999999998</v>
      </c>
      <c r="P478" s="8">
        <v>286.238</v>
      </c>
      <c r="Q478" s="8">
        <v>100.51300000000001</v>
      </c>
      <c r="R478" s="8">
        <v>-0.53606399999999998</v>
      </c>
      <c r="S478" s="8">
        <v>-0.15876599999999999</v>
      </c>
      <c r="T478" s="7">
        <f>C478-D478</f>
        <v>3.7340977622718863</v>
      </c>
      <c r="U478" s="8">
        <f>D478/C478</f>
        <v>0.50586947411616423</v>
      </c>
      <c r="V478" s="8">
        <v>27.095902748420684</v>
      </c>
      <c r="W478" s="8">
        <v>26.595546331828416</v>
      </c>
      <c r="X478" s="8">
        <v>0.73898560764123133</v>
      </c>
      <c r="Y478" s="8">
        <v>66.880872775405152</v>
      </c>
      <c r="Z478" s="8">
        <v>38.333238918542932</v>
      </c>
      <c r="AA478" s="7">
        <v>30.023965756711888</v>
      </c>
      <c r="AB478" s="7">
        <v>28.829499723547048</v>
      </c>
      <c r="AC478" s="7">
        <v>0.77053676394269677</v>
      </c>
      <c r="AD478" s="7">
        <v>67.77666125275033</v>
      </c>
      <c r="AE478" s="7">
        <v>44.113142317156353</v>
      </c>
      <c r="AF478" s="8">
        <v>33.274150841532361</v>
      </c>
      <c r="AG478" s="8">
        <v>32.392319686601041</v>
      </c>
      <c r="AH478" s="8">
        <v>0.79831446302595122</v>
      </c>
      <c r="AI478" s="8">
        <v>68.331182085248841</v>
      </c>
      <c r="AJ478" s="8">
        <v>50.178593679596958</v>
      </c>
      <c r="AK478" s="8">
        <v>32.907081916955597</v>
      </c>
      <c r="AL478" s="8">
        <v>30.87803159898607</v>
      </c>
      <c r="AM478" s="8">
        <v>0.80261444425651196</v>
      </c>
      <c r="AN478" s="8">
        <v>68.720068027921357</v>
      </c>
      <c r="AO478" s="8">
        <v>49.853202184774631</v>
      </c>
      <c r="AP478" s="8">
        <v>32.233799774657548</v>
      </c>
      <c r="AQ478" s="8">
        <v>30.299432589198972</v>
      </c>
      <c r="AR478" s="8">
        <v>0.78438683905204409</v>
      </c>
      <c r="AS478" s="8">
        <v>69.086848693076945</v>
      </c>
      <c r="AT478" s="8">
        <v>47.099744704878049</v>
      </c>
      <c r="AU478" s="8">
        <v>31.581399128007671</v>
      </c>
      <c r="AV478" s="8">
        <v>25.782666648059649</v>
      </c>
      <c r="AW478" s="8">
        <v>0.71213088452030282</v>
      </c>
      <c r="AX478" s="8">
        <v>68.319982083178843</v>
      </c>
      <c r="AY478" s="8">
        <v>46.821736667177277</v>
      </c>
      <c r="AZ478" s="8">
        <v>34.33383125017366</v>
      </c>
      <c r="BA478" s="8">
        <v>30.603672154607342</v>
      </c>
      <c r="BB478" s="8">
        <v>0.82155507361641711</v>
      </c>
      <c r="BC478" s="8">
        <v>67.426175713429743</v>
      </c>
      <c r="BD478" s="8">
        <v>53.845821085084282</v>
      </c>
      <c r="BE478" s="8">
        <v>42.816119116178413</v>
      </c>
      <c r="BF478" s="8">
        <v>32.941664043726753</v>
      </c>
      <c r="BG478" s="8">
        <v>0.65231120720152225</v>
      </c>
      <c r="BH478" s="8">
        <v>66.722558577476363</v>
      </c>
      <c r="BI478" s="8">
        <v>63.266544923289459</v>
      </c>
    </row>
    <row r="479" spans="1:61" x14ac:dyDescent="0.15">
      <c r="A479" s="7">
        <v>2019</v>
      </c>
      <c r="B479" s="7">
        <v>141</v>
      </c>
      <c r="C479" s="7">
        <v>13.369659269163506</v>
      </c>
      <c r="D479" s="7">
        <v>8.6950213741551874</v>
      </c>
      <c r="E479" s="8">
        <v>43.498340973200683</v>
      </c>
      <c r="F479" s="8">
        <v>31.923809705053841</v>
      </c>
      <c r="G479" s="8">
        <v>0.72922674725926451</v>
      </c>
      <c r="H479" s="8">
        <v>72.325324936394594</v>
      </c>
      <c r="I479" s="8">
        <v>71.682516687382176</v>
      </c>
      <c r="J479" s="8">
        <v>46.38685964679285</v>
      </c>
      <c r="K479" s="8">
        <v>31.660524629174041</v>
      </c>
      <c r="L479" s="8">
        <v>0.72058296426620261</v>
      </c>
      <c r="M479" s="8">
        <v>74.54558918466094</v>
      </c>
      <c r="N479" s="8">
        <v>85.779105351568504</v>
      </c>
      <c r="O479" s="8">
        <v>287.33100000000002</v>
      </c>
      <c r="P479" s="8">
        <v>280.45499999999998</v>
      </c>
      <c r="Q479" s="8">
        <v>100.08499999999999</v>
      </c>
      <c r="R479" s="8">
        <v>-7.1677699999999997E-2</v>
      </c>
      <c r="S479" s="8">
        <v>-4.16037E-2</v>
      </c>
      <c r="T479" s="7">
        <f>C479-D479</f>
        <v>4.6746378950083187</v>
      </c>
      <c r="U479" s="8">
        <f>D479/C479</f>
        <v>0.6503547472006147</v>
      </c>
      <c r="V479" s="8">
        <v>43.095578869991506</v>
      </c>
      <c r="W479" s="8">
        <v>31.585635563102876</v>
      </c>
      <c r="X479" s="8">
        <v>0.75955116115385712</v>
      </c>
      <c r="Y479" s="8">
        <v>69.037287491135913</v>
      </c>
      <c r="Z479" s="8">
        <v>84.202476958643942</v>
      </c>
      <c r="AA479" s="7">
        <v>44.741219258392178</v>
      </c>
      <c r="AB479" s="7">
        <v>31.623080096138459</v>
      </c>
      <c r="AC479" s="7">
        <v>0.74006706271002987</v>
      </c>
      <c r="AD479" s="7">
        <v>71.791438337898427</v>
      </c>
      <c r="AE479" s="7">
        <v>84.990791155106223</v>
      </c>
      <c r="AF479" s="8">
        <v>44.960545802045871</v>
      </c>
      <c r="AG479" s="8">
        <v>29.58590987824439</v>
      </c>
      <c r="AH479" s="8">
        <v>0.71520086506297054</v>
      </c>
      <c r="AI479" s="8">
        <v>77.669506071623744</v>
      </c>
      <c r="AJ479" s="8">
        <v>81.630616206957825</v>
      </c>
      <c r="AK479" s="8">
        <v>46.512342262628223</v>
      </c>
      <c r="AL479" s="8">
        <v>31.843042724161371</v>
      </c>
      <c r="AM479" s="8">
        <v>0.72105646446336769</v>
      </c>
      <c r="AN479" s="8">
        <v>74.270756780788489</v>
      </c>
      <c r="AO479" s="8">
        <v>86.144076407235914</v>
      </c>
      <c r="AP479" s="8">
        <v>44.5388033616372</v>
      </c>
      <c r="AQ479" s="8">
        <v>31.672904109897491</v>
      </c>
      <c r="AR479" s="8">
        <v>0.74482198712631431</v>
      </c>
      <c r="AS479" s="8">
        <v>71.021735366746881</v>
      </c>
      <c r="AT479" s="8">
        <v>86.46154195219745</v>
      </c>
      <c r="AU479" s="8">
        <v>38.19155108863427</v>
      </c>
      <c r="AV479" s="8">
        <v>27.475862142354721</v>
      </c>
      <c r="AW479" s="8">
        <v>0.69678205195774345</v>
      </c>
      <c r="AX479" s="8">
        <v>72.498647226408295</v>
      </c>
      <c r="AY479" s="8">
        <v>78.72388999977855</v>
      </c>
      <c r="AZ479" s="8">
        <v>46.130715937842233</v>
      </c>
      <c r="BA479" s="8">
        <v>31.337229051310889</v>
      </c>
      <c r="BB479" s="8">
        <v>0.70996245373086797</v>
      </c>
      <c r="BC479" s="8">
        <v>73.743466437828673</v>
      </c>
      <c r="BD479" s="8">
        <v>87.675340353112929</v>
      </c>
      <c r="BE479" s="8">
        <v>48.707933740771203</v>
      </c>
      <c r="BF479" s="8">
        <v>33.701107628026953</v>
      </c>
      <c r="BG479" s="8">
        <v>0.82151968216416726</v>
      </c>
      <c r="BH479" s="8">
        <v>73.86641972398327</v>
      </c>
      <c r="BI479" s="8">
        <v>89.497368418036942</v>
      </c>
    </row>
    <row r="480" spans="1:61" x14ac:dyDescent="0.15">
      <c r="A480" s="7">
        <v>2017</v>
      </c>
      <c r="B480" s="7">
        <v>34</v>
      </c>
      <c r="C480" s="7">
        <v>11.907899073253853</v>
      </c>
      <c r="D480" s="7">
        <v>1.7716475359757733</v>
      </c>
      <c r="E480" s="8">
        <v>30.957684429123439</v>
      </c>
      <c r="F480" s="8">
        <v>33.89653182210391</v>
      </c>
      <c r="G480" s="8">
        <v>0.72959214753337998</v>
      </c>
      <c r="H480" s="8">
        <v>57.323052460345863</v>
      </c>
      <c r="I480" s="8">
        <v>49.139710009400552</v>
      </c>
      <c r="J480" s="8">
        <v>37.390019058355442</v>
      </c>
      <c r="K480" s="8">
        <v>33.346544713869811</v>
      </c>
      <c r="L480" s="8">
        <v>0.80194159679532073</v>
      </c>
      <c r="M480" s="8">
        <v>62.722066436195519</v>
      </c>
      <c r="N480" s="8">
        <v>59.636584472098903</v>
      </c>
      <c r="O480" s="8">
        <v>291.233</v>
      </c>
      <c r="P480" s="8">
        <v>285.93799999999999</v>
      </c>
      <c r="Q480" s="8">
        <v>99.931899999999999</v>
      </c>
      <c r="R480" s="8">
        <v>-0.43281700000000001</v>
      </c>
      <c r="S480" s="8">
        <v>-0.38234800000000002</v>
      </c>
      <c r="T480" s="7">
        <f>C480-D480</f>
        <v>10.136251537278079</v>
      </c>
      <c r="U480" s="8">
        <f>D480/C480</f>
        <v>0.14877918641039234</v>
      </c>
      <c r="V480" s="8">
        <v>31.176333869062752</v>
      </c>
      <c r="W480" s="8">
        <v>34.049017758588967</v>
      </c>
      <c r="X480" s="8">
        <v>0.74390253156111386</v>
      </c>
      <c r="Y480" s="8">
        <v>56.858398156530185</v>
      </c>
      <c r="Z480" s="8">
        <v>48.681069683948351</v>
      </c>
      <c r="AA480" s="7">
        <v>34.283176463709097</v>
      </c>
      <c r="AB480" s="7">
        <v>33.697781236229389</v>
      </c>
      <c r="AC480" s="7">
        <v>0.77292206417821729</v>
      </c>
      <c r="AD480" s="7">
        <v>59.790232296362852</v>
      </c>
      <c r="AE480" s="7">
        <v>54.158827078023627</v>
      </c>
      <c r="AF480" s="8">
        <v>37.496233856419437</v>
      </c>
      <c r="AG480" s="8">
        <v>33.63098133391258</v>
      </c>
      <c r="AH480" s="8">
        <v>0.80843155640659115</v>
      </c>
      <c r="AI480" s="8">
        <v>61.756160029827271</v>
      </c>
      <c r="AJ480" s="8">
        <v>58.674649745766288</v>
      </c>
      <c r="AK480" s="8">
        <v>37.377515062517823</v>
      </c>
      <c r="AL480" s="8">
        <v>33.313059791072703</v>
      </c>
      <c r="AM480" s="8">
        <v>0.80117757493165531</v>
      </c>
      <c r="AN480" s="8">
        <v>62.835776483240863</v>
      </c>
      <c r="AO480" s="8">
        <v>59.749826958394323</v>
      </c>
      <c r="AP480" s="8">
        <v>38.334405945511612</v>
      </c>
      <c r="AQ480" s="8">
        <v>32.856760262961181</v>
      </c>
      <c r="AR480" s="8">
        <v>0.827467531480513</v>
      </c>
      <c r="AS480" s="8">
        <v>61.875462239699743</v>
      </c>
      <c r="AT480" s="8">
        <v>59.547787378583131</v>
      </c>
      <c r="AU480" s="8">
        <v>30.477225169132169</v>
      </c>
      <c r="AV480" s="8">
        <v>29.19715250314545</v>
      </c>
      <c r="AW480" s="8">
        <v>0.71659273870988338</v>
      </c>
      <c r="AX480" s="8">
        <v>64.765212579404178</v>
      </c>
      <c r="AY480" s="8">
        <v>51.881542103890133</v>
      </c>
      <c r="AZ480" s="8">
        <v>38.121092898783353</v>
      </c>
      <c r="BA480" s="8">
        <v>33.62000465432704</v>
      </c>
      <c r="BB480" s="8">
        <v>0.80664584139162898</v>
      </c>
      <c r="BC480" s="8">
        <v>63.9235521601803</v>
      </c>
      <c r="BD480" s="8">
        <v>63.405517595420022</v>
      </c>
      <c r="BE480" s="8">
        <v>47.854381638687777</v>
      </c>
      <c r="BF480" s="8">
        <v>35.234804100348782</v>
      </c>
      <c r="BG480" s="8">
        <v>0.87777641975882581</v>
      </c>
      <c r="BH480" s="8">
        <v>71.799881419065571</v>
      </c>
      <c r="BI480" s="8">
        <v>72.140273668689133</v>
      </c>
    </row>
    <row r="481" spans="1:61" x14ac:dyDescent="0.15">
      <c r="A481" s="7">
        <v>2021</v>
      </c>
      <c r="B481" s="7">
        <v>94</v>
      </c>
      <c r="C481" s="7">
        <v>5.3287068376189284</v>
      </c>
      <c r="D481" s="7">
        <v>1.1904972055325207</v>
      </c>
      <c r="E481" s="8">
        <v>40.357637635665427</v>
      </c>
      <c r="F481" s="8">
        <v>24.824732703583969</v>
      </c>
      <c r="G481" s="8">
        <v>0.72960019302877632</v>
      </c>
      <c r="H481" s="8">
        <v>71.329646112479239</v>
      </c>
      <c r="I481" s="8">
        <v>61.31762361730474</v>
      </c>
      <c r="J481" s="8">
        <v>41.14285054233617</v>
      </c>
      <c r="K481" s="8">
        <v>26.9962380131809</v>
      </c>
      <c r="L481" s="8">
        <v>0.78880846390753978</v>
      </c>
      <c r="M481" s="8">
        <v>69.60655151911898</v>
      </c>
      <c r="N481" s="8">
        <v>77.898481366439142</v>
      </c>
      <c r="O481" s="8">
        <v>288.77499999999998</v>
      </c>
      <c r="P481" s="8">
        <v>279.68599999999998</v>
      </c>
      <c r="Q481" s="8">
        <v>98.918999999999997</v>
      </c>
      <c r="R481" s="8">
        <v>3.1277899999999997E-2</v>
      </c>
      <c r="S481" s="8">
        <v>-0.25800499999999998</v>
      </c>
      <c r="T481" s="7">
        <f>C481-D481</f>
        <v>4.1382096320864079</v>
      </c>
      <c r="U481" s="8">
        <f>D481/C481</f>
        <v>0.2234120288111929</v>
      </c>
      <c r="V481" s="8">
        <v>38.626459502807627</v>
      </c>
      <c r="W481" s="8">
        <v>26.813228688422022</v>
      </c>
      <c r="X481" s="8">
        <v>0.78010918280363206</v>
      </c>
      <c r="Y481" s="8">
        <v>62.063109511652911</v>
      </c>
      <c r="Z481" s="8">
        <v>70.327559273928841</v>
      </c>
      <c r="AA481" s="7">
        <v>39.884655022571899</v>
      </c>
      <c r="AB481" s="7">
        <v>26.904733350801461</v>
      </c>
      <c r="AC481" s="7">
        <v>0.78445882335558592</v>
      </c>
      <c r="AD481" s="7">
        <v>65.834830515385946</v>
      </c>
      <c r="AE481" s="7">
        <v>74.113020320183992</v>
      </c>
      <c r="AF481" s="8">
        <v>41.304338972023523</v>
      </c>
      <c r="AG481" s="8">
        <v>27.129706136530061</v>
      </c>
      <c r="AH481" s="8">
        <v>0.79976028123961551</v>
      </c>
      <c r="AI481" s="8">
        <v>70.774283458043925</v>
      </c>
      <c r="AJ481" s="8">
        <v>74.287258601557554</v>
      </c>
      <c r="AK481" s="8">
        <v>41.127542741105877</v>
      </c>
      <c r="AL481" s="8">
        <v>26.98358631109447</v>
      </c>
      <c r="AM481" s="8">
        <v>0.78777031991694901</v>
      </c>
      <c r="AN481" s="8">
        <v>69.495859945450619</v>
      </c>
      <c r="AO481" s="8">
        <v>78.240796171221959</v>
      </c>
      <c r="AP481" s="8">
        <v>39.329629161222172</v>
      </c>
      <c r="AQ481" s="8">
        <v>26.893427980854401</v>
      </c>
      <c r="AR481" s="8">
        <v>0.78391605552753862</v>
      </c>
      <c r="AS481" s="8">
        <v>64.122766509984544</v>
      </c>
      <c r="AT481" s="8">
        <v>73.712432168582382</v>
      </c>
      <c r="AU481" s="8">
        <v>36.41299799781094</v>
      </c>
      <c r="AV481" s="8">
        <v>26.306331958186259</v>
      </c>
      <c r="AW481" s="8">
        <v>0.77419869316435652</v>
      </c>
      <c r="AX481" s="8">
        <v>66.301816485669605</v>
      </c>
      <c r="AY481" s="8">
        <v>65.956767958518512</v>
      </c>
      <c r="AZ481" s="8">
        <v>41.326161239731732</v>
      </c>
      <c r="BA481" s="8">
        <v>27.485940634576071</v>
      </c>
      <c r="BB481" s="8">
        <v>0.79760860535178257</v>
      </c>
      <c r="BC481" s="8">
        <v>69.731119771226275</v>
      </c>
      <c r="BD481" s="8">
        <v>80.896008118590842</v>
      </c>
      <c r="BE481" s="8">
        <v>42.002051316302833</v>
      </c>
      <c r="BF481" s="8">
        <v>30.465900139435899</v>
      </c>
      <c r="BG481" s="8">
        <v>1.0018037194710281</v>
      </c>
      <c r="BH481" s="8">
        <v>73.053402581473122</v>
      </c>
      <c r="BI481" s="8">
        <v>96.169160415157407</v>
      </c>
    </row>
    <row r="482" spans="1:61" x14ac:dyDescent="0.15">
      <c r="A482" s="7">
        <v>2019</v>
      </c>
      <c r="B482" s="7">
        <v>75</v>
      </c>
      <c r="C482" s="7">
        <v>30.636291986629178</v>
      </c>
      <c r="D482" s="7">
        <v>21.143524585655875</v>
      </c>
      <c r="E482" s="8">
        <v>40.397273636610883</v>
      </c>
      <c r="F482" s="8">
        <v>28.458395090250999</v>
      </c>
      <c r="G482" s="8">
        <v>0.73059773505533177</v>
      </c>
      <c r="H482" s="8">
        <v>75.853522661453809</v>
      </c>
      <c r="I482" s="8">
        <v>66.043654414301571</v>
      </c>
      <c r="J482" s="8">
        <v>45.549630739839543</v>
      </c>
      <c r="K482" s="8">
        <v>30.12705047719588</v>
      </c>
      <c r="L482" s="8">
        <v>0.72661359560701266</v>
      </c>
      <c r="M482" s="8">
        <v>75.22464277314964</v>
      </c>
      <c r="N482" s="8">
        <v>77.529950532448098</v>
      </c>
      <c r="O482" s="8">
        <v>288.36700000000002</v>
      </c>
      <c r="P482" s="8">
        <v>282.52499999999998</v>
      </c>
      <c r="Q482" s="8">
        <v>101.44199999999999</v>
      </c>
      <c r="R482" s="8">
        <v>-0.64350700000000005</v>
      </c>
      <c r="S482" s="8">
        <v>-0.15867600000000001</v>
      </c>
      <c r="T482" s="7">
        <f>C482-D482</f>
        <v>9.4927674009733032</v>
      </c>
      <c r="U482" s="8">
        <f>D482/C482</f>
        <v>0.69014633346893606</v>
      </c>
      <c r="V482" s="8">
        <v>43.720762921597682</v>
      </c>
      <c r="W482" s="8">
        <v>28.918884976021801</v>
      </c>
      <c r="X482" s="8">
        <v>0.69368514903551726</v>
      </c>
      <c r="Y482" s="8">
        <v>75.705699505241512</v>
      </c>
      <c r="Z482" s="8">
        <v>65.757927365395815</v>
      </c>
      <c r="AA482" s="7">
        <v>44.635196830718613</v>
      </c>
      <c r="AB482" s="7">
        <v>29.52296772660884</v>
      </c>
      <c r="AC482" s="7">
        <v>0.71014937232126496</v>
      </c>
      <c r="AD482" s="7">
        <v>75.465171139195576</v>
      </c>
      <c r="AE482" s="7">
        <v>71.643938948921956</v>
      </c>
      <c r="AF482" s="8">
        <v>42.694091695695953</v>
      </c>
      <c r="AG482" s="8">
        <v>28.11783772467431</v>
      </c>
      <c r="AH482" s="8">
        <v>0.75348240529249288</v>
      </c>
      <c r="AI482" s="8">
        <v>76.336616420835043</v>
      </c>
      <c r="AJ482" s="8">
        <v>70.52992237169309</v>
      </c>
      <c r="AK482" s="8">
        <v>45.875615543990257</v>
      </c>
      <c r="AL482" s="8">
        <v>30.356419719045729</v>
      </c>
      <c r="AM482" s="8">
        <v>0.72354628553781675</v>
      </c>
      <c r="AN482" s="8">
        <v>75.097701237363282</v>
      </c>
      <c r="AO482" s="8">
        <v>78.329065086217952</v>
      </c>
      <c r="AP482" s="8">
        <v>44.073673833565643</v>
      </c>
      <c r="AQ482" s="8">
        <v>28.78787262268737</v>
      </c>
      <c r="AR482" s="8">
        <v>0.69772821152304254</v>
      </c>
      <c r="AS482" s="8">
        <v>75.962451368336474</v>
      </c>
      <c r="AT482" s="8">
        <v>68.623114896609792</v>
      </c>
      <c r="AU482" s="8">
        <v>44.181161064025083</v>
      </c>
      <c r="AV482" s="8">
        <v>29.555716229394079</v>
      </c>
      <c r="AW482" s="8">
        <v>0.69251045974059999</v>
      </c>
      <c r="AX482" s="8">
        <v>71.926118245937189</v>
      </c>
      <c r="AY482" s="8">
        <v>82.309354739531258</v>
      </c>
      <c r="AZ482" s="8">
        <v>46.022371265072373</v>
      </c>
      <c r="BA482" s="8">
        <v>30.33997038281273</v>
      </c>
      <c r="BB482" s="8">
        <v>0.69542733474017249</v>
      </c>
      <c r="BC482" s="8">
        <v>73.951718147778962</v>
      </c>
      <c r="BD482" s="8">
        <v>79.753478411027828</v>
      </c>
      <c r="BE482" s="8">
        <v>49.598714825152747</v>
      </c>
      <c r="BF482" s="8">
        <v>34.81146604652519</v>
      </c>
      <c r="BG482" s="8">
        <v>0.77245491232793451</v>
      </c>
      <c r="BH482" s="8">
        <v>71.068506147659107</v>
      </c>
      <c r="BI482" s="8">
        <v>89.983062936417809</v>
      </c>
    </row>
    <row r="483" spans="1:61" x14ac:dyDescent="0.15">
      <c r="A483" s="7">
        <v>2018</v>
      </c>
      <c r="B483" s="7">
        <v>117</v>
      </c>
      <c r="C483" s="7">
        <v>34.357802502176845</v>
      </c>
      <c r="D483" s="7">
        <v>23.877625877237154</v>
      </c>
      <c r="E483" s="8">
        <v>34.780324270407178</v>
      </c>
      <c r="F483" s="8">
        <v>24.634797819780271</v>
      </c>
      <c r="G483" s="8">
        <v>0.7306743269869056</v>
      </c>
      <c r="H483" s="8">
        <v>68.187509930464671</v>
      </c>
      <c r="I483" s="8">
        <v>57.263948910081609</v>
      </c>
      <c r="J483" s="8">
        <v>39.762929638216491</v>
      </c>
      <c r="K483" s="8">
        <v>27.436427596644339</v>
      </c>
      <c r="L483" s="8">
        <v>0.6935813798965792</v>
      </c>
      <c r="M483" s="8">
        <v>62.474125119439798</v>
      </c>
      <c r="N483" s="8">
        <v>64.74568101963996</v>
      </c>
      <c r="O483" s="8">
        <v>288.649</v>
      </c>
      <c r="P483" s="8">
        <v>283.83100000000002</v>
      </c>
      <c r="Q483" s="8">
        <v>91.191999999999993</v>
      </c>
      <c r="R483" s="8">
        <v>-0.34461700000000001</v>
      </c>
      <c r="S483" s="8">
        <v>-0.33303100000000002</v>
      </c>
      <c r="T483" s="7">
        <f>C483-D483</f>
        <v>10.480176624939691</v>
      </c>
      <c r="U483" s="8">
        <f>D483/C483</f>
        <v>0.69496953059568678</v>
      </c>
      <c r="V483" s="8">
        <v>37.72705048999525</v>
      </c>
      <c r="W483" s="8">
        <v>27.2102834657511</v>
      </c>
      <c r="X483" s="8">
        <v>0.75626045940049391</v>
      </c>
      <c r="Y483" s="8">
        <v>66.156646150369369</v>
      </c>
      <c r="Z483" s="8">
        <v>60.572582507396334</v>
      </c>
      <c r="AA483" s="7">
        <v>38.74499006410587</v>
      </c>
      <c r="AB483" s="7">
        <v>27.32335553119772</v>
      </c>
      <c r="AC483" s="7">
        <v>0.72492091964853655</v>
      </c>
      <c r="AD483" s="7">
        <v>64.315385634904587</v>
      </c>
      <c r="AE483" s="7">
        <v>62.659131763518147</v>
      </c>
      <c r="AF483" s="8">
        <v>38.905252755961733</v>
      </c>
      <c r="AG483" s="8">
        <v>26.532798442153439</v>
      </c>
      <c r="AH483" s="8">
        <v>0.69812157043257084</v>
      </c>
      <c r="AI483" s="8">
        <v>62.673388531693618</v>
      </c>
      <c r="AJ483" s="8">
        <v>63.622506583488729</v>
      </c>
      <c r="AK483" s="8">
        <v>39.869116761929071</v>
      </c>
      <c r="AL483" s="8">
        <v>27.548303972006082</v>
      </c>
      <c r="AM483" s="8">
        <v>0.69301926870517527</v>
      </c>
      <c r="AN483" s="8">
        <v>62.449454746428522</v>
      </c>
      <c r="AO483" s="8">
        <v>64.884738822490903</v>
      </c>
      <c r="AP483" s="8">
        <v>39.853008386259177</v>
      </c>
      <c r="AQ483" s="8">
        <v>28.03106707121513</v>
      </c>
      <c r="AR483" s="8">
        <v>0.72505441090766765</v>
      </c>
      <c r="AS483" s="8">
        <v>63.480333631304077</v>
      </c>
      <c r="AT483" s="8">
        <v>64.132699220855969</v>
      </c>
      <c r="AU483" s="8">
        <v>31.282976098617841</v>
      </c>
      <c r="AV483" s="8">
        <v>21.69459754413894</v>
      </c>
      <c r="AW483" s="8">
        <v>0.68482303313615245</v>
      </c>
      <c r="AX483" s="8">
        <v>63.969835122919392</v>
      </c>
      <c r="AY483" s="8">
        <v>50.50519667865639</v>
      </c>
      <c r="AZ483" s="8">
        <v>40.214741099015093</v>
      </c>
      <c r="BA483" s="8">
        <v>28.739561874920479</v>
      </c>
      <c r="BB483" s="8">
        <v>0.69911091490576405</v>
      </c>
      <c r="BC483" s="8">
        <v>62.3121563935075</v>
      </c>
      <c r="BD483" s="8">
        <v>65.781316828972081</v>
      </c>
      <c r="BE483" s="8">
        <v>32.093832678585763</v>
      </c>
      <c r="BF483" s="8">
        <v>23.859563905669269</v>
      </c>
      <c r="BG483" s="8">
        <v>0.79729468057656205</v>
      </c>
      <c r="BH483" s="8">
        <v>61.900707679899241</v>
      </c>
      <c r="BI483" s="8">
        <v>52.906704288771607</v>
      </c>
    </row>
    <row r="484" spans="1:61" x14ac:dyDescent="0.15">
      <c r="A484" s="7">
        <v>2022</v>
      </c>
      <c r="B484" s="7">
        <v>67</v>
      </c>
      <c r="C484" s="7">
        <v>40.582120892114837</v>
      </c>
      <c r="D484" s="7">
        <v>39.083199358852504</v>
      </c>
      <c r="E484" s="8">
        <v>38.537005396306363</v>
      </c>
      <c r="F484" s="8">
        <v>24.923807096645639</v>
      </c>
      <c r="G484" s="8">
        <v>0.73073130179610701</v>
      </c>
      <c r="H484" s="8">
        <v>69.87218767953145</v>
      </c>
      <c r="I484" s="8">
        <v>59.880545130017033</v>
      </c>
      <c r="J484" s="8">
        <v>39.475195706774599</v>
      </c>
      <c r="K484" s="8">
        <v>29.141742680559862</v>
      </c>
      <c r="L484" s="8">
        <v>0.75644338739555272</v>
      </c>
      <c r="M484" s="8">
        <v>68.736957124989189</v>
      </c>
      <c r="N484" s="8">
        <v>78.926839102272751</v>
      </c>
      <c r="O484" s="8">
        <v>286.96800000000002</v>
      </c>
      <c r="P484" s="8">
        <v>278.303</v>
      </c>
      <c r="Q484" s="8">
        <v>97.539699999999996</v>
      </c>
      <c r="R484" s="8">
        <v>0.10782600000000001</v>
      </c>
      <c r="S484" s="8">
        <v>0.179566</v>
      </c>
      <c r="T484" s="7">
        <f>C484-D484</f>
        <v>1.4989215332623331</v>
      </c>
      <c r="U484" s="8">
        <f>D484/C484</f>
        <v>0.96306448504140219</v>
      </c>
      <c r="V484" s="8">
        <v>38.04398319089124</v>
      </c>
      <c r="W484" s="8">
        <v>28.865993622506839</v>
      </c>
      <c r="X484" s="8">
        <v>0.68870223806751008</v>
      </c>
      <c r="Y484" s="8">
        <v>61.256217545335247</v>
      </c>
      <c r="Z484" s="8">
        <v>66.988037939347592</v>
      </c>
      <c r="AA484" s="7">
        <v>38.759589448832919</v>
      </c>
      <c r="AB484" s="7">
        <v>29.00386815153335</v>
      </c>
      <c r="AC484" s="7">
        <v>0.7225728127315314</v>
      </c>
      <c r="AD484" s="7">
        <v>64.996587335162218</v>
      </c>
      <c r="AE484" s="7">
        <v>72.957438520810172</v>
      </c>
      <c r="AF484" s="8">
        <v>40.870355092875833</v>
      </c>
      <c r="AG484" s="8">
        <v>27.57980930726545</v>
      </c>
      <c r="AH484" s="8">
        <v>0.77819685148817719</v>
      </c>
      <c r="AI484" s="8">
        <v>68.75827323555788</v>
      </c>
      <c r="AJ484" s="8">
        <v>73.912872001131859</v>
      </c>
      <c r="AK484" s="8">
        <v>39.346423672672621</v>
      </c>
      <c r="AL484" s="8">
        <v>29.285907812955919</v>
      </c>
      <c r="AM484" s="8">
        <v>0.75443556101537135</v>
      </c>
      <c r="AN484" s="8">
        <v>68.734989665970247</v>
      </c>
      <c r="AO484" s="8">
        <v>79.389624034923784</v>
      </c>
      <c r="AP484" s="8">
        <v>38.968216604776899</v>
      </c>
      <c r="AQ484" s="8">
        <v>29.299337600238179</v>
      </c>
      <c r="AR484" s="8">
        <v>0.7149648805632457</v>
      </c>
      <c r="AS484" s="8">
        <v>63.025429492121951</v>
      </c>
      <c r="AT484" s="8">
        <v>71.850507747068733</v>
      </c>
      <c r="AU484" s="8">
        <v>37.588074531042267</v>
      </c>
      <c r="AV484" s="8">
        <v>27.804827906849209</v>
      </c>
      <c r="AW484" s="8">
        <v>0.7303875960553563</v>
      </c>
      <c r="AX484" s="8">
        <v>62.133035112639313</v>
      </c>
      <c r="AY484" s="8">
        <v>70.109705490012601</v>
      </c>
      <c r="AZ484" s="8">
        <v>38.63981263645011</v>
      </c>
      <c r="BA484" s="8">
        <v>30.084498781598018</v>
      </c>
      <c r="BB484" s="8">
        <v>0.73715600278030524</v>
      </c>
      <c r="BC484" s="8">
        <v>69.75127456182021</v>
      </c>
      <c r="BD484" s="8">
        <v>82.351935835045836</v>
      </c>
      <c r="BE484" s="8">
        <v>42.151549721352431</v>
      </c>
      <c r="BF484" s="8">
        <v>32.707156736643718</v>
      </c>
      <c r="BG484" s="8">
        <v>0.82273881394116344</v>
      </c>
      <c r="BH484" s="8">
        <v>63.829796691242002</v>
      </c>
      <c r="BI484" s="8">
        <v>102.83089959244791</v>
      </c>
    </row>
    <row r="485" spans="1:61" x14ac:dyDescent="0.15">
      <c r="A485" s="7">
        <v>2022</v>
      </c>
      <c r="B485" s="7">
        <v>11</v>
      </c>
      <c r="C485" s="7">
        <v>331.05811840804347</v>
      </c>
      <c r="D485" s="7">
        <v>182.98281022601356</v>
      </c>
      <c r="E485" s="8">
        <v>29.304342984347951</v>
      </c>
      <c r="F485" s="8">
        <v>28.74750495265992</v>
      </c>
      <c r="G485" s="8">
        <v>0.73080379815703456</v>
      </c>
      <c r="H485" s="8">
        <v>61.933412380073918</v>
      </c>
      <c r="I485" s="8">
        <v>43.866656351262208</v>
      </c>
      <c r="J485" s="8">
        <v>36.993411144449013</v>
      </c>
      <c r="K485" s="8">
        <v>35.189197135590582</v>
      </c>
      <c r="L485" s="8">
        <v>0.77059598844306743</v>
      </c>
      <c r="M485" s="8">
        <v>61.647421549833787</v>
      </c>
      <c r="N485" s="8">
        <v>55.745796143548318</v>
      </c>
      <c r="O485" s="8">
        <v>286.33800000000002</v>
      </c>
      <c r="P485" s="8">
        <v>276.60199999999998</v>
      </c>
      <c r="Q485" s="8">
        <v>101.035</v>
      </c>
      <c r="R485" s="8">
        <v>0.18623100000000001</v>
      </c>
      <c r="S485" s="8">
        <v>3.10479E-2</v>
      </c>
      <c r="T485" s="7">
        <f>C485-D485</f>
        <v>148.07530818202991</v>
      </c>
      <c r="U485" s="8">
        <f>D485/C485</f>
        <v>0.55272110862564416</v>
      </c>
      <c r="V485" s="8">
        <v>36.707800127357132</v>
      </c>
      <c r="W485" s="8">
        <v>35.134396712992974</v>
      </c>
      <c r="X485" s="8">
        <v>0.72712689846980172</v>
      </c>
      <c r="Y485" s="8">
        <v>62.184259162770608</v>
      </c>
      <c r="Z485" s="8">
        <v>63.001769984903248</v>
      </c>
      <c r="AA485" s="7">
        <v>36.850605635903072</v>
      </c>
      <c r="AB485" s="7">
        <v>35.161796924291778</v>
      </c>
      <c r="AC485" s="7">
        <v>0.74886144345643457</v>
      </c>
      <c r="AD485" s="7">
        <v>61.915840356302198</v>
      </c>
      <c r="AE485" s="7">
        <v>59.373783064225783</v>
      </c>
      <c r="AF485" s="8">
        <v>36.168268005005388</v>
      </c>
      <c r="AG485" s="8">
        <v>34.716052929912678</v>
      </c>
      <c r="AH485" s="8">
        <v>0.77825846422073963</v>
      </c>
      <c r="AI485" s="8">
        <v>61.379654778209478</v>
      </c>
      <c r="AJ485" s="8">
        <v>47.545537881339953</v>
      </c>
      <c r="AK485" s="8">
        <v>37.117488259982792</v>
      </c>
      <c r="AL485" s="8">
        <v>35.260344025706686</v>
      </c>
      <c r="AM485" s="8">
        <v>0.76944377878768266</v>
      </c>
      <c r="AN485" s="8">
        <v>61.687685750153427</v>
      </c>
      <c r="AO485" s="8">
        <v>56.978872373804563</v>
      </c>
      <c r="AP485" s="8">
        <v>37.232656177242532</v>
      </c>
      <c r="AQ485" s="8">
        <v>36.18744621358703</v>
      </c>
      <c r="AR485" s="8">
        <v>0.7312177353860555</v>
      </c>
      <c r="AS485" s="8">
        <v>61.694184243310012</v>
      </c>
      <c r="AT485" s="8">
        <v>59.039657304833497</v>
      </c>
      <c r="AU485" s="8">
        <v>34.703508072004269</v>
      </c>
      <c r="AV485" s="8">
        <v>34.539118292541858</v>
      </c>
      <c r="AW485" s="8">
        <v>0.68889876812436723</v>
      </c>
      <c r="AX485" s="8">
        <v>62.628774680883147</v>
      </c>
      <c r="AY485" s="8">
        <v>51.476682653955898</v>
      </c>
      <c r="AZ485" s="8">
        <v>38.356603130011663</v>
      </c>
      <c r="BA485" s="8">
        <v>35.412932823199917</v>
      </c>
      <c r="BB485" s="8">
        <v>0.75157055393786842</v>
      </c>
      <c r="BC485" s="8">
        <v>62.568820539410481</v>
      </c>
      <c r="BD485" s="8">
        <v>64.988815927116207</v>
      </c>
      <c r="BE485" s="8">
        <v>39.580279244723229</v>
      </c>
      <c r="BF485" s="8">
        <v>34.582698203677182</v>
      </c>
      <c r="BG485" s="8">
        <v>0.78254312778031199</v>
      </c>
      <c r="BH485" s="8">
        <v>62.680184783979463</v>
      </c>
      <c r="BI485" s="8">
        <v>64.76741837818939</v>
      </c>
    </row>
    <row r="486" spans="1:61" x14ac:dyDescent="0.15">
      <c r="A486" s="7">
        <v>2017</v>
      </c>
      <c r="B486" s="7">
        <v>83</v>
      </c>
      <c r="C486" s="7">
        <v>6.355069250810164</v>
      </c>
      <c r="D486" s="7">
        <v>0.3172782725454788</v>
      </c>
      <c r="E486" s="8">
        <v>27.988684889925711</v>
      </c>
      <c r="F486" s="8">
        <v>15.18893492844875</v>
      </c>
      <c r="G486" s="8">
        <v>0.73100767056813976</v>
      </c>
      <c r="H486" s="8">
        <v>56.646639183307251</v>
      </c>
      <c r="I486" s="8">
        <v>40.65218859285153</v>
      </c>
      <c r="J486" s="8">
        <v>28.23018371564417</v>
      </c>
      <c r="K486" s="8">
        <v>15.60089567778401</v>
      </c>
      <c r="L486" s="8">
        <v>0.77930549977097341</v>
      </c>
      <c r="M486" s="8">
        <v>62.319686924672553</v>
      </c>
      <c r="N486" s="8">
        <v>42.843714377002527</v>
      </c>
      <c r="O486" s="8">
        <v>297.10199999999998</v>
      </c>
      <c r="P486" s="8">
        <v>293.49</v>
      </c>
      <c r="Q486" s="8">
        <v>100.825</v>
      </c>
      <c r="R486" s="8">
        <v>-1.91754</v>
      </c>
      <c r="S486" s="8">
        <v>-0.11119</v>
      </c>
      <c r="T486" s="7">
        <f>C486-D486</f>
        <v>6.0377909782646855</v>
      </c>
      <c r="U486" s="8">
        <f>D486/C486</f>
        <v>4.9925226622043684E-2</v>
      </c>
      <c r="V486" s="8">
        <v>30.452974986258408</v>
      </c>
      <c r="W486" s="8">
        <v>20.569575928585991</v>
      </c>
      <c r="X486" s="8">
        <v>0.7986814558596389</v>
      </c>
      <c r="Y486" s="8">
        <v>57.201042532465692</v>
      </c>
      <c r="Z486" s="8">
        <v>44.940085994869634</v>
      </c>
      <c r="AA486" s="7">
        <v>29.341579350951289</v>
      </c>
      <c r="AB486" s="7">
        <v>18.085235803185</v>
      </c>
      <c r="AC486" s="7">
        <v>0.78899347781530615</v>
      </c>
      <c r="AD486" s="7">
        <v>59.760364728569122</v>
      </c>
      <c r="AE486" s="7">
        <v>43.89190018593608</v>
      </c>
      <c r="AF486" s="8">
        <v>28.1316588016049</v>
      </c>
      <c r="AG486" s="8">
        <v>16.168938139629301</v>
      </c>
      <c r="AH486" s="8">
        <v>0.79892711332070354</v>
      </c>
      <c r="AI486" s="8">
        <v>60.486472169114897</v>
      </c>
      <c r="AJ486" s="8">
        <v>44.293740828716743</v>
      </c>
      <c r="AK486" s="8">
        <v>28.235891004524909</v>
      </c>
      <c r="AL486" s="8">
        <v>15.56799047347209</v>
      </c>
      <c r="AM486" s="8">
        <v>0.77816887135646018</v>
      </c>
      <c r="AN486" s="8">
        <v>62.425880229101409</v>
      </c>
      <c r="AO486" s="8">
        <v>42.759718162183752</v>
      </c>
      <c r="AP486" s="8">
        <v>27.909895130284731</v>
      </c>
      <c r="AQ486" s="8">
        <v>15.525876158408581</v>
      </c>
      <c r="AR486" s="8">
        <v>0.76745349428720766</v>
      </c>
      <c r="AS486" s="8">
        <v>60.272010465484932</v>
      </c>
      <c r="AT486" s="8">
        <v>42.346925574982237</v>
      </c>
      <c r="AU486" s="8">
        <v>23.164986032317159</v>
      </c>
      <c r="AV486" s="8">
        <v>14.923778823078351</v>
      </c>
      <c r="AW486" s="8">
        <v>0.7121667066308327</v>
      </c>
      <c r="AX486" s="8">
        <v>64.877409895440408</v>
      </c>
      <c r="AY486" s="8">
        <v>37.000694285003767</v>
      </c>
      <c r="AZ486" s="8">
        <v>28.063799123559559</v>
      </c>
      <c r="BA486" s="8">
        <v>16.156513163909342</v>
      </c>
      <c r="BB486" s="8">
        <v>0.7798939456388535</v>
      </c>
      <c r="BC486" s="8">
        <v>65.371445564849822</v>
      </c>
      <c r="BD486" s="8">
        <v>43.109242186629793</v>
      </c>
      <c r="BE486" s="8">
        <v>22.9433576091457</v>
      </c>
      <c r="BF486" s="8">
        <v>15.199988301351491</v>
      </c>
      <c r="BG486" s="8">
        <v>0.70468024397243156</v>
      </c>
      <c r="BH486" s="8">
        <v>61.489058065016302</v>
      </c>
      <c r="BI486" s="8">
        <v>36.621938195774042</v>
      </c>
    </row>
    <row r="487" spans="1:61" x14ac:dyDescent="0.15">
      <c r="A487" s="7">
        <v>2018</v>
      </c>
      <c r="B487" s="7">
        <v>132</v>
      </c>
      <c r="C487" s="7">
        <v>86.585162351143111</v>
      </c>
      <c r="D487" s="7">
        <v>39.003899640108031</v>
      </c>
      <c r="E487" s="8">
        <v>33.547057444186592</v>
      </c>
      <c r="F487" s="8">
        <v>27.338072106526681</v>
      </c>
      <c r="G487" s="8">
        <v>0.73141675884911583</v>
      </c>
      <c r="H487" s="8">
        <v>74.673106955034328</v>
      </c>
      <c r="I487" s="8">
        <v>75.603342367439438</v>
      </c>
      <c r="J487" s="8">
        <v>39.661725336723613</v>
      </c>
      <c r="K487" s="8">
        <v>32.496853185995029</v>
      </c>
      <c r="L487" s="8">
        <v>0.79255907550668048</v>
      </c>
      <c r="M487" s="8">
        <v>72.547921115301492</v>
      </c>
      <c r="N487" s="8">
        <v>99.689335370288049</v>
      </c>
      <c r="O487" s="8">
        <v>282.78899999999999</v>
      </c>
      <c r="P487" s="8">
        <v>269.64400000000001</v>
      </c>
      <c r="Q487" s="8">
        <v>86.453699999999998</v>
      </c>
      <c r="R487" s="8">
        <v>2.6315700000000001E-2</v>
      </c>
      <c r="S487" s="8">
        <v>0.16175800000000001</v>
      </c>
      <c r="T487" s="7">
        <f>C487-D487</f>
        <v>47.58126271103508</v>
      </c>
      <c r="U487" s="8">
        <f>D487/C487</f>
        <v>0.45046863204955456</v>
      </c>
      <c r="V487" s="8">
        <v>34.903883670864992</v>
      </c>
      <c r="W487" s="8">
        <v>29.415605847636449</v>
      </c>
      <c r="X487" s="8">
        <v>0.79060143449664078</v>
      </c>
      <c r="Y487" s="8">
        <v>70.161553346062888</v>
      </c>
      <c r="Z487" s="8">
        <v>95.865394398952546</v>
      </c>
      <c r="AA487" s="7">
        <v>37.282804503794303</v>
      </c>
      <c r="AB487" s="7">
        <v>30.956229516815739</v>
      </c>
      <c r="AC487" s="7">
        <v>0.79158025500166063</v>
      </c>
      <c r="AD487" s="7">
        <v>71.35473723068219</v>
      </c>
      <c r="AE487" s="7">
        <v>97.777364884620297</v>
      </c>
      <c r="AF487" s="8">
        <v>40.345638664344428</v>
      </c>
      <c r="AG487" s="8">
        <v>33.130741030974221</v>
      </c>
      <c r="AH487" s="8">
        <v>0.79779623994428162</v>
      </c>
      <c r="AI487" s="8">
        <v>71.775996638381201</v>
      </c>
      <c r="AJ487" s="8">
        <v>102.85945548208809</v>
      </c>
      <c r="AK487" s="8">
        <v>39.533876639696693</v>
      </c>
      <c r="AL487" s="8">
        <v>32.378356101980437</v>
      </c>
      <c r="AM487" s="8">
        <v>0.79158005576481905</v>
      </c>
      <c r="AN487" s="8">
        <v>72.692222351425599</v>
      </c>
      <c r="AO487" s="8">
        <v>99.096722667268537</v>
      </c>
      <c r="AP487" s="8">
        <v>34.777884985332378</v>
      </c>
      <c r="AQ487" s="8">
        <v>29.824298831186489</v>
      </c>
      <c r="AR487" s="8">
        <v>0.72993664599788455</v>
      </c>
      <c r="AS487" s="8">
        <v>73.467344425552753</v>
      </c>
      <c r="AT487" s="8">
        <v>89.403767572018381</v>
      </c>
      <c r="AU487" s="8">
        <v>39.198676853284077</v>
      </c>
      <c r="AV487" s="8">
        <v>32.00296654797615</v>
      </c>
      <c r="AW487" s="8">
        <v>0.84294280404068223</v>
      </c>
      <c r="AX487" s="8">
        <v>69.453091689334272</v>
      </c>
      <c r="AY487" s="8">
        <v>104.9719891531942</v>
      </c>
      <c r="AZ487" s="8">
        <v>40.915802784756259</v>
      </c>
      <c r="BA487" s="8">
        <v>32.526975294616292</v>
      </c>
      <c r="BB487" s="8">
        <v>0.81169858516364579</v>
      </c>
      <c r="BC487" s="8">
        <v>74.037658210825114</v>
      </c>
      <c r="BD487" s="8">
        <v>101.0442775228592</v>
      </c>
      <c r="BE487" s="8">
        <v>32.766223066466303</v>
      </c>
      <c r="BF487" s="8">
        <v>28.914771970738538</v>
      </c>
      <c r="BG487" s="8">
        <v>0.74207583153645329</v>
      </c>
      <c r="BH487" s="8">
        <v>69.478032704724654</v>
      </c>
      <c r="BI487" s="8">
        <v>91.091215010959587</v>
      </c>
    </row>
    <row r="488" spans="1:61" x14ac:dyDescent="0.15">
      <c r="A488" s="7">
        <v>2018</v>
      </c>
      <c r="B488" s="7">
        <v>137</v>
      </c>
      <c r="C488" s="7">
        <v>44.991425281857509</v>
      </c>
      <c r="D488" s="7">
        <v>20.352492432103038</v>
      </c>
      <c r="E488" s="8">
        <v>28.62288146048088</v>
      </c>
      <c r="F488" s="8">
        <v>16.338743195176601</v>
      </c>
      <c r="G488" s="8">
        <v>0.73166228418748924</v>
      </c>
      <c r="H488" s="8">
        <v>58.152751682965587</v>
      </c>
      <c r="I488" s="8">
        <v>41.801162951139098</v>
      </c>
      <c r="J488" s="8">
        <v>31.99233991926517</v>
      </c>
      <c r="K488" s="8">
        <v>16.559522809427659</v>
      </c>
      <c r="L488" s="8">
        <v>0.71857677966997857</v>
      </c>
      <c r="M488" s="8">
        <v>57.276584780851373</v>
      </c>
      <c r="N488" s="8">
        <v>49.391326761336131</v>
      </c>
      <c r="O488" s="8">
        <v>291.41800000000001</v>
      </c>
      <c r="P488" s="8">
        <v>287.64800000000002</v>
      </c>
      <c r="Q488" s="8">
        <v>95.575999999999993</v>
      </c>
      <c r="R488" s="8">
        <v>-0.53766199999999997</v>
      </c>
      <c r="S488" s="8">
        <v>-0.43106800000000001</v>
      </c>
      <c r="T488" s="7">
        <f>C488-D488</f>
        <v>24.638932849754472</v>
      </c>
      <c r="U488" s="8">
        <f>D488/C488</f>
        <v>0.45236380720550418</v>
      </c>
      <c r="V488" s="8">
        <v>26.559447516672613</v>
      </c>
      <c r="W488" s="8">
        <v>15.260391926582322</v>
      </c>
      <c r="X488" s="8">
        <v>0.72140503589467897</v>
      </c>
      <c r="Y488" s="8">
        <v>58.393392269802654</v>
      </c>
      <c r="Z488" s="8">
        <v>37.598328580236227</v>
      </c>
      <c r="AA488" s="7">
        <v>29.275893717968891</v>
      </c>
      <c r="AB488" s="7">
        <v>15.90995736800499</v>
      </c>
      <c r="AC488" s="7">
        <v>0.71999090778232877</v>
      </c>
      <c r="AD488" s="7">
        <v>57.834988525327013</v>
      </c>
      <c r="AE488" s="7">
        <v>43.494827670786179</v>
      </c>
      <c r="AF488" s="8">
        <v>32.633169527151743</v>
      </c>
      <c r="AG488" s="8">
        <v>17.59166248359681</v>
      </c>
      <c r="AH488" s="8">
        <v>0.74277046852266482</v>
      </c>
      <c r="AI488" s="8">
        <v>57.12806056352315</v>
      </c>
      <c r="AJ488" s="8">
        <v>51.696145172608723</v>
      </c>
      <c r="AK488" s="8">
        <v>31.903013299520541</v>
      </c>
      <c r="AL488" s="8">
        <v>16.41565063644564</v>
      </c>
      <c r="AM488" s="8">
        <v>0.71520436925421893</v>
      </c>
      <c r="AN488" s="8">
        <v>57.297287891508027</v>
      </c>
      <c r="AO488" s="8">
        <v>49.070053157135533</v>
      </c>
      <c r="AP488" s="8">
        <v>31.26415766369804</v>
      </c>
      <c r="AQ488" s="8">
        <v>14.144006120719739</v>
      </c>
      <c r="AR488" s="8">
        <v>0.67339151190238467</v>
      </c>
      <c r="AS488" s="8">
        <v>56.649624231394903</v>
      </c>
      <c r="AT488" s="8">
        <v>48.763230624342057</v>
      </c>
      <c r="AU488" s="8">
        <v>24.66326295396868</v>
      </c>
      <c r="AV488" s="8">
        <v>11.273225536673751</v>
      </c>
      <c r="AW488" s="8">
        <v>0.68564421715060386</v>
      </c>
      <c r="AX488" s="8">
        <v>61.545211721591173</v>
      </c>
      <c r="AY488" s="8">
        <v>38.262473918575743</v>
      </c>
      <c r="AZ488" s="8">
        <v>33.715821533655728</v>
      </c>
      <c r="BA488" s="8">
        <v>20.26771344147085</v>
      </c>
      <c r="BB488" s="8">
        <v>0.76733119155487817</v>
      </c>
      <c r="BC488" s="8">
        <v>57.176263994361193</v>
      </c>
      <c r="BD488" s="8">
        <v>52.31009382348438</v>
      </c>
      <c r="BE488" s="8">
        <v>28.896932661634072</v>
      </c>
      <c r="BF488" s="8">
        <v>19.791252821041891</v>
      </c>
      <c r="BG488" s="8">
        <v>0.62239899225695572</v>
      </c>
      <c r="BH488" s="8">
        <v>57.745654007300409</v>
      </c>
      <c r="BI488" s="8">
        <v>51.486615020580459</v>
      </c>
    </row>
    <row r="489" spans="1:61" x14ac:dyDescent="0.15">
      <c r="A489" s="7">
        <v>2022</v>
      </c>
      <c r="B489" s="7">
        <v>128</v>
      </c>
      <c r="C489" s="7">
        <v>51.359667232504123</v>
      </c>
      <c r="D489" s="7">
        <v>22.582740642343104</v>
      </c>
      <c r="E489" s="8">
        <v>34.973663284431296</v>
      </c>
      <c r="F489" s="8">
        <v>20.170378013443571</v>
      </c>
      <c r="G489" s="8">
        <v>0.73178870912650695</v>
      </c>
      <c r="H489" s="8">
        <v>69.249433700024738</v>
      </c>
      <c r="I489" s="8">
        <v>40.16951817853726</v>
      </c>
      <c r="J489" s="8">
        <v>37.537674836340749</v>
      </c>
      <c r="K489" s="8">
        <v>22.58335099887374</v>
      </c>
      <c r="L489" s="8">
        <v>0.69056092010041836</v>
      </c>
      <c r="M489" s="8">
        <v>71.34137592350433</v>
      </c>
      <c r="N489" s="8">
        <v>68.306910821715988</v>
      </c>
      <c r="O489" s="8">
        <v>289.55599999999998</v>
      </c>
      <c r="P489" s="8">
        <v>281.02300000000002</v>
      </c>
      <c r="Q489" s="8">
        <v>100.81399999999999</v>
      </c>
      <c r="R489" s="8">
        <v>-0.30677399999999999</v>
      </c>
      <c r="S489" s="8">
        <v>0.117608</v>
      </c>
      <c r="T489" s="7">
        <f>C489-D489</f>
        <v>28.776926590161018</v>
      </c>
      <c r="U489" s="8">
        <f>D489/C489</f>
        <v>0.43969795481951851</v>
      </c>
      <c r="V489" s="8">
        <v>32.856631678003687</v>
      </c>
      <c r="W489" s="8">
        <v>27.083106685849657</v>
      </c>
      <c r="X489" s="8">
        <v>0.66497233003409995</v>
      </c>
      <c r="Y489" s="8">
        <v>59.31706692337977</v>
      </c>
      <c r="Z489" s="8">
        <v>64.31841960352476</v>
      </c>
      <c r="AA489" s="7">
        <v>35.197153257172218</v>
      </c>
      <c r="AB489" s="7">
        <v>24.833228842361699</v>
      </c>
      <c r="AC489" s="7">
        <v>0.67776662506725915</v>
      </c>
      <c r="AD489" s="7">
        <v>65.32922142344205</v>
      </c>
      <c r="AE489" s="7">
        <v>66.312665212620374</v>
      </c>
      <c r="AF489" s="8">
        <v>36.153982069044417</v>
      </c>
      <c r="AG489" s="8">
        <v>21.54365464406585</v>
      </c>
      <c r="AH489" s="8">
        <v>0.681430752811503</v>
      </c>
      <c r="AI489" s="8">
        <v>70.618214960174257</v>
      </c>
      <c r="AJ489" s="8">
        <v>59.127356805430182</v>
      </c>
      <c r="AK489" s="8">
        <v>37.779245901415052</v>
      </c>
      <c r="AL489" s="8">
        <v>22.76486568314543</v>
      </c>
      <c r="AM489" s="8">
        <v>0.69215490417579884</v>
      </c>
      <c r="AN489" s="8">
        <v>71.467628490736558</v>
      </c>
      <c r="AO489" s="8">
        <v>69.909517045461826</v>
      </c>
      <c r="AP489" s="8">
        <v>34.275307031807039</v>
      </c>
      <c r="AQ489" s="8">
        <v>25.311293440380169</v>
      </c>
      <c r="AR489" s="8">
        <v>0.6764489242739351</v>
      </c>
      <c r="AS489" s="8">
        <v>63.687334580524713</v>
      </c>
      <c r="AT489" s="8">
        <v>64.783190374614421</v>
      </c>
      <c r="AU489" s="8">
        <v>41.301137780852549</v>
      </c>
      <c r="AV489" s="8">
        <v>30.591682186519421</v>
      </c>
      <c r="AW489" s="8">
        <v>0.86007926837947402</v>
      </c>
      <c r="AX489" s="8">
        <v>66.731011616103217</v>
      </c>
      <c r="AY489" s="8">
        <v>91.124153394181747</v>
      </c>
      <c r="AZ489" s="8">
        <v>38.399429393243317</v>
      </c>
      <c r="BA489" s="8">
        <v>22.794043634849189</v>
      </c>
      <c r="BB489" s="8">
        <v>0.67977589255560833</v>
      </c>
      <c r="BC489" s="8">
        <v>71.705034053796439</v>
      </c>
      <c r="BD489" s="8">
        <v>72.229526321916026</v>
      </c>
      <c r="BE489" s="8">
        <v>40.239496003414658</v>
      </c>
      <c r="BF489" s="8">
        <v>35.223181821495487</v>
      </c>
      <c r="BG489" s="8">
        <v>0.84394376672388582</v>
      </c>
      <c r="BH489" s="8">
        <v>65.844135111681169</v>
      </c>
      <c r="BI489" s="8">
        <v>94.060605502020209</v>
      </c>
    </row>
    <row r="490" spans="1:61" x14ac:dyDescent="0.15">
      <c r="A490" s="7">
        <v>2019</v>
      </c>
      <c r="B490" s="7">
        <v>68</v>
      </c>
      <c r="C490" s="7">
        <v>47.124527364126486</v>
      </c>
      <c r="D490" s="7">
        <v>43.718400212497748</v>
      </c>
      <c r="E490" s="8">
        <v>30.769609188898091</v>
      </c>
      <c r="F490" s="8">
        <v>16.088825473672991</v>
      </c>
      <c r="G490" s="8">
        <v>0.73179696705620778</v>
      </c>
      <c r="H490" s="8">
        <v>64.215561182536916</v>
      </c>
      <c r="I490" s="8">
        <v>47.00062124972299</v>
      </c>
      <c r="J490" s="8">
        <v>36.20087409960081</v>
      </c>
      <c r="K490" s="8">
        <v>19.10056540889936</v>
      </c>
      <c r="L490" s="8">
        <v>0.81078421657204691</v>
      </c>
      <c r="M490" s="8">
        <v>59.464743403549789</v>
      </c>
      <c r="N490" s="8">
        <v>51.865414724963443</v>
      </c>
      <c r="O490" s="8">
        <v>289.72000000000003</v>
      </c>
      <c r="P490" s="8">
        <v>285.47000000000003</v>
      </c>
      <c r="Q490" s="8">
        <v>97.642499999999998</v>
      </c>
      <c r="R490" s="8">
        <v>-0.40778999999999999</v>
      </c>
      <c r="S490" s="8">
        <v>-0.77597799999999995</v>
      </c>
      <c r="T490" s="7">
        <f>C490-D490</f>
        <v>3.4061271516287377</v>
      </c>
      <c r="U490" s="8">
        <f>D490/C490</f>
        <v>0.92772071483476248</v>
      </c>
      <c r="V490" s="8">
        <v>32.490142509741432</v>
      </c>
      <c r="W490" s="8">
        <v>16.239784385736858</v>
      </c>
      <c r="X490" s="8">
        <v>0.69606142956129857</v>
      </c>
      <c r="Y490" s="8">
        <v>63.343916157816665</v>
      </c>
      <c r="Z490" s="8">
        <v>48.76614856125471</v>
      </c>
      <c r="AA490" s="7">
        <v>34.345508304671121</v>
      </c>
      <c r="AB490" s="7">
        <v>17.670174897318109</v>
      </c>
      <c r="AC490" s="7">
        <v>0.75342282306667274</v>
      </c>
      <c r="AD490" s="7">
        <v>61.404329780683227</v>
      </c>
      <c r="AE490" s="7">
        <v>50.315781643109077</v>
      </c>
      <c r="AF490" s="8">
        <v>36.897593323990122</v>
      </c>
      <c r="AG490" s="8">
        <v>19.492415050749258</v>
      </c>
      <c r="AH490" s="8">
        <v>0.86515358597440462</v>
      </c>
      <c r="AI490" s="8">
        <v>61.870041492971531</v>
      </c>
      <c r="AJ490" s="8">
        <v>53.964348154969208</v>
      </c>
      <c r="AK490" s="8">
        <v>36.133321367746049</v>
      </c>
      <c r="AL490" s="8">
        <v>19.06257232236371</v>
      </c>
      <c r="AM490" s="8">
        <v>0.80551265336009581</v>
      </c>
      <c r="AN490" s="8">
        <v>59.231529719790878</v>
      </c>
      <c r="AO490" s="8">
        <v>51.6619056466795</v>
      </c>
      <c r="AP490" s="8">
        <v>36.363020194927849</v>
      </c>
      <c r="AQ490" s="8">
        <v>18.699566495036521</v>
      </c>
      <c r="AR490" s="8">
        <v>0.75464997833525727</v>
      </c>
      <c r="AS490" s="8">
        <v>58.974353595932342</v>
      </c>
      <c r="AT490" s="8">
        <v>51.560340321471621</v>
      </c>
      <c r="AU490" s="8">
        <v>35.242822677017912</v>
      </c>
      <c r="AV490" s="8">
        <v>24.763228284187409</v>
      </c>
      <c r="AW490" s="8">
        <v>0.81633222530641902</v>
      </c>
      <c r="AX490" s="8">
        <v>56.445762830615053</v>
      </c>
      <c r="AY490" s="8">
        <v>61.436834730027023</v>
      </c>
      <c r="AZ490" s="8">
        <v>38.469215839350078</v>
      </c>
      <c r="BA490" s="8">
        <v>20.722710703647252</v>
      </c>
      <c r="BB490" s="8">
        <v>0.90105551021522556</v>
      </c>
      <c r="BC490" s="8">
        <v>60.974190602495199</v>
      </c>
      <c r="BD490" s="8">
        <v>55.971057230194333</v>
      </c>
      <c r="BE490" s="8">
        <v>36.068451421788858</v>
      </c>
      <c r="BF490" s="8">
        <v>29.908914312467662</v>
      </c>
      <c r="BG490" s="8">
        <v>0.64642295357644319</v>
      </c>
      <c r="BH490" s="8">
        <v>54.841082262455792</v>
      </c>
      <c r="BI490" s="8">
        <v>66.486528897153178</v>
      </c>
    </row>
    <row r="491" spans="1:61" x14ac:dyDescent="0.15">
      <c r="A491" s="7">
        <v>2018</v>
      </c>
      <c r="B491" s="7">
        <v>130</v>
      </c>
      <c r="C491" s="7">
        <v>20.62882731507321</v>
      </c>
      <c r="D491" s="7">
        <v>9.4099702762421416</v>
      </c>
      <c r="E491" s="8">
        <v>26.949593269471581</v>
      </c>
      <c r="F491" s="8">
        <v>14.59965462139194</v>
      </c>
      <c r="G491" s="8">
        <v>0.73229389059217997</v>
      </c>
      <c r="H491" s="8">
        <v>64.34170173585521</v>
      </c>
      <c r="I491" s="8">
        <v>40.154308540557743</v>
      </c>
      <c r="J491" s="8">
        <v>33.717355608084233</v>
      </c>
      <c r="K491" s="8">
        <v>15.42210291801927</v>
      </c>
      <c r="L491" s="8">
        <v>0.83627209591299123</v>
      </c>
      <c r="M491" s="8">
        <v>56.730210182815142</v>
      </c>
      <c r="N491" s="8">
        <v>50.440440188877602</v>
      </c>
      <c r="O491" s="8">
        <v>290.42700000000002</v>
      </c>
      <c r="P491" s="8">
        <v>286.387</v>
      </c>
      <c r="Q491" s="8">
        <v>95.883399999999995</v>
      </c>
      <c r="R491" s="8">
        <v>-0.51283000000000001</v>
      </c>
      <c r="S491" s="8">
        <v>-0.43404300000000001</v>
      </c>
      <c r="T491" s="7">
        <f>C491-D491</f>
        <v>11.218857038831068</v>
      </c>
      <c r="U491" s="8">
        <f>D491/C491</f>
        <v>0.45615633562293684</v>
      </c>
      <c r="V491" s="8">
        <v>24.022123828511504</v>
      </c>
      <c r="W491" s="8">
        <v>12.680830861951829</v>
      </c>
      <c r="X491" s="8">
        <v>0.6553281643316089</v>
      </c>
      <c r="Y491" s="8">
        <v>65.000071739518603</v>
      </c>
      <c r="Z491" s="8">
        <v>35.567300255179731</v>
      </c>
      <c r="AA491" s="7">
        <v>28.869739718297868</v>
      </c>
      <c r="AB491" s="7">
        <v>14.05146688998555</v>
      </c>
      <c r="AC491" s="7">
        <v>0.74580013012230006</v>
      </c>
      <c r="AD491" s="7">
        <v>60.865140961166873</v>
      </c>
      <c r="AE491" s="7">
        <v>43.003870222028667</v>
      </c>
      <c r="AF491" s="8">
        <v>35.11765690195265</v>
      </c>
      <c r="AG491" s="8">
        <v>15.849861933601931</v>
      </c>
      <c r="AH491" s="8">
        <v>0.85327901365705916</v>
      </c>
      <c r="AI491" s="8">
        <v>56.355832051859387</v>
      </c>
      <c r="AJ491" s="8">
        <v>52.231589987960469</v>
      </c>
      <c r="AK491" s="8">
        <v>33.520537259581218</v>
      </c>
      <c r="AL491" s="8">
        <v>15.361979555016671</v>
      </c>
      <c r="AM491" s="8">
        <v>0.83388170073291767</v>
      </c>
      <c r="AN491" s="8">
        <v>56.78283063369453</v>
      </c>
      <c r="AO491" s="8">
        <v>50.188686407801598</v>
      </c>
      <c r="AP491" s="8">
        <v>31.968525030814298</v>
      </c>
      <c r="AQ491" s="8">
        <v>12.71950872889543</v>
      </c>
      <c r="AR491" s="8">
        <v>0.76233743729262216</v>
      </c>
      <c r="AS491" s="8">
        <v>54.362368433260563</v>
      </c>
      <c r="AT491" s="8">
        <v>47.44737971978526</v>
      </c>
      <c r="AU491" s="8">
        <v>22.775882570057529</v>
      </c>
      <c r="AV491" s="8">
        <v>9.9225596238330986</v>
      </c>
      <c r="AW491" s="8">
        <v>0.72565796387493087</v>
      </c>
      <c r="AX491" s="8">
        <v>66.79319750509859</v>
      </c>
      <c r="AY491" s="8">
        <v>35.862418429794502</v>
      </c>
      <c r="AZ491" s="8">
        <v>37.707702735569328</v>
      </c>
      <c r="BA491" s="8">
        <v>18.595481973245612</v>
      </c>
      <c r="BB491" s="8">
        <v>0.92469929816858976</v>
      </c>
      <c r="BC491" s="8">
        <v>58.340240458037648</v>
      </c>
      <c r="BD491" s="8">
        <v>58.50291110173557</v>
      </c>
      <c r="BE491" s="8">
        <v>30.80889952957526</v>
      </c>
      <c r="BF491" s="8">
        <v>20.616377741975459</v>
      </c>
      <c r="BG491" s="8">
        <v>0.91351402885526112</v>
      </c>
      <c r="BH491" s="8">
        <v>59.589829320448118</v>
      </c>
      <c r="BI491" s="8">
        <v>47.733715012815424</v>
      </c>
    </row>
    <row r="492" spans="1:61" x14ac:dyDescent="0.15">
      <c r="A492" s="7">
        <v>2021</v>
      </c>
      <c r="B492" s="7">
        <v>134</v>
      </c>
      <c r="C492" s="7">
        <v>19.012366562873577</v>
      </c>
      <c r="D492" s="7">
        <v>1.6532992354841134</v>
      </c>
      <c r="E492" s="8">
        <v>20.145932206039419</v>
      </c>
      <c r="F492" s="8">
        <v>12.63330903762502</v>
      </c>
      <c r="G492" s="8">
        <v>0.73230109076299177</v>
      </c>
      <c r="H492" s="8">
        <v>56.688598597038371</v>
      </c>
      <c r="I492" s="8">
        <v>31.242700756401369</v>
      </c>
      <c r="J492" s="8">
        <v>25.279181648657541</v>
      </c>
      <c r="K492" s="8">
        <v>14.81885021682268</v>
      </c>
      <c r="L492" s="8">
        <v>0.66733395173429244</v>
      </c>
      <c r="M492" s="8">
        <v>54.633461936067299</v>
      </c>
      <c r="N492" s="8">
        <v>40.029836173320589</v>
      </c>
      <c r="O492" s="8">
        <v>291.31799999999998</v>
      </c>
      <c r="P492" s="8">
        <v>284.99400000000003</v>
      </c>
      <c r="Q492" s="8">
        <v>82.808600000000013</v>
      </c>
      <c r="R492" s="8">
        <v>0.46282000000000001</v>
      </c>
      <c r="S492" s="8">
        <v>1.20465</v>
      </c>
      <c r="T492" s="7">
        <f>C492-D492</f>
        <v>17.359067327389464</v>
      </c>
      <c r="U492" s="8">
        <f>D492/C492</f>
        <v>8.6959149983600437E-2</v>
      </c>
      <c r="V492" s="8">
        <v>19.213661441313675</v>
      </c>
      <c r="W492" s="8">
        <v>11.37824438014608</v>
      </c>
      <c r="X492" s="8">
        <v>0.71372046208927986</v>
      </c>
      <c r="Y492" s="8">
        <v>55.960679296397167</v>
      </c>
      <c r="Z492" s="8">
        <v>30.248601639881144</v>
      </c>
      <c r="AA492" s="7">
        <v>22.246421544985608</v>
      </c>
      <c r="AB492" s="7">
        <v>13.09854729848438</v>
      </c>
      <c r="AC492" s="7">
        <v>0.69052720691178615</v>
      </c>
      <c r="AD492" s="7">
        <v>55.297070616232233</v>
      </c>
      <c r="AE492" s="7">
        <v>35.139218906600867</v>
      </c>
      <c r="AF492" s="8">
        <v>26.122949051606511</v>
      </c>
      <c r="AG492" s="8">
        <v>15.0190480070096</v>
      </c>
      <c r="AH492" s="8">
        <v>0.68100726900156672</v>
      </c>
      <c r="AI492" s="8">
        <v>56.245121468120693</v>
      </c>
      <c r="AJ492" s="8">
        <v>40.304283276971667</v>
      </c>
      <c r="AK492" s="8">
        <v>25.137908774294999</v>
      </c>
      <c r="AL492" s="8">
        <v>14.785330887725721</v>
      </c>
      <c r="AM492" s="8">
        <v>0.6650446136706657</v>
      </c>
      <c r="AN492" s="8">
        <v>54.363620065201907</v>
      </c>
      <c r="AO492" s="8">
        <v>39.983885202641041</v>
      </c>
      <c r="AP492" s="8">
        <v>26.317634599100671</v>
      </c>
      <c r="AQ492" s="8">
        <v>13.767569242599031</v>
      </c>
      <c r="AR492" s="8">
        <v>0.626910451886173</v>
      </c>
      <c r="AS492" s="8">
        <v>52.592838699824057</v>
      </c>
      <c r="AT492" s="8">
        <v>42.361853181259242</v>
      </c>
      <c r="AU492" s="8">
        <v>23.99223044621386</v>
      </c>
      <c r="AV492" s="8">
        <v>14.09787727420229</v>
      </c>
      <c r="AW492" s="8">
        <v>0.55863808879368737</v>
      </c>
      <c r="AX492" s="8">
        <v>54.69248306931739</v>
      </c>
      <c r="AY492" s="8">
        <v>39.748453840575152</v>
      </c>
      <c r="AZ492" s="8">
        <v>26.23504206001039</v>
      </c>
      <c r="BA492" s="8">
        <v>17.51928263024114</v>
      </c>
      <c r="BB492" s="8">
        <v>0.66616271488010004</v>
      </c>
      <c r="BC492" s="8">
        <v>55.53975900245802</v>
      </c>
      <c r="BD492" s="8">
        <v>41.580647194391837</v>
      </c>
      <c r="BE492" s="8">
        <v>22.257486279544938</v>
      </c>
      <c r="BF492" s="8">
        <v>25.796003908924419</v>
      </c>
      <c r="BG492" s="8">
        <v>0.69841406976046938</v>
      </c>
      <c r="BH492" s="8">
        <v>54.527523107848253</v>
      </c>
      <c r="BI492" s="8">
        <v>42.596130020661008</v>
      </c>
    </row>
    <row r="493" spans="1:61" x14ac:dyDescent="0.15">
      <c r="A493" s="7">
        <v>2018</v>
      </c>
      <c r="B493" s="7">
        <v>98</v>
      </c>
      <c r="C493" s="7">
        <v>44.020876015217603</v>
      </c>
      <c r="D493" s="7">
        <v>38.507182236464871</v>
      </c>
      <c r="E493" s="8">
        <v>29.706388985096599</v>
      </c>
      <c r="F493" s="8">
        <v>25.77748699629117</v>
      </c>
      <c r="G493" s="8">
        <v>0.73248924977924246</v>
      </c>
      <c r="H493" s="8">
        <v>77.711087329769882</v>
      </c>
      <c r="I493" s="8">
        <v>82.310314662159442</v>
      </c>
      <c r="J493" s="8">
        <v>37.422044951116277</v>
      </c>
      <c r="K493" s="8">
        <v>31.71939790219842</v>
      </c>
      <c r="L493" s="8">
        <v>1.0180754825195379</v>
      </c>
      <c r="M493" s="8">
        <v>72.045599565603013</v>
      </c>
      <c r="N493" s="8">
        <v>97.772466946528084</v>
      </c>
      <c r="O493" s="8">
        <v>279.73399999999998</v>
      </c>
      <c r="P493" s="8">
        <v>268.02499999999998</v>
      </c>
      <c r="Q493" s="8">
        <v>86.128600000000006</v>
      </c>
      <c r="R493" s="8">
        <v>1.1464300000000001</v>
      </c>
      <c r="S493" s="8">
        <v>0.29841200000000001</v>
      </c>
      <c r="T493" s="7">
        <f>C493-D493</f>
        <v>5.5136937787527316</v>
      </c>
      <c r="U493" s="8">
        <f>D493/C493</f>
        <v>0.87474820408283793</v>
      </c>
      <c r="V493" s="8">
        <v>34.590159820384699</v>
      </c>
      <c r="W493" s="8">
        <v>25.426493229178842</v>
      </c>
      <c r="X493" s="8">
        <v>0.90069706994220056</v>
      </c>
      <c r="Y493" s="8">
        <v>76.187048362136082</v>
      </c>
      <c r="Z493" s="8">
        <v>91.378386727351426</v>
      </c>
      <c r="AA493" s="7">
        <v>36.006102385750488</v>
      </c>
      <c r="AB493" s="7">
        <v>28.572945565688631</v>
      </c>
      <c r="AC493" s="7">
        <v>0.95938627623086925</v>
      </c>
      <c r="AD493" s="7">
        <v>74.116323963869547</v>
      </c>
      <c r="AE493" s="7">
        <v>94.575426836939755</v>
      </c>
      <c r="AF493" s="8">
        <v>39.225627908291877</v>
      </c>
      <c r="AG493" s="8">
        <v>33.997443291152173</v>
      </c>
      <c r="AH493" s="8">
        <v>1.057455182442657</v>
      </c>
      <c r="AI493" s="8">
        <v>69.896389955750493</v>
      </c>
      <c r="AJ493" s="8">
        <v>103.2858490326536</v>
      </c>
      <c r="AK493" s="8">
        <v>37.117952046899589</v>
      </c>
      <c r="AL493" s="8">
        <v>31.33530831235819</v>
      </c>
      <c r="AM493" s="8">
        <v>1.011435872586899</v>
      </c>
      <c r="AN493" s="8">
        <v>72.407966813214387</v>
      </c>
      <c r="AO493" s="8">
        <v>96.842883772127422</v>
      </c>
      <c r="AP493" s="8">
        <v>35.428100301452098</v>
      </c>
      <c r="AQ493" s="8">
        <v>27.167078813379419</v>
      </c>
      <c r="AR493" s="8">
        <v>0.93577503437767018</v>
      </c>
      <c r="AS493" s="8">
        <v>75.923849627262442</v>
      </c>
      <c r="AT493" s="8">
        <v>93.142543528270082</v>
      </c>
      <c r="AU493" s="8">
        <v>36.856428018622452</v>
      </c>
      <c r="AV493" s="8">
        <v>29.509130798664291</v>
      </c>
      <c r="AW493" s="8">
        <v>0.99103100728240368</v>
      </c>
      <c r="AX493" s="8">
        <v>72.771835039198336</v>
      </c>
      <c r="AY493" s="8">
        <v>96.649556359762329</v>
      </c>
      <c r="AZ493" s="8">
        <v>37.734092149550527</v>
      </c>
      <c r="BA493" s="8">
        <v>32.879739418510027</v>
      </c>
      <c r="BB493" s="8">
        <v>1.038276508975549</v>
      </c>
      <c r="BC493" s="8">
        <v>70.859789967814777</v>
      </c>
      <c r="BD493" s="8">
        <v>95.744744223375818</v>
      </c>
      <c r="BE493" s="8">
        <v>34.20426687246529</v>
      </c>
      <c r="BF493" s="8">
        <v>28.70701678489764</v>
      </c>
      <c r="BG493" s="8">
        <v>0.90012682665953858</v>
      </c>
      <c r="BH493" s="8">
        <v>72.325922258823439</v>
      </c>
      <c r="BI493" s="8">
        <v>88.460645119577691</v>
      </c>
    </row>
    <row r="494" spans="1:61" x14ac:dyDescent="0.15">
      <c r="A494" s="7">
        <v>2022</v>
      </c>
      <c r="B494" s="7">
        <v>46</v>
      </c>
      <c r="C494" s="7">
        <v>40.44292089499011</v>
      </c>
      <c r="D494" s="7">
        <v>0.59384149749301096</v>
      </c>
      <c r="E494" s="8">
        <v>30.983242472597212</v>
      </c>
      <c r="F494" s="8">
        <v>25.001736603230391</v>
      </c>
      <c r="G494" s="8">
        <v>0.73273797698875043</v>
      </c>
      <c r="H494" s="8">
        <v>68.626360237635936</v>
      </c>
      <c r="I494" s="8">
        <v>46.951106080579521</v>
      </c>
      <c r="J494" s="8">
        <v>35.354427277700637</v>
      </c>
      <c r="K494" s="8">
        <v>22.75629615082622</v>
      </c>
      <c r="L494" s="8">
        <v>0.65060717538574941</v>
      </c>
      <c r="M494" s="8">
        <v>77.319768025669717</v>
      </c>
      <c r="N494" s="8">
        <v>64.13888853781981</v>
      </c>
      <c r="O494" s="8">
        <v>287.392</v>
      </c>
      <c r="P494" s="8">
        <v>280.27</v>
      </c>
      <c r="Q494" s="8">
        <v>99.536899999999989</v>
      </c>
      <c r="R494" s="8">
        <v>-0.21961</v>
      </c>
      <c r="S494" s="8">
        <v>5.0393100000000003E-2</v>
      </c>
      <c r="T494" s="7">
        <f>C494-D494</f>
        <v>39.8490793974971</v>
      </c>
      <c r="U494" s="8">
        <f>D494/C494</f>
        <v>1.4683447296868546E-2</v>
      </c>
      <c r="V494" s="8">
        <v>30.446567279450562</v>
      </c>
      <c r="W494" s="8">
        <v>23.900731135203262</v>
      </c>
      <c r="X494" s="8">
        <v>0.62517449281604853</v>
      </c>
      <c r="Y494" s="8">
        <v>70.313151529057521</v>
      </c>
      <c r="Z494" s="8">
        <v>60.446374542246303</v>
      </c>
      <c r="AA494" s="7">
        <v>32.9004972785756</v>
      </c>
      <c r="AB494" s="7">
        <v>23.328513643014741</v>
      </c>
      <c r="AC494" s="7">
        <v>0.63789083410089897</v>
      </c>
      <c r="AD494" s="7">
        <v>73.816459777363619</v>
      </c>
      <c r="AE494" s="7">
        <v>62.292631540033057</v>
      </c>
      <c r="AF494" s="8">
        <v>34.516490952280733</v>
      </c>
      <c r="AG494" s="8">
        <v>21.290944387655632</v>
      </c>
      <c r="AH494" s="8">
        <v>0.62933807193829305</v>
      </c>
      <c r="AI494" s="8">
        <v>78.824133834262341</v>
      </c>
      <c r="AJ494" s="8">
        <v>54.759861354499563</v>
      </c>
      <c r="AK494" s="8">
        <v>35.412626860351047</v>
      </c>
      <c r="AL494" s="8">
        <v>22.858073408196951</v>
      </c>
      <c r="AM494" s="8">
        <v>0.65208443911861091</v>
      </c>
      <c r="AN494" s="8">
        <v>77.215281014476162</v>
      </c>
      <c r="AO494" s="8">
        <v>64.790316875721729</v>
      </c>
      <c r="AP494" s="8">
        <v>32.228340150156903</v>
      </c>
      <c r="AQ494" s="8">
        <v>22.86496512909271</v>
      </c>
      <c r="AR494" s="8">
        <v>0.61828368977269843</v>
      </c>
      <c r="AS494" s="8">
        <v>73.685599644649415</v>
      </c>
      <c r="AT494" s="8">
        <v>61.078364020028758</v>
      </c>
      <c r="AU494" s="8">
        <v>29.978197538798842</v>
      </c>
      <c r="AV494" s="8">
        <v>22.91845084192267</v>
      </c>
      <c r="AW494" s="8">
        <v>0.64798435968390244</v>
      </c>
      <c r="AX494" s="8">
        <v>71.380808529328547</v>
      </c>
      <c r="AY494" s="8">
        <v>63.232146509295987</v>
      </c>
      <c r="AZ494" s="8">
        <v>35.964485151781602</v>
      </c>
      <c r="BA494" s="8">
        <v>23.51080448303702</v>
      </c>
      <c r="BB494" s="8">
        <v>0.66483860822504204</v>
      </c>
      <c r="BC494" s="8">
        <v>76.879666017859066</v>
      </c>
      <c r="BD494" s="8">
        <v>71.029000979502968</v>
      </c>
      <c r="BE494" s="8">
        <v>34.47385790292315</v>
      </c>
      <c r="BF494" s="8">
        <v>31.990156619334972</v>
      </c>
      <c r="BG494" s="8">
        <v>0.78805116507887418</v>
      </c>
      <c r="BH494" s="8">
        <v>64.730209236324782</v>
      </c>
      <c r="BI494" s="8">
        <v>65.967710202013834</v>
      </c>
    </row>
    <row r="495" spans="1:61" x14ac:dyDescent="0.15">
      <c r="A495" s="7">
        <v>2017</v>
      </c>
      <c r="B495" s="7">
        <v>2</v>
      </c>
      <c r="C495" s="7">
        <v>280.92118855398581</v>
      </c>
      <c r="D495" s="7">
        <v>185.30894411070551</v>
      </c>
      <c r="E495" s="8">
        <v>40.941134573077811</v>
      </c>
      <c r="F495" s="8">
        <v>25.062705382823321</v>
      </c>
      <c r="G495" s="8">
        <v>0.73284694051095223</v>
      </c>
      <c r="H495" s="8">
        <v>75.425128375347327</v>
      </c>
      <c r="I495" s="8">
        <v>75.324003411760472</v>
      </c>
      <c r="J495" s="8">
        <v>51.325223468117223</v>
      </c>
      <c r="K495" s="8">
        <v>40.202650500211902</v>
      </c>
      <c r="L495" s="8">
        <v>1.0464660925789351</v>
      </c>
      <c r="M495" s="8">
        <v>66.989858493449347</v>
      </c>
      <c r="N495" s="8">
        <v>89.922441421573083</v>
      </c>
      <c r="O495" s="8">
        <v>283.52699999999999</v>
      </c>
      <c r="P495" s="8">
        <v>273.197</v>
      </c>
      <c r="Q495" s="8">
        <v>95.084500000000006</v>
      </c>
      <c r="R495" s="8">
        <v>0.55665500000000001</v>
      </c>
      <c r="S495" s="8">
        <v>-0.214532</v>
      </c>
      <c r="T495" s="7">
        <f>C495-D495</f>
        <v>95.612244443280304</v>
      </c>
      <c r="U495" s="8">
        <f>D495/C495</f>
        <v>0.65964744441159839</v>
      </c>
      <c r="V495" s="8">
        <v>40.342937125883971</v>
      </c>
      <c r="W495" s="8">
        <v>24.345661863844938</v>
      </c>
      <c r="X495" s="8">
        <v>0.73654864009155996</v>
      </c>
      <c r="Y495" s="8">
        <v>75.417901357478755</v>
      </c>
      <c r="Z495" s="8">
        <v>76.020911334069737</v>
      </c>
      <c r="AA495" s="7">
        <v>45.834080297000597</v>
      </c>
      <c r="AB495" s="7">
        <v>32.27415618202842</v>
      </c>
      <c r="AC495" s="7">
        <v>0.89150736633524752</v>
      </c>
      <c r="AD495" s="7">
        <v>71.203879925464051</v>
      </c>
      <c r="AE495" s="7">
        <v>82.97167637782141</v>
      </c>
      <c r="AF495" s="8">
        <v>51.893994016786102</v>
      </c>
      <c r="AG495" s="8">
        <v>40.329547676269833</v>
      </c>
      <c r="AH495" s="8">
        <v>1.079538623312533</v>
      </c>
      <c r="AI495" s="8">
        <v>67.170176503421146</v>
      </c>
      <c r="AJ495" s="8">
        <v>89.54890297493138</v>
      </c>
      <c r="AK495" s="8">
        <v>51.274209756577413</v>
      </c>
      <c r="AL495" s="8">
        <v>40.191268940548198</v>
      </c>
      <c r="AM495" s="8">
        <v>1.04349977769733</v>
      </c>
      <c r="AN495" s="8">
        <v>66.973685555227306</v>
      </c>
      <c r="AO495" s="8">
        <v>89.955944532116717</v>
      </c>
      <c r="AP495" s="8">
        <v>50.144239216579628</v>
      </c>
      <c r="AQ495" s="8">
        <v>37.258640262445063</v>
      </c>
      <c r="AR495" s="8">
        <v>1.0054261631023931</v>
      </c>
      <c r="AS495" s="8">
        <v>67.852390737017188</v>
      </c>
      <c r="AT495" s="8">
        <v>88.568674516197817</v>
      </c>
      <c r="AU495" s="8">
        <v>43.887218099498497</v>
      </c>
      <c r="AV495" s="8">
        <v>28.547288410049891</v>
      </c>
      <c r="AW495" s="8">
        <v>0.8861108698988921</v>
      </c>
      <c r="AX495" s="8">
        <v>75.246825089826444</v>
      </c>
      <c r="AY495" s="8">
        <v>85.834213830935454</v>
      </c>
      <c r="AZ495" s="8">
        <v>52.412464322491857</v>
      </c>
      <c r="BA495" s="8">
        <v>43.269932600304102</v>
      </c>
      <c r="BB495" s="8">
        <v>1.1255187488604279</v>
      </c>
      <c r="BC495" s="8">
        <v>65.158958180042319</v>
      </c>
      <c r="BD495" s="8">
        <v>93.830890100755624</v>
      </c>
      <c r="BE495" s="8">
        <v>58.268095904915327</v>
      </c>
      <c r="BF495" s="8">
        <v>40.727544677912881</v>
      </c>
      <c r="BG495" s="8">
        <v>1.220305642235062</v>
      </c>
      <c r="BH495" s="8">
        <v>69.147261383219444</v>
      </c>
      <c r="BI495" s="8">
        <v>110.9219719358761</v>
      </c>
    </row>
    <row r="496" spans="1:61" x14ac:dyDescent="0.15">
      <c r="A496" s="7">
        <v>2019</v>
      </c>
      <c r="B496" s="7">
        <v>122</v>
      </c>
      <c r="C496" s="7">
        <v>61.292500015362137</v>
      </c>
      <c r="D496" s="7">
        <v>22.267587904105174</v>
      </c>
      <c r="E496" s="8">
        <v>25.608289877269051</v>
      </c>
      <c r="F496" s="8">
        <v>13.87182888387211</v>
      </c>
      <c r="G496" s="8">
        <v>0.73463898931910032</v>
      </c>
      <c r="H496" s="8">
        <v>64.83515916665327</v>
      </c>
      <c r="I496" s="8">
        <v>38.872581781176422</v>
      </c>
      <c r="J496" s="8">
        <v>30.986103296432859</v>
      </c>
      <c r="K496" s="8">
        <v>19.17028756227408</v>
      </c>
      <c r="L496" s="8">
        <v>0.85160833660923818</v>
      </c>
      <c r="M496" s="8">
        <v>62.288097743878843</v>
      </c>
      <c r="N496" s="8">
        <v>49.121560727691048</v>
      </c>
      <c r="O496" s="8">
        <v>292.053</v>
      </c>
      <c r="P496" s="8">
        <v>287.55799999999999</v>
      </c>
      <c r="Q496" s="8">
        <v>98.239100000000008</v>
      </c>
      <c r="R496" s="8">
        <v>-0.37225599999999998</v>
      </c>
      <c r="S496" s="8">
        <v>-0.62118099999999998</v>
      </c>
      <c r="T496" s="7">
        <f>C496-D496</f>
        <v>39.024912111256967</v>
      </c>
      <c r="U496" s="8">
        <f>D496/C496</f>
        <v>0.36330036951542366</v>
      </c>
      <c r="V496" s="8">
        <v>23.534976176346703</v>
      </c>
      <c r="W496" s="8">
        <v>10.927342666173182</v>
      </c>
      <c r="X496" s="8">
        <v>0.66131975745748983</v>
      </c>
      <c r="Y496" s="8">
        <v>66.210796354952208</v>
      </c>
      <c r="Z496" s="8">
        <v>33.183496359012636</v>
      </c>
      <c r="AA496" s="7">
        <v>27.260539736389781</v>
      </c>
      <c r="AB496" s="7">
        <v>15.048815114223631</v>
      </c>
      <c r="AC496" s="7">
        <v>0.75646404703336401</v>
      </c>
      <c r="AD496" s="7">
        <v>64.249447049415522</v>
      </c>
      <c r="AE496" s="7">
        <v>41.152528543351842</v>
      </c>
      <c r="AF496" s="8">
        <v>30.70225526841541</v>
      </c>
      <c r="AG496" s="8">
        <v>19.38505448666082</v>
      </c>
      <c r="AH496" s="8">
        <v>0.86323810198304984</v>
      </c>
      <c r="AI496" s="8">
        <v>61.209984290423328</v>
      </c>
      <c r="AJ496" s="8">
        <v>48.677108019463283</v>
      </c>
      <c r="AK496" s="8">
        <v>31.043480399915911</v>
      </c>
      <c r="AL496" s="8">
        <v>19.12687452843571</v>
      </c>
      <c r="AM496" s="8">
        <v>0.84925749325127098</v>
      </c>
      <c r="AN496" s="8">
        <v>62.506027837025712</v>
      </c>
      <c r="AO496" s="8">
        <v>49.211402496934362</v>
      </c>
      <c r="AP496" s="8">
        <v>30.22368558335069</v>
      </c>
      <c r="AQ496" s="8">
        <v>16.90688517491483</v>
      </c>
      <c r="AR496" s="8">
        <v>0.79370244328195194</v>
      </c>
      <c r="AS496" s="8">
        <v>63.48847530413579</v>
      </c>
      <c r="AT496" s="8">
        <v>44.631560599029861</v>
      </c>
      <c r="AU496" s="8">
        <v>25.257454560321069</v>
      </c>
      <c r="AV496" s="8">
        <v>14.17591510646006</v>
      </c>
      <c r="AW496" s="8">
        <v>0.65532368438542976</v>
      </c>
      <c r="AX496" s="8">
        <v>64.95097731494532</v>
      </c>
      <c r="AY496" s="8">
        <v>38.884277738745538</v>
      </c>
      <c r="AZ496" s="8">
        <v>33.547135615466097</v>
      </c>
      <c r="BA496" s="8">
        <v>20.674611345551259</v>
      </c>
      <c r="BB496" s="8">
        <v>0.87011204738897263</v>
      </c>
      <c r="BC496" s="8">
        <v>60.70239395418821</v>
      </c>
      <c r="BD496" s="8">
        <v>52.395950819950407</v>
      </c>
      <c r="BE496" s="8">
        <v>36.962412191994929</v>
      </c>
      <c r="BF496" s="8">
        <v>24.800837078609689</v>
      </c>
      <c r="BG496" s="8">
        <v>0.81645457753000761</v>
      </c>
      <c r="BH496" s="8">
        <v>62.301076782316898</v>
      </c>
      <c r="BI496" s="8">
        <v>57.362173409854911</v>
      </c>
    </row>
    <row r="497" spans="1:61" x14ac:dyDescent="0.15">
      <c r="A497" s="7">
        <v>2017</v>
      </c>
      <c r="B497" s="7">
        <v>9</v>
      </c>
      <c r="C497" s="7">
        <v>235.53119774531476</v>
      </c>
      <c r="D497" s="7">
        <v>96.662682069335546</v>
      </c>
      <c r="E497" s="8">
        <v>34.161382906237662</v>
      </c>
      <c r="F497" s="8">
        <v>31.884201287664521</v>
      </c>
      <c r="G497" s="8">
        <v>0.73469997994986636</v>
      </c>
      <c r="H497" s="8">
        <v>62.106262384024767</v>
      </c>
      <c r="I497" s="8">
        <v>53.401937956927888</v>
      </c>
      <c r="J497" s="8">
        <v>39.967427169697253</v>
      </c>
      <c r="K497" s="8">
        <v>35.711212717116453</v>
      </c>
      <c r="L497" s="8">
        <v>0.83566679078310491</v>
      </c>
      <c r="M497" s="8">
        <v>64.388103114466858</v>
      </c>
      <c r="N497" s="8">
        <v>64.93325864157741</v>
      </c>
      <c r="O497" s="8">
        <v>290.39400000000001</v>
      </c>
      <c r="P497" s="8">
        <v>285.42899999999997</v>
      </c>
      <c r="Q497" s="8">
        <v>98.444299999999998</v>
      </c>
      <c r="R497" s="8">
        <v>-0.45475300000000002</v>
      </c>
      <c r="S497" s="8">
        <v>-0.29203200000000001</v>
      </c>
      <c r="T497" s="7">
        <f>C497-D497</f>
        <v>138.86851567597921</v>
      </c>
      <c r="U497" s="8">
        <f>D497/C497</f>
        <v>0.41040288078464704</v>
      </c>
      <c r="V497" s="8">
        <v>31.981168269730823</v>
      </c>
      <c r="W497" s="8">
        <v>29.318670298492393</v>
      </c>
      <c r="X497" s="8">
        <v>0.70517931616391538</v>
      </c>
      <c r="Y497" s="8">
        <v>61.360218629095868</v>
      </c>
      <c r="Z497" s="8">
        <v>48.323084864894511</v>
      </c>
      <c r="AA497" s="7">
        <v>35.974297719714038</v>
      </c>
      <c r="AB497" s="7">
        <v>32.514941507804423</v>
      </c>
      <c r="AC497" s="7">
        <v>0.77042305347351014</v>
      </c>
      <c r="AD497" s="7">
        <v>62.874160871781363</v>
      </c>
      <c r="AE497" s="7">
        <v>56.628171753235961</v>
      </c>
      <c r="AF497" s="8">
        <v>40.498471104886107</v>
      </c>
      <c r="AG497" s="8">
        <v>36.528986785881763</v>
      </c>
      <c r="AH497" s="8">
        <v>0.84198463391583889</v>
      </c>
      <c r="AI497" s="8">
        <v>63.924115877189848</v>
      </c>
      <c r="AJ497" s="8">
        <v>64.549345196666721</v>
      </c>
      <c r="AK497" s="8">
        <v>39.92115339922244</v>
      </c>
      <c r="AL497" s="8">
        <v>35.639954037653652</v>
      </c>
      <c r="AM497" s="8">
        <v>0.83511627056500692</v>
      </c>
      <c r="AN497" s="8">
        <v>64.428533740820527</v>
      </c>
      <c r="AO497" s="8">
        <v>64.966711848468222</v>
      </c>
      <c r="AP497" s="8">
        <v>39.342854593304047</v>
      </c>
      <c r="AQ497" s="8">
        <v>33.132871166496983</v>
      </c>
      <c r="AR497" s="8">
        <v>0.83929438597972661</v>
      </c>
      <c r="AS497" s="8">
        <v>64.008117540795837</v>
      </c>
      <c r="AT497" s="8">
        <v>62.545309460645591</v>
      </c>
      <c r="AU497" s="8">
        <v>34.656129948848061</v>
      </c>
      <c r="AV497" s="8">
        <v>26.64300629435937</v>
      </c>
      <c r="AW497" s="8">
        <v>0.75274358610862468</v>
      </c>
      <c r="AX497" s="8">
        <v>70.926921207880895</v>
      </c>
      <c r="AY497" s="8">
        <v>55.605459510501781</v>
      </c>
      <c r="AZ497" s="8">
        <v>41.967592467633217</v>
      </c>
      <c r="BA497" s="8">
        <v>38.747688587000397</v>
      </c>
      <c r="BB497" s="8">
        <v>0.86736733012300393</v>
      </c>
      <c r="BC497" s="8">
        <v>64.516053377175254</v>
      </c>
      <c r="BD497" s="8">
        <v>68.979216380367689</v>
      </c>
      <c r="BE497" s="8">
        <v>46.726884114133469</v>
      </c>
      <c r="BF497" s="8">
        <v>33.449182108660629</v>
      </c>
      <c r="BG497" s="8">
        <v>0.8096419406528873</v>
      </c>
      <c r="BH497" s="8">
        <v>68.380943395680418</v>
      </c>
      <c r="BI497" s="8">
        <v>68.713422379065804</v>
      </c>
    </row>
    <row r="498" spans="1:61" x14ac:dyDescent="0.15">
      <c r="A498" s="7">
        <v>2020</v>
      </c>
      <c r="B498" s="7">
        <v>50</v>
      </c>
      <c r="C498" s="7">
        <v>41.450398753795028</v>
      </c>
      <c r="D498" s="7">
        <v>36.26820301579442</v>
      </c>
      <c r="E498" s="8">
        <v>35.719078366390512</v>
      </c>
      <c r="F498" s="8">
        <v>29.01308318446614</v>
      </c>
      <c r="G498" s="8">
        <v>0.73494654348237176</v>
      </c>
      <c r="H498" s="8">
        <v>80.993434813265537</v>
      </c>
      <c r="I498" s="8">
        <v>66.427255690384754</v>
      </c>
      <c r="J498" s="8">
        <v>39.967773003193408</v>
      </c>
      <c r="K498" s="8">
        <v>35.166576287978337</v>
      </c>
      <c r="L498" s="8">
        <v>0.80374837364092566</v>
      </c>
      <c r="M498" s="8">
        <v>64.71543940968364</v>
      </c>
      <c r="N498" s="8">
        <v>75.011505554595558</v>
      </c>
      <c r="O498" s="8">
        <v>281.33699999999999</v>
      </c>
      <c r="P498" s="8">
        <v>272.13400000000001</v>
      </c>
      <c r="Q498" s="8">
        <v>86.888899999999992</v>
      </c>
      <c r="R498" s="8">
        <v>0.68631600000000004</v>
      </c>
      <c r="S498" s="8">
        <v>-0.21482599999999999</v>
      </c>
      <c r="T498" s="7">
        <f>C498-D498</f>
        <v>5.1821957380006083</v>
      </c>
      <c r="U498" s="8">
        <f>D498/C498</f>
        <v>0.87497838636531455</v>
      </c>
      <c r="V498" s="8">
        <v>33.715058376395739</v>
      </c>
      <c r="W498" s="8">
        <v>31.917915030034088</v>
      </c>
      <c r="X498" s="8">
        <v>0.73256175214042374</v>
      </c>
      <c r="Y498" s="8">
        <v>74.077827757092322</v>
      </c>
      <c r="Z498" s="8">
        <v>64.180395799009844</v>
      </c>
      <c r="AA498" s="7">
        <v>36.841415689794573</v>
      </c>
      <c r="AB498" s="7">
        <v>33.542245659006213</v>
      </c>
      <c r="AC498" s="7">
        <v>0.7681550628906747</v>
      </c>
      <c r="AD498" s="7">
        <v>69.396633583387981</v>
      </c>
      <c r="AE498" s="7">
        <v>69.595950676802701</v>
      </c>
      <c r="AF498" s="8">
        <v>38.077979208219539</v>
      </c>
      <c r="AG498" s="8">
        <v>34.434637386946051</v>
      </c>
      <c r="AH498" s="8">
        <v>0.78832974543561718</v>
      </c>
      <c r="AI498" s="8">
        <v>65.327422778085577</v>
      </c>
      <c r="AJ498" s="8">
        <v>72.915532012951175</v>
      </c>
      <c r="AK498" s="8">
        <v>40.18341394496062</v>
      </c>
      <c r="AL498" s="8">
        <v>35.250096508202603</v>
      </c>
      <c r="AM498" s="8">
        <v>0.80550776533529689</v>
      </c>
      <c r="AN498" s="8">
        <v>64.645607097682699</v>
      </c>
      <c r="AO498" s="8">
        <v>75.250673293235309</v>
      </c>
      <c r="AP498" s="8">
        <v>39.229180204757959</v>
      </c>
      <c r="AQ498" s="8">
        <v>36.157294045102169</v>
      </c>
      <c r="AR498" s="8">
        <v>0.79885019194620566</v>
      </c>
      <c r="AS498" s="8">
        <v>64.14769573409859</v>
      </c>
      <c r="AT498" s="8">
        <v>68.99636579148428</v>
      </c>
      <c r="AU498" s="8">
        <v>34.9371302725175</v>
      </c>
      <c r="AV498" s="8">
        <v>34.629061509311448</v>
      </c>
      <c r="AW498" s="8">
        <v>0.76000750888899282</v>
      </c>
      <c r="AX498" s="8">
        <v>65.854996010100109</v>
      </c>
      <c r="AY498" s="8">
        <v>69.894868830618307</v>
      </c>
      <c r="AZ498" s="8">
        <v>40.861689322572538</v>
      </c>
      <c r="BA498" s="8">
        <v>35.334357897073481</v>
      </c>
      <c r="BB498" s="8">
        <v>0.82945405238646108</v>
      </c>
      <c r="BC498" s="8">
        <v>64.237976321068572</v>
      </c>
      <c r="BD498" s="8">
        <v>77.504822815299676</v>
      </c>
      <c r="BE498" s="8">
        <v>37.350503974526781</v>
      </c>
      <c r="BF498" s="8">
        <v>35.826225889522917</v>
      </c>
      <c r="BG498" s="8">
        <v>0.77958254700476082</v>
      </c>
      <c r="BH498" s="8">
        <v>61.370986946670307</v>
      </c>
      <c r="BI498" s="8">
        <v>85.951916828574809</v>
      </c>
    </row>
    <row r="499" spans="1:61" x14ac:dyDescent="0.15">
      <c r="A499" s="7">
        <v>2018</v>
      </c>
      <c r="B499" s="7">
        <v>40</v>
      </c>
      <c r="C499" s="7">
        <v>154.48701296080873</v>
      </c>
      <c r="D499" s="7">
        <v>44.493051834737116</v>
      </c>
      <c r="E499" s="8">
        <v>34.08151440174597</v>
      </c>
      <c r="F499" s="8">
        <v>21.71969447250369</v>
      </c>
      <c r="G499" s="8">
        <v>0.73556714263898526</v>
      </c>
      <c r="H499" s="8">
        <v>62.12893902751631</v>
      </c>
      <c r="I499" s="8">
        <v>54.93154378450938</v>
      </c>
      <c r="J499" s="8">
        <v>38.770003429239303</v>
      </c>
      <c r="K499" s="8">
        <v>29.331350336584769</v>
      </c>
      <c r="L499" s="8">
        <v>0.80901295876342405</v>
      </c>
      <c r="M499" s="8">
        <v>62.982762076771749</v>
      </c>
      <c r="N499" s="8">
        <v>65.206686497317179</v>
      </c>
      <c r="O499" s="8">
        <v>279.43</v>
      </c>
      <c r="P499" s="8">
        <v>271.137</v>
      </c>
      <c r="Q499" s="8">
        <v>99.126199999999997</v>
      </c>
      <c r="R499" s="8">
        <v>1.3973199999999999</v>
      </c>
      <c r="S499" s="8">
        <v>0.87229999999999996</v>
      </c>
      <c r="T499" s="7">
        <f>C499-D499</f>
        <v>109.99396112607161</v>
      </c>
      <c r="U499" s="8">
        <f>D499/C499</f>
        <v>0.28800512730493666</v>
      </c>
      <c r="V499" s="8">
        <v>33.601080932075511</v>
      </c>
      <c r="W499" s="8">
        <v>22.518741374286193</v>
      </c>
      <c r="X499" s="8">
        <v>0.79462650585685379</v>
      </c>
      <c r="Y499" s="8">
        <v>67.060964003692916</v>
      </c>
      <c r="Z499" s="8">
        <v>56.836579435834039</v>
      </c>
      <c r="AA499" s="7">
        <v>36.185542180657407</v>
      </c>
      <c r="AB499" s="7">
        <v>25.925045855435481</v>
      </c>
      <c r="AC499" s="7">
        <v>0.80181973231013892</v>
      </c>
      <c r="AD499" s="7">
        <v>65.021863040232333</v>
      </c>
      <c r="AE499" s="7">
        <v>61.021632966575609</v>
      </c>
      <c r="AF499" s="8">
        <v>39.504069825665432</v>
      </c>
      <c r="AG499" s="8">
        <v>29.922687353628579</v>
      </c>
      <c r="AH499" s="8">
        <v>0.80833761406091231</v>
      </c>
      <c r="AI499" s="8">
        <v>63.042216914252592</v>
      </c>
      <c r="AJ499" s="8">
        <v>65.11406278641509</v>
      </c>
      <c r="AK499" s="8">
        <v>38.700603091901833</v>
      </c>
      <c r="AL499" s="8">
        <v>29.275443965358981</v>
      </c>
      <c r="AM499" s="8">
        <v>0.80907680741580978</v>
      </c>
      <c r="AN499" s="8">
        <v>62.977141078729062</v>
      </c>
      <c r="AO499" s="8">
        <v>65.21544335747771</v>
      </c>
      <c r="AP499" s="8">
        <v>36.196145616177908</v>
      </c>
      <c r="AQ499" s="8">
        <v>25.84152912092318</v>
      </c>
      <c r="AR499" s="8">
        <v>0.79984057957838328</v>
      </c>
      <c r="AS499" s="8">
        <v>65.445761844614111</v>
      </c>
      <c r="AT499" s="8">
        <v>61.04991395318428</v>
      </c>
      <c r="AU499" s="8">
        <v>36.948217596379173</v>
      </c>
      <c r="AV499" s="8">
        <v>27.85917746277639</v>
      </c>
      <c r="AW499" s="8">
        <v>0.8840029084794403</v>
      </c>
      <c r="AX499" s="8">
        <v>64.103223992948287</v>
      </c>
      <c r="AY499" s="8">
        <v>65.426534627256871</v>
      </c>
      <c r="AZ499" s="8">
        <v>37.990458684993122</v>
      </c>
      <c r="BA499" s="8">
        <v>28.77845257555769</v>
      </c>
      <c r="BB499" s="8">
        <v>0.81167970933877742</v>
      </c>
      <c r="BC499" s="8">
        <v>62.82356205347034</v>
      </c>
      <c r="BD499" s="8">
        <v>64.938047471979942</v>
      </c>
      <c r="BE499" s="8">
        <v>34.560002851765233</v>
      </c>
      <c r="BF499" s="8">
        <v>27.598371730669669</v>
      </c>
      <c r="BG499" s="8">
        <v>0.88515200511703851</v>
      </c>
      <c r="BH499" s="8">
        <v>63.627174657007792</v>
      </c>
      <c r="BI499" s="8">
        <v>60.363624913285477</v>
      </c>
    </row>
    <row r="500" spans="1:61" x14ac:dyDescent="0.15">
      <c r="A500" s="7">
        <v>2020</v>
      </c>
      <c r="B500" s="7">
        <v>77</v>
      </c>
      <c r="C500" s="7">
        <v>116.57691546957065</v>
      </c>
      <c r="D500" s="7">
        <v>48.038398478188675</v>
      </c>
      <c r="E500" s="8">
        <v>37.013421679013163</v>
      </c>
      <c r="F500" s="8">
        <v>27.544525591738982</v>
      </c>
      <c r="G500" s="8">
        <v>0.73595173012932646</v>
      </c>
      <c r="H500" s="8">
        <v>66.624823460224192</v>
      </c>
      <c r="I500" s="8">
        <v>68.207207308100507</v>
      </c>
      <c r="J500" s="8">
        <v>39.036154371371737</v>
      </c>
      <c r="K500" s="8">
        <v>24.578791106872981</v>
      </c>
      <c r="L500" s="8">
        <v>0.78622127829301203</v>
      </c>
      <c r="M500" s="8">
        <v>65.977498718502019</v>
      </c>
      <c r="N500" s="8">
        <v>68.276230048359182</v>
      </c>
      <c r="O500" s="8">
        <v>279.62900000000002</v>
      </c>
      <c r="P500" s="8">
        <v>267.87</v>
      </c>
      <c r="Q500" s="8">
        <v>88.688100000000006</v>
      </c>
      <c r="R500" s="8">
        <v>0.34639399999999998</v>
      </c>
      <c r="S500" s="8">
        <v>-0.42941099999999999</v>
      </c>
      <c r="T500" s="7">
        <f>C500-D500</f>
        <v>68.538516991381982</v>
      </c>
      <c r="U500" s="8">
        <f>D500/C500</f>
        <v>0.4120747086564307</v>
      </c>
      <c r="V500" s="8">
        <v>37.127376402228705</v>
      </c>
      <c r="W500" s="8">
        <v>27.687253263337038</v>
      </c>
      <c r="X500" s="8">
        <v>0.72446011327081594</v>
      </c>
      <c r="Y500" s="8">
        <v>61.479287575596146</v>
      </c>
      <c r="Z500" s="8">
        <v>95.536179646606072</v>
      </c>
      <c r="AA500" s="7">
        <v>38.081765386800221</v>
      </c>
      <c r="AB500" s="7">
        <v>26.133022185105009</v>
      </c>
      <c r="AC500" s="7">
        <v>0.75534069578191398</v>
      </c>
      <c r="AD500" s="7">
        <v>63.728393147049083</v>
      </c>
      <c r="AE500" s="7">
        <v>81.906204847482627</v>
      </c>
      <c r="AF500" s="8">
        <v>36.301467780998067</v>
      </c>
      <c r="AG500" s="8">
        <v>24.701020563751019</v>
      </c>
      <c r="AH500" s="8">
        <v>0.77746839595987038</v>
      </c>
      <c r="AI500" s="8">
        <v>67.440126304970619</v>
      </c>
      <c r="AJ500" s="8">
        <v>69.343858830365875</v>
      </c>
      <c r="AK500" s="8">
        <v>39.437344713365633</v>
      </c>
      <c r="AL500" s="8">
        <v>24.560859517279049</v>
      </c>
      <c r="AM500" s="8">
        <v>0.78750536396082715</v>
      </c>
      <c r="AN500" s="8">
        <v>65.762924930159855</v>
      </c>
      <c r="AO500" s="8">
        <v>68.1196042917977</v>
      </c>
      <c r="AP500" s="8">
        <v>50.996812284358903</v>
      </c>
      <c r="AQ500" s="8">
        <v>29.850398949685289</v>
      </c>
      <c r="AR500" s="8">
        <v>0.94449325721170663</v>
      </c>
      <c r="AS500" s="8">
        <v>58.115996984513991</v>
      </c>
      <c r="AT500" s="8">
        <v>80.291011482846415</v>
      </c>
      <c r="AU500" s="8">
        <v>38.594799327710341</v>
      </c>
      <c r="AV500" s="8">
        <v>25.840737159986428</v>
      </c>
      <c r="AW500" s="8">
        <v>0.78006724961929474</v>
      </c>
      <c r="AX500" s="8">
        <v>63.184864923031107</v>
      </c>
      <c r="AY500" s="8">
        <v>81.919130195110839</v>
      </c>
      <c r="AZ500" s="8">
        <v>39.51602244845985</v>
      </c>
      <c r="BA500" s="8">
        <v>24.041793150189331</v>
      </c>
      <c r="BB500" s="8">
        <v>0.80270819636947988</v>
      </c>
      <c r="BC500" s="8">
        <v>65.586158354339148</v>
      </c>
      <c r="BD500" s="8">
        <v>62.391004589406343</v>
      </c>
      <c r="BE500" s="8">
        <v>36.87461182013211</v>
      </c>
      <c r="BF500" s="8">
        <v>26.833926459663701</v>
      </c>
      <c r="BG500" s="8">
        <v>0.70870434686748673</v>
      </c>
      <c r="BH500" s="8">
        <v>64.659913254527851</v>
      </c>
      <c r="BI500" s="8">
        <v>87.749837011662564</v>
      </c>
    </row>
    <row r="501" spans="1:61" x14ac:dyDescent="0.15">
      <c r="A501" s="7">
        <v>2023</v>
      </c>
      <c r="B501" s="7">
        <v>108</v>
      </c>
      <c r="C501" s="9">
        <v>109.75209521227148</v>
      </c>
      <c r="D501" s="7">
        <v>106.92982505658681</v>
      </c>
      <c r="E501" s="8">
        <v>22.693305576628539</v>
      </c>
      <c r="F501" s="8">
        <v>13.739209095389009</v>
      </c>
      <c r="G501" s="8">
        <v>0.73618128664866755</v>
      </c>
      <c r="H501" s="8">
        <v>49.003346711036421</v>
      </c>
      <c r="I501" s="8">
        <v>35.198020719415098</v>
      </c>
      <c r="J501" s="8">
        <v>25.883234533508141</v>
      </c>
      <c r="K501" s="8">
        <v>14.78373362501714</v>
      </c>
      <c r="L501" s="8">
        <v>0.75535835978005472</v>
      </c>
      <c r="M501" s="8">
        <v>50.195953251820328</v>
      </c>
      <c r="N501" s="8">
        <v>39.762664385508309</v>
      </c>
      <c r="O501" s="7">
        <v>292.96800000000002</v>
      </c>
      <c r="P501" s="7">
        <v>288.71300000000002</v>
      </c>
      <c r="Q501" s="7">
        <v>96.296800000000005</v>
      </c>
      <c r="R501" s="7">
        <v>-0.60123800000000005</v>
      </c>
      <c r="S501" s="7">
        <v>-0.34796700000000003</v>
      </c>
      <c r="T501" s="7">
        <f>C501-D501</f>
        <v>2.8222701556846772</v>
      </c>
      <c r="U501" s="8">
        <f>D501/C501</f>
        <v>0.97428504530846427</v>
      </c>
      <c r="V501" s="8">
        <v>20.96901665587836</v>
      </c>
      <c r="W501" s="8">
        <v>12.980206108261639</v>
      </c>
      <c r="X501" s="8">
        <v>0.73777511169331589</v>
      </c>
      <c r="Y501" s="8">
        <v>49.137585655071859</v>
      </c>
      <c r="Z501" s="8">
        <v>32.617441203751405</v>
      </c>
      <c r="AA501" s="7">
        <v>23.42612559469325</v>
      </c>
      <c r="AB501" s="7">
        <v>13.881969866639389</v>
      </c>
      <c r="AC501" s="7">
        <v>0.74656673573668531</v>
      </c>
      <c r="AD501" s="7">
        <v>49.666769453446094</v>
      </c>
      <c r="AE501" s="7">
        <v>36.190052794629857</v>
      </c>
      <c r="AF501" s="8">
        <v>25.745009384428428</v>
      </c>
      <c r="AG501" s="8">
        <v>14.723181187837421</v>
      </c>
      <c r="AH501" s="8">
        <v>0.77960886953071173</v>
      </c>
      <c r="AI501" s="8">
        <v>47.95839176365827</v>
      </c>
      <c r="AJ501" s="8">
        <v>38.823885504011713</v>
      </c>
      <c r="AK501" s="8">
        <v>25.9056936333746</v>
      </c>
      <c r="AL501" s="8">
        <v>14.7935723066379</v>
      </c>
      <c r="AM501" s="8">
        <v>0.75141808824532452</v>
      </c>
      <c r="AN501" s="8">
        <v>50.559516736863138</v>
      </c>
      <c r="AO501" s="8">
        <v>39.915199063838791</v>
      </c>
      <c r="AP501" s="8">
        <v>25.710438503737141</v>
      </c>
      <c r="AQ501" s="8">
        <v>14.23944420798175</v>
      </c>
      <c r="AR501" s="8">
        <v>0.78730080193958563</v>
      </c>
      <c r="AS501" s="8">
        <v>51.410486565065902</v>
      </c>
      <c r="AT501" s="8">
        <v>39.110925970532911</v>
      </c>
      <c r="AU501" s="8">
        <v>26.705882825875939</v>
      </c>
      <c r="AV501" s="8">
        <v>15.10533931413968</v>
      </c>
      <c r="AW501" s="8">
        <v>0.75175964109429871</v>
      </c>
      <c r="AX501" s="8">
        <v>54.277839418322323</v>
      </c>
      <c r="AY501" s="8">
        <v>41.875146935918529</v>
      </c>
      <c r="AZ501" s="8">
        <v>26.034478882499169</v>
      </c>
      <c r="BA501" s="8">
        <v>15.572569570402759</v>
      </c>
      <c r="BB501" s="8">
        <v>0.73072355508550169</v>
      </c>
      <c r="BC501" s="8">
        <v>51.199261684164959</v>
      </c>
      <c r="BD501" s="8">
        <v>41.315504432213693</v>
      </c>
      <c r="BE501" s="8">
        <v>24.92237771492545</v>
      </c>
      <c r="BF501" s="8">
        <v>18.66490714985845</v>
      </c>
      <c r="BG501" s="8">
        <v>0.66754661469666576</v>
      </c>
      <c r="BH501" s="8">
        <v>50.426884183510133</v>
      </c>
      <c r="BI501" s="8">
        <v>45.359049756644268</v>
      </c>
    </row>
    <row r="502" spans="1:61" x14ac:dyDescent="0.15">
      <c r="A502" s="7">
        <v>2022</v>
      </c>
      <c r="B502" s="7">
        <v>131</v>
      </c>
      <c r="C502" s="7">
        <v>49.970253363832398</v>
      </c>
      <c r="D502" s="7">
        <v>29.712439303697053</v>
      </c>
      <c r="E502" s="8">
        <v>37.325384321757547</v>
      </c>
      <c r="F502" s="8">
        <v>28.024691841182591</v>
      </c>
      <c r="G502" s="8">
        <v>0.73660213266065844</v>
      </c>
      <c r="H502" s="8">
        <v>64.353296173561873</v>
      </c>
      <c r="I502" s="8">
        <v>62.498988552824969</v>
      </c>
      <c r="J502" s="8">
        <v>39.639653867215138</v>
      </c>
      <c r="K502" s="8">
        <v>32.175243161431382</v>
      </c>
      <c r="L502" s="8">
        <v>0.71811771379060796</v>
      </c>
      <c r="M502" s="8">
        <v>66.652709885126043</v>
      </c>
      <c r="N502" s="8">
        <v>76.894938565802974</v>
      </c>
      <c r="O502" s="8">
        <v>286.71100000000001</v>
      </c>
      <c r="P502" s="8">
        <v>277.87</v>
      </c>
      <c r="Q502" s="8">
        <v>98.0261</v>
      </c>
      <c r="R502" s="8">
        <v>8.4777099999999994E-2</v>
      </c>
      <c r="S502" s="8">
        <v>0.25108599999999998</v>
      </c>
      <c r="T502" s="7">
        <f>C502-D502</f>
        <v>20.257814060135345</v>
      </c>
      <c r="U502" s="8">
        <f>D502/C502</f>
        <v>0.59460253457915024</v>
      </c>
      <c r="V502" s="8">
        <v>37.717677859173726</v>
      </c>
      <c r="W502" s="8">
        <v>31.360617647804879</v>
      </c>
      <c r="X502" s="8">
        <v>0.67742337021359289</v>
      </c>
      <c r="Y502" s="8">
        <v>59.562561316665352</v>
      </c>
      <c r="Z502" s="8">
        <v>59.324993629540486</v>
      </c>
      <c r="AA502" s="7">
        <v>38.678665863194432</v>
      </c>
      <c r="AB502" s="7">
        <v>31.767930404618131</v>
      </c>
      <c r="AC502" s="7">
        <v>0.69777054200210042</v>
      </c>
      <c r="AD502" s="7">
        <v>63.107635600895698</v>
      </c>
      <c r="AE502" s="7">
        <v>68.10996609767173</v>
      </c>
      <c r="AF502" s="8">
        <v>40.740141074953733</v>
      </c>
      <c r="AG502" s="8">
        <v>30.45844276358957</v>
      </c>
      <c r="AH502" s="8">
        <v>0.73487451377724966</v>
      </c>
      <c r="AI502" s="8">
        <v>66.621822484684941</v>
      </c>
      <c r="AJ502" s="8">
        <v>72.675324876467485</v>
      </c>
      <c r="AK502" s="8">
        <v>39.527275127072294</v>
      </c>
      <c r="AL502" s="8">
        <v>32.350558116870673</v>
      </c>
      <c r="AM502" s="8">
        <v>0.71640655526183761</v>
      </c>
      <c r="AN502" s="8">
        <v>66.655864021878784</v>
      </c>
      <c r="AO502" s="8">
        <v>77.325833961008371</v>
      </c>
      <c r="AP502" s="8">
        <v>38.917040235184878</v>
      </c>
      <c r="AQ502" s="8">
        <v>31.974009830542531</v>
      </c>
      <c r="AR502" s="8">
        <v>0.69124754233711838</v>
      </c>
      <c r="AS502" s="8">
        <v>61.758145743744556</v>
      </c>
      <c r="AT502" s="8">
        <v>65.398170172290506</v>
      </c>
      <c r="AU502" s="8">
        <v>37.880564748453779</v>
      </c>
      <c r="AV502" s="8">
        <v>30.934133128664211</v>
      </c>
      <c r="AW502" s="8">
        <v>0.74068702447416201</v>
      </c>
      <c r="AX502" s="8">
        <v>60.7033659797886</v>
      </c>
      <c r="AY502" s="8">
        <v>67.150536277538237</v>
      </c>
      <c r="AZ502" s="8">
        <v>38.785381455827128</v>
      </c>
      <c r="BA502" s="8">
        <v>32.935015061362392</v>
      </c>
      <c r="BB502" s="8">
        <v>0.68856447132532428</v>
      </c>
      <c r="BC502" s="8">
        <v>67.06397513444935</v>
      </c>
      <c r="BD502" s="8">
        <v>78.629784011315934</v>
      </c>
      <c r="BE502" s="8">
        <v>38.660862477892813</v>
      </c>
      <c r="BF502" s="8">
        <v>33.416299323100169</v>
      </c>
      <c r="BG502" s="8">
        <v>0.71887029108643696</v>
      </c>
      <c r="BH502" s="8">
        <v>68.379811456047861</v>
      </c>
      <c r="BI502" s="8">
        <v>96.327779721850277</v>
      </c>
    </row>
    <row r="503" spans="1:61" x14ac:dyDescent="0.15">
      <c r="A503" s="7">
        <v>2019</v>
      </c>
      <c r="B503" s="7">
        <v>147</v>
      </c>
      <c r="C503" s="7">
        <v>34.883756719042211</v>
      </c>
      <c r="D503" s="7">
        <v>13.198140698604284</v>
      </c>
      <c r="E503" s="8">
        <v>30.885762260315229</v>
      </c>
      <c r="F503" s="8">
        <v>23.577910325972319</v>
      </c>
      <c r="G503" s="8">
        <v>0.73738598156015889</v>
      </c>
      <c r="H503" s="8">
        <v>79.479445680116797</v>
      </c>
      <c r="I503" s="8">
        <v>68.552579412547615</v>
      </c>
      <c r="J503" s="8">
        <v>32.213207433464881</v>
      </c>
      <c r="K503" s="8">
        <v>32.229688050251553</v>
      </c>
      <c r="L503" s="8">
        <v>0.87469414518118294</v>
      </c>
      <c r="M503" s="8">
        <v>62.655288001212583</v>
      </c>
      <c r="N503" s="8">
        <v>71.854075966409013</v>
      </c>
      <c r="O503" s="8">
        <v>283.31599999999997</v>
      </c>
      <c r="P503" s="8">
        <v>273.54599999999999</v>
      </c>
      <c r="Q503" s="8">
        <v>87.354799999999997</v>
      </c>
      <c r="R503" s="8">
        <v>0.13122500000000001</v>
      </c>
      <c r="S503" s="8">
        <v>0.170988</v>
      </c>
      <c r="T503" s="7">
        <f>C503-D503</f>
        <v>21.685616020437926</v>
      </c>
      <c r="U503" s="8">
        <f>D503/C503</f>
        <v>0.37834631186381751</v>
      </c>
      <c r="V503" s="8">
        <v>29.48269497550632</v>
      </c>
      <c r="W503" s="8">
        <v>24.895908769715504</v>
      </c>
      <c r="X503" s="8">
        <v>0.7960568382238904</v>
      </c>
      <c r="Y503" s="8">
        <v>76.402296974193476</v>
      </c>
      <c r="Z503" s="8">
        <v>69.072285864192239</v>
      </c>
      <c r="AA503" s="7">
        <v>30.8479512044856</v>
      </c>
      <c r="AB503" s="7">
        <v>28.562798409983529</v>
      </c>
      <c r="AC503" s="7">
        <v>0.83537549170253667</v>
      </c>
      <c r="AD503" s="7">
        <v>69.528792487703029</v>
      </c>
      <c r="AE503" s="7">
        <v>70.463180915300626</v>
      </c>
      <c r="AF503" s="8">
        <v>31.832767320702839</v>
      </c>
      <c r="AG503" s="8">
        <v>30.030080376841671</v>
      </c>
      <c r="AH503" s="8">
        <v>0.83849525046342954</v>
      </c>
      <c r="AI503" s="8">
        <v>64.831100190857313</v>
      </c>
      <c r="AJ503" s="8">
        <v>69.859568477501426</v>
      </c>
      <c r="AK503" s="8">
        <v>32.290656435670229</v>
      </c>
      <c r="AL503" s="8">
        <v>32.677478422071196</v>
      </c>
      <c r="AM503" s="8">
        <v>0.88206342140306271</v>
      </c>
      <c r="AN503" s="8">
        <v>62.21234185168386</v>
      </c>
      <c r="AO503" s="8">
        <v>72.260112579597603</v>
      </c>
      <c r="AP503" s="8">
        <v>33.131943432222442</v>
      </c>
      <c r="AQ503" s="8">
        <v>33.178648588639099</v>
      </c>
      <c r="AR503" s="8">
        <v>0.83262935062385535</v>
      </c>
      <c r="AS503" s="8">
        <v>59.407943703285859</v>
      </c>
      <c r="AT503" s="8">
        <v>72.538721620593364</v>
      </c>
      <c r="AU503" s="8">
        <v>30.22178880806829</v>
      </c>
      <c r="AV503" s="8">
        <v>31.332169505709789</v>
      </c>
      <c r="AW503" s="8">
        <v>0.91141515512700633</v>
      </c>
      <c r="AX503" s="8">
        <v>64.186347452836401</v>
      </c>
      <c r="AY503" s="8">
        <v>71.422295534042817</v>
      </c>
      <c r="AZ503" s="8">
        <v>35.320675704264218</v>
      </c>
      <c r="BA503" s="8">
        <v>33.477773020758619</v>
      </c>
      <c r="BB503" s="8">
        <v>0.89899482609889569</v>
      </c>
      <c r="BC503" s="8">
        <v>62.039546407799257</v>
      </c>
      <c r="BD503" s="8">
        <v>74.851974794946543</v>
      </c>
      <c r="BE503" s="8">
        <v>34.671362004218629</v>
      </c>
      <c r="BF503" s="8">
        <v>33.736356803258843</v>
      </c>
      <c r="BG503" s="8">
        <v>0.82491769469964327</v>
      </c>
      <c r="BH503" s="8">
        <v>61.54810013417579</v>
      </c>
      <c r="BI503" s="8">
        <v>80.462356595265931</v>
      </c>
    </row>
    <row r="504" spans="1:61" x14ac:dyDescent="0.15">
      <c r="A504" s="7">
        <v>2023</v>
      </c>
      <c r="B504" s="7">
        <v>95</v>
      </c>
      <c r="C504" s="9">
        <v>16.340024336943387</v>
      </c>
      <c r="D504" s="7">
        <v>1.5575241635068564</v>
      </c>
      <c r="E504" s="8">
        <v>27.578161463943701</v>
      </c>
      <c r="F504" s="8">
        <v>15.61774212049013</v>
      </c>
      <c r="G504" s="8">
        <v>0.73739110129285013</v>
      </c>
      <c r="H504" s="8">
        <v>57.520723367486298</v>
      </c>
      <c r="I504" s="8">
        <v>41.342629313543952</v>
      </c>
      <c r="J504" s="8">
        <v>34.928127758184523</v>
      </c>
      <c r="K504" s="8">
        <v>21.81393436124587</v>
      </c>
      <c r="L504" s="8">
        <v>0.74388133712818272</v>
      </c>
      <c r="M504" s="8">
        <v>57.750386639418203</v>
      </c>
      <c r="N504" s="8">
        <v>53.755544584669209</v>
      </c>
      <c r="O504" s="7">
        <v>290.04599999999999</v>
      </c>
      <c r="P504" s="7">
        <v>285.80099999999999</v>
      </c>
      <c r="Q504" s="7">
        <v>91.838700000000003</v>
      </c>
      <c r="R504" s="7">
        <v>5.0679899999999996E-3</v>
      </c>
      <c r="S504" s="7">
        <v>-0.46405200000000002</v>
      </c>
      <c r="T504" s="7">
        <f>C504-D504</f>
        <v>14.78250017343653</v>
      </c>
      <c r="U504" s="8">
        <f>D504/C504</f>
        <v>9.5319574279055908E-2</v>
      </c>
      <c r="V504" s="8">
        <v>28.747517834747534</v>
      </c>
      <c r="W504" s="8">
        <v>15.438381748253832</v>
      </c>
      <c r="X504" s="8">
        <v>0.77012124194970277</v>
      </c>
      <c r="Y504" s="8">
        <v>57.110826599982353</v>
      </c>
      <c r="Z504" s="8">
        <v>42.116851641280675</v>
      </c>
      <c r="AA504" s="7">
        <v>31.837822796466028</v>
      </c>
      <c r="AB504" s="7">
        <v>18.626158054749851</v>
      </c>
      <c r="AC504" s="7">
        <v>0.75700128953894275</v>
      </c>
      <c r="AD504" s="7">
        <v>57.430606619700278</v>
      </c>
      <c r="AE504" s="7">
        <v>47.936198112974942</v>
      </c>
      <c r="AF504" s="8">
        <v>34.678684545830059</v>
      </c>
      <c r="AG504" s="8">
        <v>21.152423380896959</v>
      </c>
      <c r="AH504" s="8">
        <v>0.75000317552072637</v>
      </c>
      <c r="AI504" s="8">
        <v>57.813261101482439</v>
      </c>
      <c r="AJ504" s="8">
        <v>54.064442669405388</v>
      </c>
      <c r="AK504" s="8">
        <v>34.961808767495832</v>
      </c>
      <c r="AL504" s="8">
        <v>21.903254721091962</v>
      </c>
      <c r="AM504" s="8">
        <v>0.74305473738247119</v>
      </c>
      <c r="AN504" s="8">
        <v>57.741897030411657</v>
      </c>
      <c r="AO504" s="8">
        <v>53.713835695619707</v>
      </c>
      <c r="AP504" s="8">
        <v>34.599014899921521</v>
      </c>
      <c r="AQ504" s="8">
        <v>20.142926877299889</v>
      </c>
      <c r="AR504" s="8">
        <v>0.77304344115764811</v>
      </c>
      <c r="AS504" s="8">
        <v>57.533819328683492</v>
      </c>
      <c r="AT504" s="8">
        <v>51.971070791361598</v>
      </c>
      <c r="AU504" s="8">
        <v>28.449387220010081</v>
      </c>
      <c r="AV504" s="8">
        <v>25.485598710968041</v>
      </c>
      <c r="AW504" s="8">
        <v>0.63481597761022923</v>
      </c>
      <c r="AX504" s="8">
        <v>52.310546392069639</v>
      </c>
      <c r="AY504" s="8">
        <v>45.358014955688731</v>
      </c>
      <c r="AZ504" s="8">
        <v>35.379873758711902</v>
      </c>
      <c r="BA504" s="8">
        <v>25.88117042698466</v>
      </c>
      <c r="BB504" s="8">
        <v>0.69906385194828979</v>
      </c>
      <c r="BC504" s="8">
        <v>56.190450128034492</v>
      </c>
      <c r="BD504" s="8">
        <v>56.84571736051668</v>
      </c>
      <c r="BE504" s="8">
        <v>25.708750915518792</v>
      </c>
      <c r="BF504" s="8">
        <v>25.555227477294061</v>
      </c>
      <c r="BG504" s="8">
        <v>0.64238167981759275</v>
      </c>
      <c r="BH504" s="8">
        <v>51.328796345734297</v>
      </c>
      <c r="BI504" s="8">
        <v>46.928162981257188</v>
      </c>
    </row>
    <row r="505" spans="1:61" x14ac:dyDescent="0.15">
      <c r="A505" s="7">
        <v>2022</v>
      </c>
      <c r="B505" s="7">
        <v>40</v>
      </c>
      <c r="C505" s="7">
        <v>344.47375115123725</v>
      </c>
      <c r="D505" s="7">
        <v>304.37246509904531</v>
      </c>
      <c r="E505" s="8">
        <v>28.612235926725202</v>
      </c>
      <c r="F505" s="8">
        <v>19.97997439203445</v>
      </c>
      <c r="G505" s="8">
        <v>0.73751569713024889</v>
      </c>
      <c r="H505" s="8">
        <v>53.570906600731668</v>
      </c>
      <c r="I505" s="8">
        <v>36.946959264980997</v>
      </c>
      <c r="J505" s="8">
        <v>37.083854993688107</v>
      </c>
      <c r="K505" s="8">
        <v>27.319765698871478</v>
      </c>
      <c r="L505" s="8">
        <v>0.7071328245373707</v>
      </c>
      <c r="M505" s="8">
        <v>53.731837033241042</v>
      </c>
      <c r="N505" s="8">
        <v>52.429423363960538</v>
      </c>
      <c r="O505" s="8">
        <v>279.16199999999998</v>
      </c>
      <c r="P505" s="8">
        <v>272.44799999999998</v>
      </c>
      <c r="Q505" s="8">
        <v>99.065799999999996</v>
      </c>
      <c r="R505" s="8">
        <v>1.5286299999999999</v>
      </c>
      <c r="S505" s="8">
        <v>0.90795300000000001</v>
      </c>
      <c r="T505" s="7">
        <f>C505-D505</f>
        <v>40.101286052191938</v>
      </c>
      <c r="U505" s="8">
        <f>D505/C505</f>
        <v>0.88358681635923564</v>
      </c>
      <c r="V505" s="8">
        <v>34.643634422456799</v>
      </c>
      <c r="W505" s="8">
        <v>23.2800750820982</v>
      </c>
      <c r="X505" s="8">
        <v>0.62665456801325736</v>
      </c>
      <c r="Y505" s="8">
        <v>52.667534540849552</v>
      </c>
      <c r="Z505" s="8">
        <v>51.940199037102502</v>
      </c>
      <c r="AA505" s="7">
        <v>35.863744708072453</v>
      </c>
      <c r="AB505" s="7">
        <v>25.299920390484839</v>
      </c>
      <c r="AC505" s="7">
        <v>0.66689369627531403</v>
      </c>
      <c r="AD505" s="7">
        <v>53.199685787045297</v>
      </c>
      <c r="AE505" s="7">
        <v>52.18481120053152</v>
      </c>
      <c r="AF505" s="8">
        <v>37.209700998378992</v>
      </c>
      <c r="AG505" s="8">
        <v>30.20721563180518</v>
      </c>
      <c r="AH505" s="8">
        <v>0.72486214022718165</v>
      </c>
      <c r="AI505" s="8">
        <v>53.855531252256071</v>
      </c>
      <c r="AJ505" s="8">
        <v>50.050543326290338</v>
      </c>
      <c r="AK505" s="8">
        <v>37.073817411628333</v>
      </c>
      <c r="AL505" s="8">
        <v>27.089460289362851</v>
      </c>
      <c r="AM505" s="8">
        <v>0.70571871956409371</v>
      </c>
      <c r="AN505" s="8">
        <v>53.72197107939742</v>
      </c>
      <c r="AO505" s="8">
        <v>52.619164815404822</v>
      </c>
      <c r="AP505" s="8">
        <v>36.255945801602252</v>
      </c>
      <c r="AQ505" s="8">
        <v>25.291180275523949</v>
      </c>
      <c r="AR505" s="8">
        <v>0.66109443210788554</v>
      </c>
      <c r="AS505" s="8">
        <v>53.056537619194678</v>
      </c>
      <c r="AT505" s="8">
        <v>52.664997213466798</v>
      </c>
      <c r="AU505" s="8">
        <v>36.493316787855143</v>
      </c>
      <c r="AV505" s="8">
        <v>25.373884028419571</v>
      </c>
      <c r="AW505" s="8">
        <v>0.65704387774983597</v>
      </c>
      <c r="AX505" s="8">
        <v>52.055166640370437</v>
      </c>
      <c r="AY505" s="8">
        <v>59.103305176512599</v>
      </c>
      <c r="AZ505" s="8">
        <v>36.397282840753903</v>
      </c>
      <c r="BA505" s="8">
        <v>26.608134050044779</v>
      </c>
      <c r="BB505" s="8">
        <v>0.69226889980767448</v>
      </c>
      <c r="BC505" s="8">
        <v>53.784763203765948</v>
      </c>
      <c r="BD505" s="8">
        <v>54.726578158077501</v>
      </c>
      <c r="BE505" s="8">
        <v>35.770855457190251</v>
      </c>
      <c r="BF505" s="8">
        <v>26.113293192909659</v>
      </c>
      <c r="BG505" s="8">
        <v>0.68255379005595196</v>
      </c>
      <c r="BH505" s="8">
        <v>52.296548565683622</v>
      </c>
      <c r="BI505" s="8">
        <v>62.521619671497653</v>
      </c>
    </row>
    <row r="506" spans="1:61" x14ac:dyDescent="0.15">
      <c r="A506" s="7">
        <v>2020</v>
      </c>
      <c r="B506" s="7">
        <v>29</v>
      </c>
      <c r="C506" s="7">
        <v>110.7931203847601</v>
      </c>
      <c r="D506" s="7">
        <v>2.6610002252350564</v>
      </c>
      <c r="E506" s="8">
        <v>32.126278939655862</v>
      </c>
      <c r="F506" s="8">
        <v>22.324887850835811</v>
      </c>
      <c r="G506" s="8">
        <v>0.73839561054098368</v>
      </c>
      <c r="H506" s="8">
        <v>62.297875656304242</v>
      </c>
      <c r="I506" s="8">
        <v>49.723613050749613</v>
      </c>
      <c r="J506" s="8">
        <v>34.488050365436287</v>
      </c>
      <c r="K506" s="8">
        <v>26.37455959151638</v>
      </c>
      <c r="L506" s="8">
        <v>0.80974509664405858</v>
      </c>
      <c r="M506" s="8">
        <v>73.065621934521289</v>
      </c>
      <c r="N506" s="8">
        <v>58.255388401351361</v>
      </c>
      <c r="O506" s="8">
        <v>284.392</v>
      </c>
      <c r="P506" s="8">
        <v>278.798</v>
      </c>
      <c r="Q506" s="8">
        <v>101.018</v>
      </c>
      <c r="R506" s="8">
        <v>0.76095599999999997</v>
      </c>
      <c r="S506" s="8">
        <v>-0.54870799999999997</v>
      </c>
      <c r="T506" s="7">
        <f>C506-D506</f>
        <v>108.13212015952504</v>
      </c>
      <c r="U506" s="8">
        <f>D506/C506</f>
        <v>2.4017738790946486E-2</v>
      </c>
      <c r="V506" s="8">
        <v>35.125123309686707</v>
      </c>
      <c r="W506" s="8">
        <v>25.497516428120498</v>
      </c>
      <c r="X506" s="8">
        <v>0.80427321584311795</v>
      </c>
      <c r="Y506" s="8">
        <v>64.071808911908022</v>
      </c>
      <c r="Z506" s="8">
        <v>55.443478996743558</v>
      </c>
      <c r="AA506" s="7">
        <v>34.806586837561497</v>
      </c>
      <c r="AB506" s="7">
        <v>25.936038009818439</v>
      </c>
      <c r="AC506" s="7">
        <v>0.80700915624358827</v>
      </c>
      <c r="AD506" s="7">
        <v>68.568715423214655</v>
      </c>
      <c r="AE506" s="7">
        <v>56.849433699047459</v>
      </c>
      <c r="AF506" s="8">
        <v>33.978636773713383</v>
      </c>
      <c r="AG506" s="8">
        <v>25.295218617598181</v>
      </c>
      <c r="AH506" s="8">
        <v>0.78771014337852785</v>
      </c>
      <c r="AI506" s="8">
        <v>72.398228907634319</v>
      </c>
      <c r="AJ506" s="8">
        <v>54.728109179846093</v>
      </c>
      <c r="AK506" s="8">
        <v>34.527081158794338</v>
      </c>
      <c r="AL506" s="8">
        <v>26.457257688309198</v>
      </c>
      <c r="AM506" s="8">
        <v>0.81143339417191307</v>
      </c>
      <c r="AN506" s="8">
        <v>73.116756964572062</v>
      </c>
      <c r="AO506" s="8">
        <v>58.525645239110808</v>
      </c>
      <c r="AP506" s="8">
        <v>35.799698613308678</v>
      </c>
      <c r="AQ506" s="8">
        <v>26.43359416479753</v>
      </c>
      <c r="AR506" s="8">
        <v>0.83774708966866795</v>
      </c>
      <c r="AS506" s="8">
        <v>70.011950879629183</v>
      </c>
      <c r="AT506" s="8">
        <v>59.659148622673847</v>
      </c>
      <c r="AU506" s="8">
        <v>37.552099963690679</v>
      </c>
      <c r="AV506" s="8">
        <v>26.86634440489906</v>
      </c>
      <c r="AW506" s="8">
        <v>0.86893626659064116</v>
      </c>
      <c r="AX506" s="8">
        <v>66.077160670139506</v>
      </c>
      <c r="AY506" s="8">
        <v>61.287154718505072</v>
      </c>
      <c r="AZ506" s="8">
        <v>35.646917604760411</v>
      </c>
      <c r="BA506" s="8">
        <v>27.153640504159259</v>
      </c>
      <c r="BB506" s="8">
        <v>0.82582978795944451</v>
      </c>
      <c r="BC506" s="8">
        <v>72.813769924557931</v>
      </c>
      <c r="BD506" s="8">
        <v>60.389276315392877</v>
      </c>
      <c r="BE506" s="8">
        <v>34.71129905910805</v>
      </c>
      <c r="BF506" s="8">
        <v>29.791823466763109</v>
      </c>
      <c r="BG506" s="8">
        <v>0.78710064814122338</v>
      </c>
      <c r="BH506" s="8">
        <v>69.449543249833624</v>
      </c>
      <c r="BI506" s="8">
        <v>60.849886169427343</v>
      </c>
    </row>
    <row r="507" spans="1:61" x14ac:dyDescent="0.15">
      <c r="A507" s="7">
        <v>2017</v>
      </c>
      <c r="B507" s="7">
        <v>43</v>
      </c>
      <c r="C507" s="7">
        <v>4.7882976732458067</v>
      </c>
      <c r="D507" s="7">
        <v>2.2166425641254137</v>
      </c>
      <c r="E507" s="8">
        <v>48.280202318760502</v>
      </c>
      <c r="F507" s="8">
        <v>34.404370364264793</v>
      </c>
      <c r="G507" s="8">
        <v>0.73847073695388488</v>
      </c>
      <c r="H507" s="8">
        <v>76.008270860547739</v>
      </c>
      <c r="I507" s="8">
        <v>77.397436462594428</v>
      </c>
      <c r="J507" s="8">
        <v>47.540710555834259</v>
      </c>
      <c r="K507" s="8">
        <v>38.159692110622863</v>
      </c>
      <c r="L507" s="8">
        <v>0.8185740569716391</v>
      </c>
      <c r="M507" s="8">
        <v>76.093658832034407</v>
      </c>
      <c r="N507" s="8">
        <v>74.31259089623785</v>
      </c>
      <c r="O507" s="8">
        <v>289.57400000000001</v>
      </c>
      <c r="P507" s="8">
        <v>283.97199999999998</v>
      </c>
      <c r="Q507" s="8">
        <v>101.673</v>
      </c>
      <c r="R507" s="8">
        <v>-0.67793199999999998</v>
      </c>
      <c r="S507" s="8">
        <v>-6.2661399999999999E-3</v>
      </c>
      <c r="T507" s="7">
        <f>C507-D507</f>
        <v>2.571655109120393</v>
      </c>
      <c r="U507" s="8">
        <f>D507/C507</f>
        <v>0.46292914839248811</v>
      </c>
      <c r="V507" s="8">
        <v>46.538071718146334</v>
      </c>
      <c r="W507" s="8">
        <v>34.267432159228896</v>
      </c>
      <c r="X507" s="8">
        <v>0.84823883856780213</v>
      </c>
      <c r="Y507" s="8">
        <v>75.337126781405203</v>
      </c>
      <c r="Z507" s="8">
        <v>73.165274548637001</v>
      </c>
      <c r="AA507" s="7">
        <v>47.039391136990297</v>
      </c>
      <c r="AB507" s="7">
        <v>36.21356213492588</v>
      </c>
      <c r="AC507" s="7">
        <v>0.83340644776972062</v>
      </c>
      <c r="AD507" s="7">
        <v>75.715392806719805</v>
      </c>
      <c r="AE507" s="7">
        <v>73.738932722437426</v>
      </c>
      <c r="AF507" s="8">
        <v>46.53848365422494</v>
      </c>
      <c r="AG507" s="8">
        <v>39.217940687840297</v>
      </c>
      <c r="AH507" s="8">
        <v>0.81973702161000783</v>
      </c>
      <c r="AI507" s="8">
        <v>75.54405600659544</v>
      </c>
      <c r="AJ507" s="8">
        <v>73.239472009849607</v>
      </c>
      <c r="AK507" s="8">
        <v>47.60815713419295</v>
      </c>
      <c r="AL507" s="8">
        <v>38.088475457516033</v>
      </c>
      <c r="AM507" s="8">
        <v>0.8184957932715885</v>
      </c>
      <c r="AN507" s="8">
        <v>76.130645296848527</v>
      </c>
      <c r="AO507" s="8">
        <v>74.384808272305833</v>
      </c>
      <c r="AP507" s="8">
        <v>47.035924135805388</v>
      </c>
      <c r="AQ507" s="8">
        <v>35.853235834031999</v>
      </c>
      <c r="AR507" s="8">
        <v>0.84151057934850482</v>
      </c>
      <c r="AS507" s="8">
        <v>75.229247840280976</v>
      </c>
      <c r="AT507" s="8">
        <v>74.006754289588685</v>
      </c>
      <c r="AU507" s="8">
        <v>46.101860247282502</v>
      </c>
      <c r="AV507" s="8">
        <v>27.047840093479451</v>
      </c>
      <c r="AW507" s="8">
        <v>0.82853315780926129</v>
      </c>
      <c r="AX507" s="8">
        <v>69.421976067396031</v>
      </c>
      <c r="AY507" s="8">
        <v>79.153714994063435</v>
      </c>
      <c r="AZ507" s="8">
        <v>47.209022273651449</v>
      </c>
      <c r="BA507" s="8">
        <v>38.612220531343723</v>
      </c>
      <c r="BB507" s="8">
        <v>0.79816331933996365</v>
      </c>
      <c r="BC507" s="8">
        <v>76.540151487529855</v>
      </c>
      <c r="BD507" s="8">
        <v>72.896144587852419</v>
      </c>
      <c r="BE507" s="8">
        <v>46.848200569873029</v>
      </c>
      <c r="BF507" s="8">
        <v>44.402250871943771</v>
      </c>
      <c r="BG507" s="8">
        <v>0.81753668878595787</v>
      </c>
      <c r="BH507" s="8">
        <v>77.087628806242193</v>
      </c>
      <c r="BI507" s="8">
        <v>74.630513932783899</v>
      </c>
    </row>
    <row r="508" spans="1:61" x14ac:dyDescent="0.15">
      <c r="A508" s="7">
        <v>2022</v>
      </c>
      <c r="B508" s="7">
        <v>71</v>
      </c>
      <c r="C508" s="7">
        <v>62.926249810264366</v>
      </c>
      <c r="D508" s="7">
        <v>25.461004517813688</v>
      </c>
      <c r="E508" s="8">
        <v>35.154632981892412</v>
      </c>
      <c r="F508" s="8">
        <v>30.284402952529309</v>
      </c>
      <c r="G508" s="8">
        <v>0.73867137772464275</v>
      </c>
      <c r="H508" s="8">
        <v>66.559098815755988</v>
      </c>
      <c r="I508" s="8">
        <v>54.959475916134053</v>
      </c>
      <c r="J508" s="8">
        <v>32.957376011857711</v>
      </c>
      <c r="K508" s="8">
        <v>21.963838217806849</v>
      </c>
      <c r="L508" s="8">
        <v>0.53246259641881366</v>
      </c>
      <c r="M508" s="8">
        <v>76.081977161491054</v>
      </c>
      <c r="N508" s="8">
        <v>49.092374833048332</v>
      </c>
      <c r="O508" s="8">
        <v>289.16800000000001</v>
      </c>
      <c r="P508" s="8">
        <v>282.77999999999997</v>
      </c>
      <c r="Q508" s="8">
        <v>101.503</v>
      </c>
      <c r="R508" s="8">
        <v>-0.71514599999999995</v>
      </c>
      <c r="S508" s="8">
        <v>-1.4508500000000001E-2</v>
      </c>
      <c r="T508" s="7">
        <f>C508-D508</f>
        <v>37.465245292450675</v>
      </c>
      <c r="U508" s="8">
        <f>D508/C508</f>
        <v>0.40461658838058634</v>
      </c>
      <c r="V508" s="8">
        <v>28.943604118166029</v>
      </c>
      <c r="W508" s="8">
        <v>27.615450972786153</v>
      </c>
      <c r="X508" s="8">
        <v>0.64801792605610253</v>
      </c>
      <c r="Y508" s="8">
        <v>68.444200923543988</v>
      </c>
      <c r="Z508" s="8">
        <v>44.211601875155033</v>
      </c>
      <c r="AA508" s="7">
        <v>30.95049006501187</v>
      </c>
      <c r="AB508" s="7">
        <v>24.789644595296501</v>
      </c>
      <c r="AC508" s="7">
        <v>0.5902402612374581</v>
      </c>
      <c r="AD508" s="7">
        <v>72.263089042517521</v>
      </c>
      <c r="AE508" s="7">
        <v>46.651988354101682</v>
      </c>
      <c r="AF508" s="8">
        <v>34.196796652342627</v>
      </c>
      <c r="AG508" s="8">
        <v>21.260448330852729</v>
      </c>
      <c r="AH508" s="8">
        <v>0.50357130779343362</v>
      </c>
      <c r="AI508" s="8">
        <v>76.654864713475746</v>
      </c>
      <c r="AJ508" s="8">
        <v>46.670813978839973</v>
      </c>
      <c r="AK508" s="8">
        <v>32.901677973934177</v>
      </c>
      <c r="AL508" s="8">
        <v>21.995447693491599</v>
      </c>
      <c r="AM508" s="8">
        <v>0.53376093536602276</v>
      </c>
      <c r="AN508" s="8">
        <v>76.056232300098486</v>
      </c>
      <c r="AO508" s="8">
        <v>49.201196797025872</v>
      </c>
      <c r="AP508" s="8">
        <v>29.747006076783482</v>
      </c>
      <c r="AQ508" s="8">
        <v>24.125665622018769</v>
      </c>
      <c r="AR508" s="8">
        <v>0.53491472237175075</v>
      </c>
      <c r="AS508" s="8">
        <v>72.804002657488738</v>
      </c>
      <c r="AT508" s="8">
        <v>44.065380550013799</v>
      </c>
      <c r="AU508" s="8">
        <v>40.099900463390327</v>
      </c>
      <c r="AV508" s="8">
        <v>29.058035491504821</v>
      </c>
      <c r="AW508" s="8">
        <v>0.57786611615097383</v>
      </c>
      <c r="AX508" s="8">
        <v>64.939061065688236</v>
      </c>
      <c r="AY508" s="8">
        <v>75.440110777522406</v>
      </c>
      <c r="AZ508" s="8">
        <v>32.308923448091868</v>
      </c>
      <c r="BA508" s="8">
        <v>22.230009287702739</v>
      </c>
      <c r="BB508" s="8">
        <v>0.53752861894258119</v>
      </c>
      <c r="BC508" s="8">
        <v>75.162557894521242</v>
      </c>
      <c r="BD508" s="8">
        <v>50.816111590874748</v>
      </c>
      <c r="BE508" s="8">
        <v>40.044562443482043</v>
      </c>
      <c r="BF508" s="8">
        <v>28.678267939025901</v>
      </c>
      <c r="BG508" s="8">
        <v>0.54363024886209432</v>
      </c>
      <c r="BH508" s="8">
        <v>66.832990436131936</v>
      </c>
      <c r="BI508" s="8">
        <v>73.499621991047178</v>
      </c>
    </row>
    <row r="509" spans="1:61" x14ac:dyDescent="0.15">
      <c r="A509" s="7">
        <v>2017</v>
      </c>
      <c r="B509" s="7">
        <v>58</v>
      </c>
      <c r="C509" s="7">
        <v>96.740839747729837</v>
      </c>
      <c r="D509" s="7">
        <v>38.910002468314538</v>
      </c>
      <c r="E509" s="8">
        <v>28.500467214200491</v>
      </c>
      <c r="F509" s="8">
        <v>18.15923759924722</v>
      </c>
      <c r="G509" s="8">
        <v>0.73974524242513862</v>
      </c>
      <c r="H509" s="8">
        <v>63.65704111550275</v>
      </c>
      <c r="I509" s="8">
        <v>42.673387113473453</v>
      </c>
      <c r="J509" s="8">
        <v>29.896898661929821</v>
      </c>
      <c r="K509" s="8">
        <v>19.297794952898119</v>
      </c>
      <c r="L509" s="8">
        <v>0.72884618187399619</v>
      </c>
      <c r="M509" s="8">
        <v>58.426245364716621</v>
      </c>
      <c r="N509" s="8">
        <v>49.678996515007228</v>
      </c>
      <c r="O509" s="8">
        <v>288.63400000000001</v>
      </c>
      <c r="P509" s="8">
        <v>285.029</v>
      </c>
      <c r="Q509" s="8">
        <v>88.109399999999994</v>
      </c>
      <c r="R509" s="8">
        <v>-0.56807600000000003</v>
      </c>
      <c r="S509" s="8">
        <v>0.372085</v>
      </c>
      <c r="T509" s="7">
        <f>C509-D509</f>
        <v>57.830837279415299</v>
      </c>
      <c r="U509" s="8">
        <f>D509/C509</f>
        <v>0.40220864910600096</v>
      </c>
      <c r="V509" s="8">
        <v>28.595800278853357</v>
      </c>
      <c r="W509" s="8">
        <v>15.398201990230458</v>
      </c>
      <c r="X509" s="8">
        <v>0.6936688028726925</v>
      </c>
      <c r="Y509" s="8">
        <v>64.673535239923098</v>
      </c>
      <c r="Z509" s="8">
        <v>40.222466356467336</v>
      </c>
      <c r="AA509" s="7">
        <v>29.246349470391589</v>
      </c>
      <c r="AB509" s="7">
        <v>17.347998471564289</v>
      </c>
      <c r="AC509" s="7">
        <v>0.71125749237334435</v>
      </c>
      <c r="AD509" s="7">
        <v>61.549890302319859</v>
      </c>
      <c r="AE509" s="7">
        <v>44.950731435737282</v>
      </c>
      <c r="AF509" s="8">
        <v>29.625868151371169</v>
      </c>
      <c r="AG509" s="8">
        <v>19.492980084654722</v>
      </c>
      <c r="AH509" s="8">
        <v>0.73935710984215897</v>
      </c>
      <c r="AI509" s="8">
        <v>58.485642655945391</v>
      </c>
      <c r="AJ509" s="8">
        <v>50.270395509459277</v>
      </c>
      <c r="AK509" s="8">
        <v>29.948131936013379</v>
      </c>
      <c r="AL509" s="8">
        <v>19.260898836177869</v>
      </c>
      <c r="AM509" s="8">
        <v>0.72685928655230203</v>
      </c>
      <c r="AN509" s="8">
        <v>58.41501741220651</v>
      </c>
      <c r="AO509" s="8">
        <v>49.56720354117175</v>
      </c>
      <c r="AP509" s="8">
        <v>29.756786108496321</v>
      </c>
      <c r="AQ509" s="8">
        <v>16.146457426024838</v>
      </c>
      <c r="AR509" s="8">
        <v>0.67965265911038486</v>
      </c>
      <c r="AS509" s="8">
        <v>59.781111194181022</v>
      </c>
      <c r="AT509" s="8">
        <v>46.516383156965389</v>
      </c>
      <c r="AU509" s="8">
        <v>28.62456378947854</v>
      </c>
      <c r="AV509" s="8">
        <v>18.541688947272981</v>
      </c>
      <c r="AW509" s="8">
        <v>0.70778712985558379</v>
      </c>
      <c r="AX509" s="8">
        <v>61.631037150158647</v>
      </c>
      <c r="AY509" s="8">
        <v>48.45302064955365</v>
      </c>
      <c r="AZ509" s="8">
        <v>30.969811079224758</v>
      </c>
      <c r="BA509" s="8">
        <v>22.422622729431829</v>
      </c>
      <c r="BB509" s="8">
        <v>0.75712631222868654</v>
      </c>
      <c r="BC509" s="8">
        <v>56.103202464460907</v>
      </c>
      <c r="BD509" s="8">
        <v>51.726677582125816</v>
      </c>
      <c r="BE509" s="8">
        <v>28.44448339476293</v>
      </c>
      <c r="BF509" s="8">
        <v>21.842771667384682</v>
      </c>
      <c r="BG509" s="8">
        <v>0.6837721490881723</v>
      </c>
      <c r="BH509" s="8">
        <v>63.293346056680697</v>
      </c>
      <c r="BI509" s="8">
        <v>54.910323626895917</v>
      </c>
    </row>
    <row r="510" spans="1:61" x14ac:dyDescent="0.15">
      <c r="A510" s="7">
        <v>2021</v>
      </c>
      <c r="B510" s="7">
        <v>135</v>
      </c>
      <c r="C510" s="7">
        <v>12.63275282480074</v>
      </c>
      <c r="D510" s="7">
        <v>1.4118990600857741</v>
      </c>
      <c r="E510" s="8">
        <v>41.999900470664628</v>
      </c>
      <c r="F510" s="8">
        <v>25.11610271860712</v>
      </c>
      <c r="G510" s="8">
        <v>0.73974711133477966</v>
      </c>
      <c r="H510" s="8">
        <v>72.165123913360134</v>
      </c>
      <c r="I510" s="8">
        <v>63.113426401100178</v>
      </c>
      <c r="J510" s="8">
        <v>41.544378678763152</v>
      </c>
      <c r="K510" s="8">
        <v>30.072265730932351</v>
      </c>
      <c r="L510" s="8">
        <v>0.80483936552202506</v>
      </c>
      <c r="M510" s="8">
        <v>69.377015351821555</v>
      </c>
      <c r="N510" s="8">
        <v>81.482471669921821</v>
      </c>
      <c r="O510" s="8">
        <v>288.40899999999999</v>
      </c>
      <c r="P510" s="8">
        <v>279.45</v>
      </c>
      <c r="Q510" s="8">
        <v>98.726500000000001</v>
      </c>
      <c r="R510" s="8">
        <v>0.16245200000000001</v>
      </c>
      <c r="S510" s="8">
        <v>-0.191137</v>
      </c>
      <c r="T510" s="7">
        <f>C510-D510</f>
        <v>11.220853764714965</v>
      </c>
      <c r="U510" s="8">
        <f>D510/C510</f>
        <v>0.11176495572001699</v>
      </c>
      <c r="V510" s="8">
        <v>37.499685511475391</v>
      </c>
      <c r="W510" s="8">
        <v>26.787241839045691</v>
      </c>
      <c r="X510" s="8">
        <v>0.74305753571712552</v>
      </c>
      <c r="Y510" s="8">
        <v>64.814768990735857</v>
      </c>
      <c r="Z510" s="8">
        <v>64.288984997172989</v>
      </c>
      <c r="AA510" s="7">
        <v>39.522032095119272</v>
      </c>
      <c r="AB510" s="7">
        <v>28.429753784989021</v>
      </c>
      <c r="AC510" s="7">
        <v>0.77394845061957529</v>
      </c>
      <c r="AD510" s="7">
        <v>67.095892171278706</v>
      </c>
      <c r="AE510" s="7">
        <v>72.885728333547405</v>
      </c>
      <c r="AF510" s="8">
        <v>42.18675926301907</v>
      </c>
      <c r="AG510" s="8">
        <v>28.6799764268956</v>
      </c>
      <c r="AH510" s="8">
        <v>0.80980944955528988</v>
      </c>
      <c r="AI510" s="8">
        <v>69.444165865626189</v>
      </c>
      <c r="AJ510" s="8">
        <v>77.668377911005464</v>
      </c>
      <c r="AK510" s="8">
        <v>41.49541535385891</v>
      </c>
      <c r="AL510" s="8">
        <v>30.17838835547154</v>
      </c>
      <c r="AM510" s="8">
        <v>0.80446053738604706</v>
      </c>
      <c r="AN510" s="8">
        <v>69.371897027100218</v>
      </c>
      <c r="AO510" s="8">
        <v>81.773188289493078</v>
      </c>
      <c r="AP510" s="8">
        <v>38.845644401641223</v>
      </c>
      <c r="AQ510" s="8">
        <v>28.362762345467569</v>
      </c>
      <c r="AR510" s="8">
        <v>0.76994600833555893</v>
      </c>
      <c r="AS510" s="8">
        <v>65.838848136221031</v>
      </c>
      <c r="AT510" s="8">
        <v>72.217292764738119</v>
      </c>
      <c r="AU510" s="8">
        <v>36.565367016200447</v>
      </c>
      <c r="AV510" s="8">
        <v>27.097152227960219</v>
      </c>
      <c r="AW510" s="8">
        <v>0.78639870091190234</v>
      </c>
      <c r="AX510" s="8">
        <v>65.475492736054036</v>
      </c>
      <c r="AY510" s="8">
        <v>65.291948530857766</v>
      </c>
      <c r="AZ510" s="8">
        <v>41.354604279770783</v>
      </c>
      <c r="BA510" s="8">
        <v>30.80235388480332</v>
      </c>
      <c r="BB510" s="8">
        <v>0.80343503121067517</v>
      </c>
      <c r="BC510" s="8">
        <v>69.285444917634379</v>
      </c>
      <c r="BD510" s="8">
        <v>82.795922674904403</v>
      </c>
      <c r="BE510" s="8">
        <v>43.100294526265941</v>
      </c>
      <c r="BF510" s="8">
        <v>34.238122196058988</v>
      </c>
      <c r="BG510" s="8">
        <v>1.0600290793710669</v>
      </c>
      <c r="BH510" s="8">
        <v>67.187936128275197</v>
      </c>
      <c r="BI510" s="8">
        <v>90.767324316471559</v>
      </c>
    </row>
    <row r="511" spans="1:61" x14ac:dyDescent="0.15">
      <c r="A511" s="7">
        <v>2018</v>
      </c>
      <c r="B511" s="7">
        <v>39</v>
      </c>
      <c r="C511" s="7">
        <v>27.889366256938246</v>
      </c>
      <c r="D511" s="7">
        <v>5.8658692091171591</v>
      </c>
      <c r="E511" s="8">
        <v>42.850467479997228</v>
      </c>
      <c r="F511" s="8">
        <v>31.7461992366683</v>
      </c>
      <c r="G511" s="8">
        <v>0.74052617239152052</v>
      </c>
      <c r="H511" s="8">
        <v>76.7036888553491</v>
      </c>
      <c r="I511" s="8">
        <v>65.816534677789136</v>
      </c>
      <c r="J511" s="8">
        <v>42.421334195678178</v>
      </c>
      <c r="K511" s="8">
        <v>31.436455476579479</v>
      </c>
      <c r="L511" s="8">
        <v>0.75925761358684218</v>
      </c>
      <c r="M511" s="8">
        <v>77.549463469530139</v>
      </c>
      <c r="N511" s="8">
        <v>67.878994189243784</v>
      </c>
      <c r="O511" s="8">
        <v>288.84199999999998</v>
      </c>
      <c r="P511" s="8">
        <v>284.08499999999998</v>
      </c>
      <c r="Q511" s="8">
        <v>101.667</v>
      </c>
      <c r="R511" s="8">
        <v>-1.16317</v>
      </c>
      <c r="S511" s="8">
        <v>-0.217753</v>
      </c>
      <c r="T511" s="7">
        <f>C511-D511</f>
        <v>22.023497047821088</v>
      </c>
      <c r="U511" s="8">
        <f>D511/C511</f>
        <v>0.21032637153086486</v>
      </c>
      <c r="V511" s="8">
        <v>45.170171325358318</v>
      </c>
      <c r="W511" s="8">
        <v>32.002012032673179</v>
      </c>
      <c r="X511" s="8">
        <v>0.73812598722970157</v>
      </c>
      <c r="Y511" s="8">
        <v>75.104766851833574</v>
      </c>
      <c r="Z511" s="8">
        <v>66.348465163653756</v>
      </c>
      <c r="AA511" s="7">
        <v>43.795752760518248</v>
      </c>
      <c r="AB511" s="7">
        <v>31.71923375462633</v>
      </c>
      <c r="AC511" s="7">
        <v>0.74869180040827188</v>
      </c>
      <c r="AD511" s="7">
        <v>76.327115160681856</v>
      </c>
      <c r="AE511" s="7">
        <v>67.11372967644877</v>
      </c>
      <c r="AF511" s="8">
        <v>41.001267589489188</v>
      </c>
      <c r="AG511" s="8">
        <v>29.950823564144951</v>
      </c>
      <c r="AH511" s="8">
        <v>0.75887916469419825</v>
      </c>
      <c r="AI511" s="8">
        <v>78.274356608048976</v>
      </c>
      <c r="AJ511" s="8">
        <v>65.159534939745285</v>
      </c>
      <c r="AK511" s="8">
        <v>42.5100305317522</v>
      </c>
      <c r="AL511" s="8">
        <v>31.529246974396059</v>
      </c>
      <c r="AM511" s="8">
        <v>0.7592812512317404</v>
      </c>
      <c r="AN511" s="8">
        <v>77.504187166889409</v>
      </c>
      <c r="AO511" s="8">
        <v>68.048849652700113</v>
      </c>
      <c r="AP511" s="8">
        <v>43.810824668205917</v>
      </c>
      <c r="AQ511" s="8">
        <v>31.176488853023521</v>
      </c>
      <c r="AR511" s="8">
        <v>0.73945875350509882</v>
      </c>
      <c r="AS511" s="8">
        <v>75.799136664271359</v>
      </c>
      <c r="AT511" s="8">
        <v>65.413492968075332</v>
      </c>
      <c r="AU511" s="8">
        <v>44.22887805701091</v>
      </c>
      <c r="AV511" s="8">
        <v>34.734526423879743</v>
      </c>
      <c r="AW511" s="8">
        <v>0.71986229410580527</v>
      </c>
      <c r="AX511" s="8">
        <v>77.193074407078342</v>
      </c>
      <c r="AY511" s="8">
        <v>76.923695599986914</v>
      </c>
      <c r="AZ511" s="8">
        <v>42.655242326660392</v>
      </c>
      <c r="BA511" s="8">
        <v>32.247228746474192</v>
      </c>
      <c r="BB511" s="8">
        <v>0.74227569163454088</v>
      </c>
      <c r="BC511" s="8">
        <v>77.890719569846709</v>
      </c>
      <c r="BD511" s="8">
        <v>69.702070157969374</v>
      </c>
      <c r="BE511" s="8">
        <v>43.548441983432099</v>
      </c>
      <c r="BF511" s="8">
        <v>35.09027104347922</v>
      </c>
      <c r="BG511" s="8">
        <v>0.7255105472152964</v>
      </c>
      <c r="BH511" s="8">
        <v>79.550778769272398</v>
      </c>
      <c r="BI511" s="8">
        <v>75.023183059122672</v>
      </c>
    </row>
    <row r="512" spans="1:61" x14ac:dyDescent="0.15">
      <c r="A512" s="7">
        <v>2021</v>
      </c>
      <c r="B512" s="7">
        <v>46</v>
      </c>
      <c r="C512" s="7">
        <v>173.38824331231103</v>
      </c>
      <c r="D512" s="7">
        <v>110.11339058292802</v>
      </c>
      <c r="E512" s="8">
        <v>35.405464751374012</v>
      </c>
      <c r="F512" s="8">
        <v>27.40417379148311</v>
      </c>
      <c r="G512" s="8">
        <v>0.7411547723576597</v>
      </c>
      <c r="H512" s="8">
        <v>68.885010641377903</v>
      </c>
      <c r="I512" s="8">
        <v>53.336366134653787</v>
      </c>
      <c r="J512" s="8">
        <v>38.457555626816372</v>
      </c>
      <c r="K512" s="8">
        <v>24.390850085734641</v>
      </c>
      <c r="L512" s="8">
        <v>0.70288063605880102</v>
      </c>
      <c r="M512" s="8">
        <v>75.875911274491713</v>
      </c>
      <c r="N512" s="8">
        <v>66.728291771541578</v>
      </c>
      <c r="O512" s="8">
        <v>287.375</v>
      </c>
      <c r="P512" s="8">
        <v>281.084</v>
      </c>
      <c r="Q512" s="8">
        <v>99.475100000000012</v>
      </c>
      <c r="R512" s="8">
        <v>-0.31412899999999999</v>
      </c>
      <c r="S512" s="8">
        <v>7.3309299999999994E-2</v>
      </c>
      <c r="T512" s="7">
        <f>C512-D512</f>
        <v>63.274852729383014</v>
      </c>
      <c r="U512" s="8">
        <f>D512/C512</f>
        <v>0.63506837879768563</v>
      </c>
      <c r="V512" s="8">
        <v>33.345959627128849</v>
      </c>
      <c r="W512" s="8">
        <v>24.342776071163541</v>
      </c>
      <c r="X512" s="8">
        <v>0.67582026108515125</v>
      </c>
      <c r="Y512" s="8">
        <v>70.514728606353131</v>
      </c>
      <c r="Z512" s="8">
        <v>59.928422581862677</v>
      </c>
      <c r="AA512" s="7">
        <v>35.901757626972611</v>
      </c>
      <c r="AB512" s="7">
        <v>24.366813078449091</v>
      </c>
      <c r="AC512" s="7">
        <v>0.68935044857197614</v>
      </c>
      <c r="AD512" s="7">
        <v>73.195319940422422</v>
      </c>
      <c r="AE512" s="7">
        <v>63.328357176702127</v>
      </c>
      <c r="AF512" s="8">
        <v>38.089481287354033</v>
      </c>
      <c r="AG512" s="8">
        <v>22.907233253948149</v>
      </c>
      <c r="AH512" s="8">
        <v>0.68644391754970424</v>
      </c>
      <c r="AI512" s="8">
        <v>78.450535473197547</v>
      </c>
      <c r="AJ512" s="8">
        <v>61.601044849186152</v>
      </c>
      <c r="AK512" s="8">
        <v>38.483910099579411</v>
      </c>
      <c r="AL512" s="8">
        <v>24.497078461886119</v>
      </c>
      <c r="AM512" s="8">
        <v>0.70405752073621319</v>
      </c>
      <c r="AN512" s="8">
        <v>75.691565733264952</v>
      </c>
      <c r="AO512" s="8">
        <v>67.095407527456558</v>
      </c>
      <c r="AP512" s="8">
        <v>35.201814348647552</v>
      </c>
      <c r="AQ512" s="8">
        <v>23.761168796316301</v>
      </c>
      <c r="AR512" s="8">
        <v>0.67725954724671855</v>
      </c>
      <c r="AS512" s="8">
        <v>73.124047858090677</v>
      </c>
      <c r="AT512" s="8">
        <v>62.172392916566046</v>
      </c>
      <c r="AU512" s="8">
        <v>33.463392017732623</v>
      </c>
      <c r="AV512" s="8">
        <v>23.558807451232941</v>
      </c>
      <c r="AW512" s="8">
        <v>0.6820257668148948</v>
      </c>
      <c r="AX512" s="8">
        <v>71.931589995678735</v>
      </c>
      <c r="AY512" s="8">
        <v>67.612728401230484</v>
      </c>
      <c r="AZ512" s="8">
        <v>38.530274247129768</v>
      </c>
      <c r="BA512" s="8">
        <v>24.844932683047119</v>
      </c>
      <c r="BB512" s="8">
        <v>0.70694690761501944</v>
      </c>
      <c r="BC512" s="8">
        <v>75.400712065951808</v>
      </c>
      <c r="BD512" s="8">
        <v>69.736939859188283</v>
      </c>
      <c r="BE512" s="8">
        <v>39.138085793033817</v>
      </c>
      <c r="BF512" s="8">
        <v>29.789305299576071</v>
      </c>
      <c r="BG512" s="8">
        <v>0.77240962843010641</v>
      </c>
      <c r="BH512" s="8">
        <v>72.016587758664429</v>
      </c>
      <c r="BI512" s="8">
        <v>78.828967459555329</v>
      </c>
    </row>
    <row r="513" spans="1:61" x14ac:dyDescent="0.15">
      <c r="A513" s="7">
        <v>2021</v>
      </c>
      <c r="B513" s="7">
        <v>55</v>
      </c>
      <c r="C513" s="7">
        <v>85.928384041710729</v>
      </c>
      <c r="D513" s="7">
        <v>48.927569616501017</v>
      </c>
      <c r="E513" s="8">
        <v>37.459399822513099</v>
      </c>
      <c r="F513" s="8">
        <v>25.048316157996961</v>
      </c>
      <c r="G513" s="8">
        <v>0.74144556338873613</v>
      </c>
      <c r="H513" s="8">
        <v>72.853306603214932</v>
      </c>
      <c r="I513" s="8">
        <v>57.493317203373721</v>
      </c>
      <c r="J513" s="8">
        <v>43.802973539574893</v>
      </c>
      <c r="K513" s="8">
        <v>27.197647665470701</v>
      </c>
      <c r="L513" s="8">
        <v>0.73664107370612275</v>
      </c>
      <c r="M513" s="8">
        <v>72.774190925453155</v>
      </c>
      <c r="N513" s="8">
        <v>72.309826365943806</v>
      </c>
      <c r="O513" s="8">
        <v>288.73700000000002</v>
      </c>
      <c r="P513" s="8">
        <v>281.80399999999997</v>
      </c>
      <c r="Q513" s="8">
        <v>100.846</v>
      </c>
      <c r="R513" s="8">
        <v>-0.47459299999999999</v>
      </c>
      <c r="S513" s="8">
        <v>0.312585</v>
      </c>
      <c r="T513" s="7">
        <f>C513-D513</f>
        <v>37.000814425209711</v>
      </c>
      <c r="U513" s="8">
        <f>D513/C513</f>
        <v>0.5693993918557918</v>
      </c>
      <c r="V513" s="8">
        <v>42.359500264580731</v>
      </c>
      <c r="W513" s="8">
        <v>27.218031473231019</v>
      </c>
      <c r="X513" s="8">
        <v>0.72319715750042757</v>
      </c>
      <c r="Y513" s="8">
        <v>68.716759046140112</v>
      </c>
      <c r="Z513" s="8">
        <v>76.115383668574665</v>
      </c>
      <c r="AA513" s="7">
        <v>43.081236902077812</v>
      </c>
      <c r="AB513" s="7">
        <v>27.20783956935086</v>
      </c>
      <c r="AC513" s="7">
        <v>0.72991911560327516</v>
      </c>
      <c r="AD513" s="7">
        <v>70.745474985796633</v>
      </c>
      <c r="AE513" s="7">
        <v>74.212605017259236</v>
      </c>
      <c r="AF513" s="8">
        <v>43.696931143612161</v>
      </c>
      <c r="AG513" s="8">
        <v>25.673822214083408</v>
      </c>
      <c r="AH513" s="8">
        <v>0.74832804055030311</v>
      </c>
      <c r="AI513" s="8">
        <v>74.017230100053524</v>
      </c>
      <c r="AJ513" s="8">
        <v>69.23750212254096</v>
      </c>
      <c r="AK513" s="8">
        <v>43.811323199267328</v>
      </c>
      <c r="AL513" s="8">
        <v>27.317631977728642</v>
      </c>
      <c r="AM513" s="8">
        <v>0.73572085500397133</v>
      </c>
      <c r="AN513" s="8">
        <v>72.676315410683188</v>
      </c>
      <c r="AO513" s="8">
        <v>72.55173774171358</v>
      </c>
      <c r="AP513" s="8">
        <v>43.195859223196081</v>
      </c>
      <c r="AQ513" s="8">
        <v>26.41403724179747</v>
      </c>
      <c r="AR513" s="8">
        <v>0.72728509494959337</v>
      </c>
      <c r="AS513" s="8">
        <v>70.447954097694122</v>
      </c>
      <c r="AT513" s="8">
        <v>75.594759890971147</v>
      </c>
      <c r="AU513" s="8">
        <v>33.425333082198058</v>
      </c>
      <c r="AV513" s="8">
        <v>23.52168295002804</v>
      </c>
      <c r="AW513" s="8">
        <v>0.6756743698821186</v>
      </c>
      <c r="AX513" s="8">
        <v>73.681242145410025</v>
      </c>
      <c r="AY513" s="8">
        <v>70.184257787521588</v>
      </c>
      <c r="AZ513" s="8">
        <v>43.454411434880832</v>
      </c>
      <c r="BA513" s="8">
        <v>28.280663455746769</v>
      </c>
      <c r="BB513" s="8">
        <v>0.73401272242017468</v>
      </c>
      <c r="BC513" s="8">
        <v>72.543459862229369</v>
      </c>
      <c r="BD513" s="8">
        <v>74.600261616062653</v>
      </c>
      <c r="BE513" s="8">
        <v>46.363438146792788</v>
      </c>
      <c r="BF513" s="8">
        <v>31.841721795476751</v>
      </c>
      <c r="BG513" s="8">
        <v>0.84997837762386652</v>
      </c>
      <c r="BH513" s="8">
        <v>70.076870012839478</v>
      </c>
      <c r="BI513" s="8">
        <v>87.046949816678193</v>
      </c>
    </row>
    <row r="514" spans="1:61" x14ac:dyDescent="0.15">
      <c r="A514" s="7">
        <v>2017</v>
      </c>
      <c r="B514" s="7">
        <v>73</v>
      </c>
      <c r="C514" s="7">
        <v>8.4219430961865278</v>
      </c>
      <c r="D514" s="7">
        <v>1.6149614687946194</v>
      </c>
      <c r="E514" s="8">
        <v>28.89682529796838</v>
      </c>
      <c r="F514" s="8">
        <v>29.92762975463382</v>
      </c>
      <c r="G514" s="8">
        <v>0.74153008539107323</v>
      </c>
      <c r="H514" s="8">
        <v>60.757788011419613</v>
      </c>
      <c r="I514" s="8">
        <v>44.464918743263958</v>
      </c>
      <c r="J514" s="8">
        <v>29.785023019878889</v>
      </c>
      <c r="K514" s="8">
        <v>33.254917656719563</v>
      </c>
      <c r="L514" s="8">
        <v>0.79057643810693257</v>
      </c>
      <c r="M514" s="8">
        <v>59.920364385213958</v>
      </c>
      <c r="N514" s="8">
        <v>43.578096879007752</v>
      </c>
      <c r="O514" s="8">
        <v>296.62299999999999</v>
      </c>
      <c r="P514" s="8">
        <v>292.85000000000002</v>
      </c>
      <c r="Q514" s="8">
        <v>100.977</v>
      </c>
      <c r="R514" s="8">
        <v>-1.65036</v>
      </c>
      <c r="S514" s="8">
        <v>-0.51592400000000005</v>
      </c>
      <c r="T514" s="7">
        <f>C514-D514</f>
        <v>6.8069816273919086</v>
      </c>
      <c r="U514" s="8">
        <f>D514/C514</f>
        <v>0.19175639758547847</v>
      </c>
      <c r="V514" s="8">
        <v>34.867438764753942</v>
      </c>
      <c r="W514" s="8">
        <v>29.856713206675678</v>
      </c>
      <c r="X514" s="8">
        <v>0.98579098399167042</v>
      </c>
      <c r="Y514" s="8">
        <v>61.461151989910036</v>
      </c>
      <c r="Z514" s="8">
        <v>44.081333780453384</v>
      </c>
      <c r="AA514" s="7">
        <v>32.326230892316417</v>
      </c>
      <c r="AB514" s="7">
        <v>31.555815431697621</v>
      </c>
      <c r="AC514" s="7">
        <v>0.88818371104930149</v>
      </c>
      <c r="AD514" s="7">
        <v>60.690758187561997</v>
      </c>
      <c r="AE514" s="7">
        <v>43.829715329730568</v>
      </c>
      <c r="AF514" s="8">
        <v>29.95754724538741</v>
      </c>
      <c r="AG514" s="8">
        <v>33.630387139497643</v>
      </c>
      <c r="AH514" s="8">
        <v>0.7987337246497519</v>
      </c>
      <c r="AI514" s="8">
        <v>60.106543589861523</v>
      </c>
      <c r="AJ514" s="8">
        <v>44.084952223573929</v>
      </c>
      <c r="AK514" s="8">
        <v>29.768081513125122</v>
      </c>
      <c r="AL514" s="8">
        <v>33.218047363521208</v>
      </c>
      <c r="AM514" s="8">
        <v>0.78977541016636232</v>
      </c>
      <c r="AN514" s="8">
        <v>59.902081988966998</v>
      </c>
      <c r="AO514" s="8">
        <v>43.528324777624093</v>
      </c>
      <c r="AP514" s="8">
        <v>28.852990067475218</v>
      </c>
      <c r="AQ514" s="8">
        <v>30.90891786608189</v>
      </c>
      <c r="AR514" s="8">
        <v>0.78303826734241744</v>
      </c>
      <c r="AS514" s="8">
        <v>61.05900680748308</v>
      </c>
      <c r="AT514" s="8">
        <v>42.863986352579978</v>
      </c>
      <c r="AU514" s="8">
        <v>27.406800032110731</v>
      </c>
      <c r="AV514" s="8">
        <v>28.39275335082079</v>
      </c>
      <c r="AW514" s="8">
        <v>0.78663900369905915</v>
      </c>
      <c r="AX514" s="8">
        <v>61.101542140670283</v>
      </c>
      <c r="AY514" s="8">
        <v>39.278358917953291</v>
      </c>
      <c r="AZ514" s="8">
        <v>30.657308354085451</v>
      </c>
      <c r="BA514" s="8">
        <v>33.822662386179331</v>
      </c>
      <c r="BB514" s="8">
        <v>0.79626515016249622</v>
      </c>
      <c r="BC514" s="8">
        <v>59.42427969409664</v>
      </c>
      <c r="BD514" s="8">
        <v>44.721507292382029</v>
      </c>
      <c r="BE514" s="8">
        <v>24.822061390287281</v>
      </c>
      <c r="BF514" s="8">
        <v>25.63278041665524</v>
      </c>
      <c r="BG514" s="8">
        <v>0.7617630902908985</v>
      </c>
      <c r="BH514" s="8">
        <v>59.624164873510821</v>
      </c>
      <c r="BI514" s="8">
        <v>38.245820285287472</v>
      </c>
    </row>
    <row r="515" spans="1:61" x14ac:dyDescent="0.15">
      <c r="A515" s="7">
        <v>2019</v>
      </c>
      <c r="B515" s="7">
        <v>81</v>
      </c>
      <c r="C515" s="7">
        <v>24.809136444018179</v>
      </c>
      <c r="D515" s="7">
        <v>8.4935545916622175</v>
      </c>
      <c r="E515" s="8">
        <v>29.743856353150139</v>
      </c>
      <c r="F515" s="8">
        <v>25.654795996725689</v>
      </c>
      <c r="G515" s="8">
        <v>0.74215923028639974</v>
      </c>
      <c r="H515" s="8">
        <v>72.945912931199388</v>
      </c>
      <c r="I515" s="8">
        <v>72.296177074236709</v>
      </c>
      <c r="J515" s="8">
        <v>37.109611334708362</v>
      </c>
      <c r="K515" s="8">
        <v>32.15995474782639</v>
      </c>
      <c r="L515" s="8">
        <v>1.0019025003867419</v>
      </c>
      <c r="M515" s="8">
        <v>62.366064936441781</v>
      </c>
      <c r="N515" s="8">
        <v>85.917899684114957</v>
      </c>
      <c r="O515" s="8">
        <v>279.36599999999999</v>
      </c>
      <c r="P515" s="8">
        <v>266.65499999999997</v>
      </c>
      <c r="Q515" s="8">
        <v>86.514800000000008</v>
      </c>
      <c r="R515" s="8">
        <v>1.5627500000000001</v>
      </c>
      <c r="S515" s="8">
        <v>0.40761399999999998</v>
      </c>
      <c r="T515" s="7">
        <f>C515-D515</f>
        <v>16.315581852355962</v>
      </c>
      <c r="U515" s="8">
        <f>D515/C515</f>
        <v>0.34235591435550067</v>
      </c>
      <c r="V515" s="8">
        <v>26.07154077788298</v>
      </c>
      <c r="W515" s="8">
        <v>27.502074207417969</v>
      </c>
      <c r="X515" s="8">
        <v>0.70062430280323951</v>
      </c>
      <c r="Y515" s="8">
        <v>70.526649693701501</v>
      </c>
      <c r="Z515" s="8">
        <v>67.390966379155316</v>
      </c>
      <c r="AA515" s="7">
        <v>31.590576056295671</v>
      </c>
      <c r="AB515" s="7">
        <v>29.83101447762218</v>
      </c>
      <c r="AC515" s="7">
        <v>0.8512634015949907</v>
      </c>
      <c r="AD515" s="7">
        <v>66.446357315071637</v>
      </c>
      <c r="AE515" s="7">
        <v>76.654433031635136</v>
      </c>
      <c r="AF515" s="8">
        <v>42.87230807792001</v>
      </c>
      <c r="AG515" s="8">
        <v>37.659403993857779</v>
      </c>
      <c r="AH515" s="8">
        <v>1.197434376517847</v>
      </c>
      <c r="AI515" s="8">
        <v>59.168145143222851</v>
      </c>
      <c r="AJ515" s="8">
        <v>92.611594674926977</v>
      </c>
      <c r="AK515" s="8">
        <v>36.804056830915208</v>
      </c>
      <c r="AL515" s="8">
        <v>31.868358371965371</v>
      </c>
      <c r="AM515" s="8">
        <v>0.99153484648280132</v>
      </c>
      <c r="AN515" s="8">
        <v>62.53562770178047</v>
      </c>
      <c r="AO515" s="8">
        <v>85.56298101624138</v>
      </c>
      <c r="AP515" s="8">
        <v>30.67506147797577</v>
      </c>
      <c r="AQ515" s="8">
        <v>27.531780065738541</v>
      </c>
      <c r="AR515" s="8">
        <v>0.83840159532001157</v>
      </c>
      <c r="AS515" s="8">
        <v>65.599004709749522</v>
      </c>
      <c r="AT515" s="8">
        <v>72.883985149604243</v>
      </c>
      <c r="AU515" s="8">
        <v>31.542502837053849</v>
      </c>
      <c r="AV515" s="8">
        <v>30.220247426768839</v>
      </c>
      <c r="AW515" s="8">
        <v>0.8476499683600589</v>
      </c>
      <c r="AX515" s="8">
        <v>66.628393323175885</v>
      </c>
      <c r="AY515" s="8">
        <v>77.041296094418016</v>
      </c>
      <c r="AZ515" s="8">
        <v>37.419459999932037</v>
      </c>
      <c r="BA515" s="8">
        <v>31.246834703077401</v>
      </c>
      <c r="BB515" s="8">
        <v>1.032551154870589</v>
      </c>
      <c r="BC515" s="8">
        <v>62.751948940119597</v>
      </c>
      <c r="BD515" s="8">
        <v>86.023263404794065</v>
      </c>
      <c r="BE515" s="8">
        <v>32.985521815247829</v>
      </c>
      <c r="BF515" s="8">
        <v>29.611245116570579</v>
      </c>
      <c r="BG515" s="8">
        <v>0.87785422080051589</v>
      </c>
      <c r="BH515" s="8">
        <v>65.708812078460952</v>
      </c>
      <c r="BI515" s="8">
        <v>78.928113815187601</v>
      </c>
    </row>
    <row r="516" spans="1:61" x14ac:dyDescent="0.15">
      <c r="A516" s="7">
        <v>2021</v>
      </c>
      <c r="B516" s="7">
        <v>67</v>
      </c>
      <c r="C516" s="7">
        <v>15.812470725446488</v>
      </c>
      <c r="D516" s="7">
        <v>10.424468818757839</v>
      </c>
      <c r="E516" s="8">
        <v>43.513610493205867</v>
      </c>
      <c r="F516" s="8">
        <v>25.789156707333859</v>
      </c>
      <c r="G516" s="8">
        <v>0.74325545311281072</v>
      </c>
      <c r="H516" s="8">
        <v>73.186821524658967</v>
      </c>
      <c r="I516" s="8">
        <v>62.906488821493433</v>
      </c>
      <c r="J516" s="8">
        <v>42.265030514921733</v>
      </c>
      <c r="K516" s="8">
        <v>33.005956849260592</v>
      </c>
      <c r="L516" s="8">
        <v>0.79558681458178349</v>
      </c>
      <c r="M516" s="8">
        <v>68.007476759384986</v>
      </c>
      <c r="N516" s="8">
        <v>81.898284223668</v>
      </c>
      <c r="O516" s="8">
        <v>287.32799999999997</v>
      </c>
      <c r="P516" s="8">
        <v>278.541</v>
      </c>
      <c r="Q516" s="8">
        <v>97.49730000000001</v>
      </c>
      <c r="R516" s="8">
        <v>0.218385</v>
      </c>
      <c r="S516" s="8">
        <v>-6.0110499999999997E-2</v>
      </c>
      <c r="T516" s="7">
        <f>C516-D516</f>
        <v>5.3880019066886486</v>
      </c>
      <c r="U516" s="8">
        <f>D516/C516</f>
        <v>0.6592561655770901</v>
      </c>
      <c r="V516" s="8">
        <v>38.669859975077927</v>
      </c>
      <c r="W516" s="8">
        <v>29.970392584224307</v>
      </c>
      <c r="X516" s="8">
        <v>0.7278492193050754</v>
      </c>
      <c r="Y516" s="8">
        <v>66.528012853860446</v>
      </c>
      <c r="Z516" s="8">
        <v>63.961141899957809</v>
      </c>
      <c r="AA516" s="7">
        <v>40.46744524499983</v>
      </c>
      <c r="AB516" s="7">
        <v>31.488174716742449</v>
      </c>
      <c r="AC516" s="7">
        <v>0.76171801694342944</v>
      </c>
      <c r="AD516" s="7">
        <v>67.267744806622716</v>
      </c>
      <c r="AE516" s="7">
        <v>72.929713061812905</v>
      </c>
      <c r="AF516" s="8">
        <v>44.103934259341507</v>
      </c>
      <c r="AG516" s="8">
        <v>31.771742685064709</v>
      </c>
      <c r="AH516" s="8">
        <v>0.80833861918866723</v>
      </c>
      <c r="AI516" s="8">
        <v>68.076291411285126</v>
      </c>
      <c r="AJ516" s="8">
        <v>80.621709212301766</v>
      </c>
      <c r="AK516" s="8">
        <v>42.091198401904599</v>
      </c>
      <c r="AL516" s="8">
        <v>33.122627478013669</v>
      </c>
      <c r="AM516" s="8">
        <v>0.79438138273342129</v>
      </c>
      <c r="AN516" s="8">
        <v>68.000971690056204</v>
      </c>
      <c r="AO516" s="8">
        <v>82.018959235790902</v>
      </c>
      <c r="AP516" s="8">
        <v>39.943109716784292</v>
      </c>
      <c r="AQ516" s="8">
        <v>31.81734629807573</v>
      </c>
      <c r="AR516" s="8">
        <v>0.74833915872976897</v>
      </c>
      <c r="AS516" s="8">
        <v>66.672794161896078</v>
      </c>
      <c r="AT516" s="8">
        <v>71.914259355907006</v>
      </c>
      <c r="AU516" s="8">
        <v>37.897433449199383</v>
      </c>
      <c r="AV516" s="8">
        <v>28.663985766586311</v>
      </c>
      <c r="AW516" s="8">
        <v>0.80568595283096234</v>
      </c>
      <c r="AX516" s="8">
        <v>63.588240122108857</v>
      </c>
      <c r="AY516" s="8">
        <v>63.572873745865031</v>
      </c>
      <c r="AZ516" s="8">
        <v>41.697702773855887</v>
      </c>
      <c r="BA516" s="8">
        <v>33.74891750792321</v>
      </c>
      <c r="BB516" s="8">
        <v>0.79040355067770818</v>
      </c>
      <c r="BC516" s="8">
        <v>68.129594041742223</v>
      </c>
      <c r="BD516" s="8">
        <v>83.320108609821361</v>
      </c>
      <c r="BE516" s="8">
        <v>41.434176669280689</v>
      </c>
      <c r="BF516" s="8">
        <v>33.443736207437368</v>
      </c>
      <c r="BG516" s="8">
        <v>0.84006878848999733</v>
      </c>
      <c r="BH516" s="8">
        <v>62.782049115702719</v>
      </c>
      <c r="BI516" s="8">
        <v>91.069029364007946</v>
      </c>
    </row>
    <row r="517" spans="1:61" x14ac:dyDescent="0.15">
      <c r="A517" s="7">
        <v>2020</v>
      </c>
      <c r="B517" s="7">
        <v>113</v>
      </c>
      <c r="C517" s="7">
        <v>44.047678959833668</v>
      </c>
      <c r="D517" s="7">
        <v>7.6600505601812818</v>
      </c>
      <c r="E517" s="8">
        <v>21.239256730180909</v>
      </c>
      <c r="F517" s="8">
        <v>13.1792082326418</v>
      </c>
      <c r="G517" s="8">
        <v>0.74340383971740809</v>
      </c>
      <c r="H517" s="8">
        <v>60.607892815220232</v>
      </c>
      <c r="I517" s="8">
        <v>33.807835610763547</v>
      </c>
      <c r="J517" s="8">
        <v>25.864771764706909</v>
      </c>
      <c r="K517" s="8">
        <v>16.217555292649941</v>
      </c>
      <c r="L517" s="8">
        <v>0.77243732022538902</v>
      </c>
      <c r="M517" s="8">
        <v>57.228549216577463</v>
      </c>
      <c r="N517" s="8">
        <v>40.826064191276672</v>
      </c>
      <c r="O517" s="8">
        <v>291.87200000000001</v>
      </c>
      <c r="P517" s="8">
        <v>287.827</v>
      </c>
      <c r="Q517" s="8">
        <v>96.466100000000012</v>
      </c>
      <c r="R517" s="8">
        <v>5.7481600000000001E-2</v>
      </c>
      <c r="S517" s="8">
        <v>-0.22251599999999999</v>
      </c>
      <c r="T517" s="7">
        <f>C517-D517</f>
        <v>36.387628399652385</v>
      </c>
      <c r="U517" s="8">
        <f>D517/C517</f>
        <v>0.17390361401712795</v>
      </c>
      <c r="V517" s="8">
        <v>18.610223471967032</v>
      </c>
      <c r="W517" s="8">
        <v>11.04043665036896</v>
      </c>
      <c r="X517" s="8">
        <v>0.71252789776938152</v>
      </c>
      <c r="Y517" s="8">
        <v>61.694292199596532</v>
      </c>
      <c r="Z517" s="8">
        <v>29.591556131529387</v>
      </c>
      <c r="AA517" s="7">
        <v>22.23749761833697</v>
      </c>
      <c r="AB517" s="7">
        <v>13.62899597150945</v>
      </c>
      <c r="AC517" s="7">
        <v>0.74248260899738527</v>
      </c>
      <c r="AD517" s="7">
        <v>59.461420708086997</v>
      </c>
      <c r="AE517" s="7">
        <v>35.208810161403029</v>
      </c>
      <c r="AF517" s="8">
        <v>27.13752902426786</v>
      </c>
      <c r="AG517" s="8">
        <v>16.231544851135741</v>
      </c>
      <c r="AH517" s="8">
        <v>0.78003206107263279</v>
      </c>
      <c r="AI517" s="8">
        <v>56.247962530244649</v>
      </c>
      <c r="AJ517" s="8">
        <v>42.33833595893848</v>
      </c>
      <c r="AK517" s="8">
        <v>25.668532336107891</v>
      </c>
      <c r="AL517" s="8">
        <v>16.21539831971344</v>
      </c>
      <c r="AM517" s="8">
        <v>0.77126632898332392</v>
      </c>
      <c r="AN517" s="8">
        <v>57.379740474432971</v>
      </c>
      <c r="AO517" s="8">
        <v>40.592895340466313</v>
      </c>
      <c r="AP517" s="8">
        <v>24.662093892263449</v>
      </c>
      <c r="AQ517" s="8">
        <v>14.493273911291791</v>
      </c>
      <c r="AR517" s="8">
        <v>0.73020233992860983</v>
      </c>
      <c r="AS517" s="8">
        <v>55.979703512656577</v>
      </c>
      <c r="AT517" s="8">
        <v>38.447560278852542</v>
      </c>
      <c r="AU517" s="8">
        <v>20.451326390997419</v>
      </c>
      <c r="AV517" s="8">
        <v>12.108446004678051</v>
      </c>
      <c r="AW517" s="8">
        <v>0.64001813450473899</v>
      </c>
      <c r="AX517" s="8">
        <v>61.678247355954831</v>
      </c>
      <c r="AY517" s="8">
        <v>31.821217690268981</v>
      </c>
      <c r="AZ517" s="8">
        <v>27.611891380487641</v>
      </c>
      <c r="BA517" s="8">
        <v>18.44562848565981</v>
      </c>
      <c r="BB517" s="8">
        <v>0.79211631879806466</v>
      </c>
      <c r="BC517" s="8">
        <v>57.242888138098998</v>
      </c>
      <c r="BD517" s="8">
        <v>43.481545313980561</v>
      </c>
      <c r="BE517" s="8">
        <v>27.336235996681051</v>
      </c>
      <c r="BF517" s="8">
        <v>18.85093657693238</v>
      </c>
      <c r="BG517" s="8">
        <v>0.66545778861816274</v>
      </c>
      <c r="BH517" s="8">
        <v>54.034741707442294</v>
      </c>
      <c r="BI517" s="8">
        <v>45.468888730594678</v>
      </c>
    </row>
    <row r="518" spans="1:61" x14ac:dyDescent="0.15">
      <c r="A518" s="7">
        <v>2017</v>
      </c>
      <c r="B518" s="7">
        <v>54</v>
      </c>
      <c r="C518" s="7">
        <v>29.32835225995078</v>
      </c>
      <c r="D518" s="7">
        <v>14.656521308322212</v>
      </c>
      <c r="E518" s="8">
        <v>31.484507377615341</v>
      </c>
      <c r="F518" s="8">
        <v>31.220361093197909</v>
      </c>
      <c r="G518" s="8">
        <v>0.74404403182443135</v>
      </c>
      <c r="H518" s="8">
        <v>57.107545657638703</v>
      </c>
      <c r="I518" s="8">
        <v>44.369684307545718</v>
      </c>
      <c r="J518" s="8">
        <v>30.16641163994089</v>
      </c>
      <c r="K518" s="8">
        <v>28.67986030110535</v>
      </c>
      <c r="L518" s="8">
        <v>0.77965938779123023</v>
      </c>
      <c r="M518" s="8">
        <v>60.592852410658303</v>
      </c>
      <c r="N518" s="8">
        <v>46.547061913676721</v>
      </c>
      <c r="O518" s="8">
        <v>295.346</v>
      </c>
      <c r="P518" s="8">
        <v>291.12400000000002</v>
      </c>
      <c r="Q518" s="8">
        <v>99.166600000000003</v>
      </c>
      <c r="R518" s="8">
        <v>-0.71116599999999996</v>
      </c>
      <c r="S518" s="8">
        <v>-0.45841500000000002</v>
      </c>
      <c r="T518" s="7">
        <f>C518-D518</f>
        <v>14.671830951628568</v>
      </c>
      <c r="U518" s="8">
        <f>D518/C518</f>
        <v>0.49973899584997716</v>
      </c>
      <c r="V518" s="8">
        <v>32.382035495133671</v>
      </c>
      <c r="W518" s="8">
        <v>30.534109500490672</v>
      </c>
      <c r="X518" s="8">
        <v>0.74421456198465419</v>
      </c>
      <c r="Y518" s="8">
        <v>56.317916997461104</v>
      </c>
      <c r="Z518" s="8">
        <v>43.587869157834824</v>
      </c>
      <c r="AA518" s="7">
        <v>31.27422356753728</v>
      </c>
      <c r="AB518" s="7">
        <v>29.606984900798011</v>
      </c>
      <c r="AC518" s="7">
        <v>0.76193697488794221</v>
      </c>
      <c r="AD518" s="7">
        <v>58.455384704059703</v>
      </c>
      <c r="AE518" s="7">
        <v>45.067465535755773</v>
      </c>
      <c r="AF518" s="8">
        <v>31.33997846662999</v>
      </c>
      <c r="AG518" s="8">
        <v>29.91310084249352</v>
      </c>
      <c r="AH518" s="8">
        <v>0.77289718217769132</v>
      </c>
      <c r="AI518" s="8">
        <v>58.192209065080519</v>
      </c>
      <c r="AJ518" s="8">
        <v>51.060924360002737</v>
      </c>
      <c r="AK518" s="8">
        <v>29.91938840255505</v>
      </c>
      <c r="AL518" s="8">
        <v>28.420276386426529</v>
      </c>
      <c r="AM518" s="8">
        <v>0.78108275958782225</v>
      </c>
      <c r="AN518" s="8">
        <v>61.098162102059888</v>
      </c>
      <c r="AO518" s="8">
        <v>45.5969422534682</v>
      </c>
      <c r="AP518" s="8">
        <v>29.81206120973328</v>
      </c>
      <c r="AQ518" s="8">
        <v>25.76268914278663</v>
      </c>
      <c r="AR518" s="8">
        <v>0.78194265487184722</v>
      </c>
      <c r="AS518" s="8">
        <v>61.445908966787442</v>
      </c>
      <c r="AT518" s="8">
        <v>45.477379588275681</v>
      </c>
      <c r="AU518" s="8">
        <v>25.270703631362188</v>
      </c>
      <c r="AV518" s="8">
        <v>24.46412193098579</v>
      </c>
      <c r="AW518" s="8">
        <v>0.72777565928827503</v>
      </c>
      <c r="AX518" s="8">
        <v>63.734603748542149</v>
      </c>
      <c r="AY518" s="8">
        <v>37.96449328436254</v>
      </c>
      <c r="AZ518" s="8">
        <v>30.764302969081619</v>
      </c>
      <c r="BA518" s="8">
        <v>29.026152261016271</v>
      </c>
      <c r="BB518" s="8">
        <v>0.78055877025002462</v>
      </c>
      <c r="BC518" s="8">
        <v>61.404448246245423</v>
      </c>
      <c r="BD518" s="8">
        <v>46.946069926292068</v>
      </c>
      <c r="BE518" s="8">
        <v>24.257559065829529</v>
      </c>
      <c r="BF518" s="8">
        <v>24.296959853714689</v>
      </c>
      <c r="BG518" s="8">
        <v>0.73406164239908755</v>
      </c>
      <c r="BH518" s="8">
        <v>61.735614928966861</v>
      </c>
      <c r="BI518" s="8">
        <v>37.943145045092059</v>
      </c>
    </row>
    <row r="519" spans="1:61" x14ac:dyDescent="0.15">
      <c r="A519" s="7">
        <v>2019</v>
      </c>
      <c r="B519" s="7">
        <v>56</v>
      </c>
      <c r="C519" s="7">
        <v>26.015375795539047</v>
      </c>
      <c r="D519" s="7">
        <v>4.4085206932486374</v>
      </c>
      <c r="E519" s="8">
        <v>28.8261807772449</v>
      </c>
      <c r="F519" s="8">
        <v>14.98618822369157</v>
      </c>
      <c r="G519" s="8">
        <v>0.74410554265271345</v>
      </c>
      <c r="H519" s="8">
        <v>53.981031790768853</v>
      </c>
      <c r="I519" s="8">
        <v>45.045635316490547</v>
      </c>
      <c r="J519" s="8">
        <v>31.403367422067792</v>
      </c>
      <c r="K519" s="8">
        <v>16.731475758826068</v>
      </c>
      <c r="L519" s="8">
        <v>0.79168762889613997</v>
      </c>
      <c r="M519" s="8">
        <v>57.310280259044482</v>
      </c>
      <c r="N519" s="8">
        <v>49.233108660645293</v>
      </c>
      <c r="O519" s="8">
        <v>294.87900000000002</v>
      </c>
      <c r="P519" s="8">
        <v>291.108</v>
      </c>
      <c r="Q519" s="8">
        <v>98.336500000000001</v>
      </c>
      <c r="R519" s="8">
        <v>-0.68824099999999999</v>
      </c>
      <c r="S519" s="8">
        <v>-0.22498799999999999</v>
      </c>
      <c r="T519" s="7">
        <f>C519-D519</f>
        <v>21.60685510229041</v>
      </c>
      <c r="U519" s="8">
        <f>D519/C519</f>
        <v>0.16945827451797113</v>
      </c>
      <c r="V519" s="8">
        <v>29.541262384686828</v>
      </c>
      <c r="W519" s="8">
        <v>14.539498769083053</v>
      </c>
      <c r="X519" s="8">
        <v>0.72852291944246306</v>
      </c>
      <c r="Y519" s="8">
        <v>53.689544180258103</v>
      </c>
      <c r="Z519" s="8">
        <v>45.767136370941621</v>
      </c>
      <c r="AA519" s="7">
        <v>30.47231490337731</v>
      </c>
      <c r="AB519" s="7">
        <v>15.635487263954561</v>
      </c>
      <c r="AC519" s="7">
        <v>0.76010527416930151</v>
      </c>
      <c r="AD519" s="7">
        <v>55.499912219651293</v>
      </c>
      <c r="AE519" s="7">
        <v>47.500122515793457</v>
      </c>
      <c r="AF519" s="8">
        <v>31.585213072604521</v>
      </c>
      <c r="AG519" s="8">
        <v>16.842502054972879</v>
      </c>
      <c r="AH519" s="8">
        <v>0.80597680058244281</v>
      </c>
      <c r="AI519" s="8">
        <v>57.599221381083069</v>
      </c>
      <c r="AJ519" s="8">
        <v>49.317078193474501</v>
      </c>
      <c r="AK519" s="8">
        <v>31.36000916862039</v>
      </c>
      <c r="AL519" s="8">
        <v>16.7050032736528</v>
      </c>
      <c r="AM519" s="8">
        <v>0.7882805992218016</v>
      </c>
      <c r="AN519" s="8">
        <v>57.24138676412862</v>
      </c>
      <c r="AO519" s="8">
        <v>49.213087437836137</v>
      </c>
      <c r="AP519" s="8">
        <v>32.539542220552782</v>
      </c>
      <c r="AQ519" s="8">
        <v>16.39316022508163</v>
      </c>
      <c r="AR519" s="8">
        <v>0.78156432775170226</v>
      </c>
      <c r="AS519" s="8">
        <v>57.728254968372788</v>
      </c>
      <c r="AT519" s="8">
        <v>50.589643237274537</v>
      </c>
      <c r="AU519" s="8">
        <v>28.50616809567304</v>
      </c>
      <c r="AV519" s="8">
        <v>16.468988999852531</v>
      </c>
      <c r="AW519" s="8">
        <v>0.74281955344499817</v>
      </c>
      <c r="AX519" s="8">
        <v>58.025506544111813</v>
      </c>
      <c r="AY519" s="8">
        <v>46.123186733713872</v>
      </c>
      <c r="AZ519" s="8">
        <v>30.27699753458651</v>
      </c>
      <c r="BA519" s="8">
        <v>16.830796018300369</v>
      </c>
      <c r="BB519" s="8">
        <v>0.77482423561663438</v>
      </c>
      <c r="BC519" s="8">
        <v>57.079442075443417</v>
      </c>
      <c r="BD519" s="8">
        <v>48.343318140705072</v>
      </c>
      <c r="BE519" s="8">
        <v>28.25214184518374</v>
      </c>
      <c r="BF519" s="8">
        <v>16.349682561818351</v>
      </c>
      <c r="BG519" s="8">
        <v>0.73169598257223412</v>
      </c>
      <c r="BH519" s="8">
        <v>56.082375874675229</v>
      </c>
      <c r="BI519" s="8">
        <v>45.421435761097257</v>
      </c>
    </row>
    <row r="520" spans="1:61" x14ac:dyDescent="0.15">
      <c r="A520" s="7">
        <v>2020</v>
      </c>
      <c r="B520" s="7">
        <v>16</v>
      </c>
      <c r="C520" s="7">
        <v>221.80037972897435</v>
      </c>
      <c r="D520" s="7">
        <v>183.48029905201795</v>
      </c>
      <c r="E520" s="8">
        <v>41.354993172546251</v>
      </c>
      <c r="F520" s="8">
        <v>21.725870534128379</v>
      </c>
      <c r="G520" s="8">
        <v>0.74416054282168531</v>
      </c>
      <c r="H520" s="8">
        <v>73.654317328050226</v>
      </c>
      <c r="I520" s="8">
        <v>61.091321912118872</v>
      </c>
      <c r="J520" s="8">
        <v>50.072606274154879</v>
      </c>
      <c r="K520" s="8">
        <v>29.187908854451539</v>
      </c>
      <c r="L520" s="8">
        <v>0.85032490672635175</v>
      </c>
      <c r="M520" s="8">
        <v>71.234439177852309</v>
      </c>
      <c r="N520" s="8">
        <v>82.548510326708467</v>
      </c>
      <c r="O520" s="8">
        <v>289.07600000000002</v>
      </c>
      <c r="P520" s="8">
        <v>280.66399999999999</v>
      </c>
      <c r="Q520" s="8">
        <v>99.504100000000008</v>
      </c>
      <c r="R520" s="8">
        <v>-8.6990399999999996E-2</v>
      </c>
      <c r="S520" s="8">
        <v>0.127169</v>
      </c>
      <c r="T520" s="7">
        <f>C520-D520</f>
        <v>38.320080676956394</v>
      </c>
      <c r="U520" s="8">
        <f>D520/C520</f>
        <v>0.82723167235429873</v>
      </c>
      <c r="V520" s="8">
        <v>43.611566046132424</v>
      </c>
      <c r="W520" s="8">
        <v>27.26987820601224</v>
      </c>
      <c r="X520" s="8">
        <v>0.8681351595949206</v>
      </c>
      <c r="Y520" s="8">
        <v>67.708876111783368</v>
      </c>
      <c r="Z520" s="8">
        <v>73.887926156766653</v>
      </c>
      <c r="AA520" s="7">
        <v>46.842086160143651</v>
      </c>
      <c r="AB520" s="7">
        <v>28.22889353023189</v>
      </c>
      <c r="AC520" s="7">
        <v>0.85923003316063618</v>
      </c>
      <c r="AD520" s="7">
        <v>69.471657644817839</v>
      </c>
      <c r="AE520" s="7">
        <v>78.21821824173756</v>
      </c>
      <c r="AF520" s="8">
        <v>46.382546842766637</v>
      </c>
      <c r="AG520" s="8">
        <v>26.75484054314672</v>
      </c>
      <c r="AH520" s="8">
        <v>0.81809715040493158</v>
      </c>
      <c r="AI520" s="8">
        <v>72.189182726437792</v>
      </c>
      <c r="AJ520" s="8">
        <v>76.532734165909972</v>
      </c>
      <c r="AK520" s="8">
        <v>50.495389253076048</v>
      </c>
      <c r="AL520" s="8">
        <v>29.466673976720909</v>
      </c>
      <c r="AM520" s="8">
        <v>0.85401735316925087</v>
      </c>
      <c r="AN520" s="8">
        <v>71.125050879619693</v>
      </c>
      <c r="AO520" s="8">
        <v>83.237758782749836</v>
      </c>
      <c r="AP520" s="8">
        <v>45.628359214976207</v>
      </c>
      <c r="AQ520" s="8">
        <v>28.153264979856409</v>
      </c>
      <c r="AR520" s="8">
        <v>0.86431105861363766</v>
      </c>
      <c r="AS520" s="8">
        <v>68.294873691789903</v>
      </c>
      <c r="AT520" s="8">
        <v>77.239592491454644</v>
      </c>
      <c r="AU520" s="8">
        <v>36.389388901298858</v>
      </c>
      <c r="AV520" s="8">
        <v>23.35945669009309</v>
      </c>
      <c r="AW520" s="8">
        <v>0.7762445851523101</v>
      </c>
      <c r="AX520" s="8">
        <v>71.118428836531606</v>
      </c>
      <c r="AY520" s="8">
        <v>58.578825165517458</v>
      </c>
      <c r="AZ520" s="8">
        <v>50.747079832312522</v>
      </c>
      <c r="BA520" s="8">
        <v>30.05078113709078</v>
      </c>
      <c r="BB520" s="8">
        <v>0.88275805291426457</v>
      </c>
      <c r="BC520" s="8">
        <v>70.701628287342487</v>
      </c>
      <c r="BD520" s="8">
        <v>85.053306761773797</v>
      </c>
      <c r="BE520" s="8">
        <v>46.415124843133427</v>
      </c>
      <c r="BF520" s="8">
        <v>30.740220190224392</v>
      </c>
      <c r="BG520" s="8">
        <v>0.84291174277784664</v>
      </c>
      <c r="BH520" s="8">
        <v>69.624585164838052</v>
      </c>
      <c r="BI520" s="8">
        <v>79.774278277383658</v>
      </c>
    </row>
    <row r="521" spans="1:61" x14ac:dyDescent="0.15">
      <c r="A521" s="7">
        <v>2019</v>
      </c>
      <c r="B521" s="7">
        <v>139</v>
      </c>
      <c r="C521" s="7">
        <v>14.66535484148476</v>
      </c>
      <c r="D521" s="7">
        <v>4.1739973105594776E-2</v>
      </c>
      <c r="E521" s="8">
        <v>26.497519404849431</v>
      </c>
      <c r="F521" s="8">
        <v>16.989198348722489</v>
      </c>
      <c r="G521" s="8">
        <v>0.74445986958589272</v>
      </c>
      <c r="H521" s="8">
        <v>55.34452798773691</v>
      </c>
      <c r="I521" s="8">
        <v>40.687514437371988</v>
      </c>
      <c r="J521" s="8">
        <v>31.105239931837129</v>
      </c>
      <c r="K521" s="8">
        <v>18.0790890728249</v>
      </c>
      <c r="L521" s="8">
        <v>0.7471729587528545</v>
      </c>
      <c r="M521" s="8">
        <v>54.718828179552609</v>
      </c>
      <c r="N521" s="8">
        <v>46.778596874739698</v>
      </c>
      <c r="O521" s="8">
        <v>291.214</v>
      </c>
      <c r="P521" s="8">
        <v>287.28899999999999</v>
      </c>
      <c r="Q521" s="8">
        <v>96.444699999999997</v>
      </c>
      <c r="R521" s="8">
        <v>-0.340007</v>
      </c>
      <c r="S521" s="8">
        <v>-0.54820999999999998</v>
      </c>
      <c r="T521" s="7">
        <f>C521-D521</f>
        <v>14.623614868379166</v>
      </c>
      <c r="U521" s="8">
        <f>D521/C521</f>
        <v>2.8461618253874388E-3</v>
      </c>
      <c r="V521" s="8">
        <v>24.683057606606408</v>
      </c>
      <c r="W521" s="8">
        <v>15.285953835298798</v>
      </c>
      <c r="X521" s="8">
        <v>0.72329905469147981</v>
      </c>
      <c r="Y521" s="8">
        <v>54.427259610608836</v>
      </c>
      <c r="Z521" s="8">
        <v>38.147373383203607</v>
      </c>
      <c r="AA521" s="7">
        <v>27.894148769221768</v>
      </c>
      <c r="AB521" s="7">
        <v>16.682521454061849</v>
      </c>
      <c r="AC521" s="7">
        <v>0.73523600672216716</v>
      </c>
      <c r="AD521" s="7">
        <v>54.573043895080723</v>
      </c>
      <c r="AE521" s="7">
        <v>42.462985128971653</v>
      </c>
      <c r="AF521" s="8">
        <v>31.367172352434739</v>
      </c>
      <c r="AG521" s="8">
        <v>18.3725154459149</v>
      </c>
      <c r="AH521" s="8">
        <v>0.77211625896562219</v>
      </c>
      <c r="AI521" s="8">
        <v>55.151795199196037</v>
      </c>
      <c r="AJ521" s="8">
        <v>47.645754581776963</v>
      </c>
      <c r="AK521" s="8">
        <v>31.071182452858771</v>
      </c>
      <c r="AL521" s="8">
        <v>18.040936626822191</v>
      </c>
      <c r="AM521" s="8">
        <v>0.74392973318837863</v>
      </c>
      <c r="AN521" s="8">
        <v>54.662532112283849</v>
      </c>
      <c r="AO521" s="8">
        <v>46.665845634129766</v>
      </c>
      <c r="AP521" s="8">
        <v>30.11857680229382</v>
      </c>
      <c r="AQ521" s="8">
        <v>15.782987911739919</v>
      </c>
      <c r="AR521" s="8">
        <v>0.71079943393001777</v>
      </c>
      <c r="AS521" s="8">
        <v>52.847662093451007</v>
      </c>
      <c r="AT521" s="8">
        <v>45.184857474304764</v>
      </c>
      <c r="AU521" s="8">
        <v>26.87437692580875</v>
      </c>
      <c r="AV521" s="8">
        <v>14.65232910824877</v>
      </c>
      <c r="AW521" s="8">
        <v>0.67590883763343734</v>
      </c>
      <c r="AX521" s="8">
        <v>61.265155131720149</v>
      </c>
      <c r="AY521" s="8">
        <v>40.511822839958327</v>
      </c>
      <c r="AZ521" s="8">
        <v>32.966593510558297</v>
      </c>
      <c r="BA521" s="8">
        <v>20.176524479704579</v>
      </c>
      <c r="BB521" s="8">
        <v>0.79018517607763905</v>
      </c>
      <c r="BC521" s="8">
        <v>56.141324723035837</v>
      </c>
      <c r="BD521" s="8">
        <v>49.919475936099381</v>
      </c>
      <c r="BE521" s="8">
        <v>32.905624923811168</v>
      </c>
      <c r="BF521" s="8">
        <v>18.178794809057589</v>
      </c>
      <c r="BG521" s="8">
        <v>0.64832186201835451</v>
      </c>
      <c r="BH521" s="8">
        <v>61.160337274974971</v>
      </c>
      <c r="BI521" s="8">
        <v>49.122443043161162</v>
      </c>
    </row>
    <row r="522" spans="1:61" x14ac:dyDescent="0.15">
      <c r="A522" s="7">
        <v>2022</v>
      </c>
      <c r="B522" s="7">
        <v>87</v>
      </c>
      <c r="C522" s="7">
        <v>67.358860180867779</v>
      </c>
      <c r="D522" s="7">
        <v>14.039165198633096</v>
      </c>
      <c r="E522" s="8">
        <v>30.76439452395617</v>
      </c>
      <c r="F522" s="8">
        <v>26.846102270140271</v>
      </c>
      <c r="G522" s="8">
        <v>0.74605113743945539</v>
      </c>
      <c r="H522" s="8">
        <v>63.210905084971913</v>
      </c>
      <c r="I522" s="8">
        <v>44.525737802815122</v>
      </c>
      <c r="J522" s="8">
        <v>40.759469838050727</v>
      </c>
      <c r="K522" s="8">
        <v>31.142377321777492</v>
      </c>
      <c r="L522" s="8">
        <v>0.7139551569288618</v>
      </c>
      <c r="M522" s="8">
        <v>66.518914041653005</v>
      </c>
      <c r="N522" s="8">
        <v>67.460618882467244</v>
      </c>
      <c r="O522" s="8">
        <v>287.20499999999998</v>
      </c>
      <c r="P522" s="8">
        <v>280.09500000000003</v>
      </c>
      <c r="Q522" s="8">
        <v>101.676</v>
      </c>
      <c r="R522" s="8">
        <v>-0.110628</v>
      </c>
      <c r="S522" s="8">
        <v>0.25414599999999998</v>
      </c>
      <c r="T522" s="7">
        <f>C522-D522</f>
        <v>53.31969498223468</v>
      </c>
      <c r="U522" s="8">
        <f>D522/C522</f>
        <v>0.20842343770271665</v>
      </c>
      <c r="V522" s="8">
        <v>37.818687401518737</v>
      </c>
      <c r="W522" s="8">
        <v>33.092787418819185</v>
      </c>
      <c r="X522" s="8">
        <v>0.77789702550625384</v>
      </c>
      <c r="Y522" s="8">
        <v>63.970283575309253</v>
      </c>
      <c r="Z522" s="8">
        <v>59.544725516421849</v>
      </c>
      <c r="AA522" s="7">
        <v>39.289078619784732</v>
      </c>
      <c r="AB522" s="7">
        <v>32.117582370298337</v>
      </c>
      <c r="AC522" s="7">
        <v>0.74592609121755782</v>
      </c>
      <c r="AD522" s="7">
        <v>65.244598808481129</v>
      </c>
      <c r="AE522" s="7">
        <v>63.502672199444547</v>
      </c>
      <c r="AF522" s="8">
        <v>38.64409288435499</v>
      </c>
      <c r="AG522" s="8">
        <v>29.61791592843738</v>
      </c>
      <c r="AH522" s="8">
        <v>0.7106646879248828</v>
      </c>
      <c r="AI522" s="8">
        <v>65.456575654782583</v>
      </c>
      <c r="AJ522" s="8">
        <v>54.050479342567932</v>
      </c>
      <c r="AK522" s="8">
        <v>40.913426446714467</v>
      </c>
      <c r="AL522" s="8">
        <v>31.253327242900241</v>
      </c>
      <c r="AM522" s="8">
        <v>0.71419463644473757</v>
      </c>
      <c r="AN522" s="8">
        <v>66.59623076528004</v>
      </c>
      <c r="AO522" s="8">
        <v>68.436605503510521</v>
      </c>
      <c r="AP522" s="8">
        <v>39.164312713188252</v>
      </c>
      <c r="AQ522" s="8">
        <v>31.688137958353831</v>
      </c>
      <c r="AR522" s="8">
        <v>0.70353077942018138</v>
      </c>
      <c r="AS522" s="8">
        <v>65.963547153146763</v>
      </c>
      <c r="AT522" s="8">
        <v>61.671075139713082</v>
      </c>
      <c r="AU522" s="8">
        <v>34.366131105733608</v>
      </c>
      <c r="AV522" s="8">
        <v>29.418520499285581</v>
      </c>
      <c r="AW522" s="8">
        <v>0.81323556392059149</v>
      </c>
      <c r="AX522" s="8">
        <v>64.702374190071126</v>
      </c>
      <c r="AY522" s="8">
        <v>50.646916856138432</v>
      </c>
      <c r="AZ522" s="8">
        <v>41.834782781302373</v>
      </c>
      <c r="BA522" s="8">
        <v>31.652822459369961</v>
      </c>
      <c r="BB522" s="8">
        <v>0.71852087557841593</v>
      </c>
      <c r="BC522" s="8">
        <v>67.04872190524479</v>
      </c>
      <c r="BD522" s="8">
        <v>73.855609381320903</v>
      </c>
      <c r="BE522" s="8">
        <v>38.488259792887973</v>
      </c>
      <c r="BF522" s="8">
        <v>32.229003864213389</v>
      </c>
      <c r="BG522" s="8">
        <v>0.79501679457680863</v>
      </c>
      <c r="BH522" s="8">
        <v>63.126023519765141</v>
      </c>
      <c r="BI522" s="8">
        <v>59.680861555824293</v>
      </c>
    </row>
    <row r="523" spans="1:61" x14ac:dyDescent="0.15">
      <c r="A523" s="7">
        <v>2021</v>
      </c>
      <c r="B523" s="7">
        <v>131</v>
      </c>
      <c r="C523" s="7">
        <v>41.993623883496042</v>
      </c>
      <c r="D523" s="7">
        <v>21.445154216144857</v>
      </c>
      <c r="E523" s="8">
        <v>41.87453866615617</v>
      </c>
      <c r="F523" s="8">
        <v>28.42876709915954</v>
      </c>
      <c r="G523" s="8">
        <v>0.74820012746841968</v>
      </c>
      <c r="H523" s="8">
        <v>69.204892157242597</v>
      </c>
      <c r="I523" s="8">
        <v>65.038386952350564</v>
      </c>
      <c r="J523" s="8">
        <v>42.318839465056328</v>
      </c>
      <c r="K523" s="8">
        <v>34.489704676534437</v>
      </c>
      <c r="L523" s="8">
        <v>0.76997233013549593</v>
      </c>
      <c r="M523" s="8">
        <v>67.617023570851345</v>
      </c>
      <c r="N523" s="8">
        <v>81.620823647335385</v>
      </c>
      <c r="O523" s="8">
        <v>287.05799999999999</v>
      </c>
      <c r="P523" s="8">
        <v>278.37599999999998</v>
      </c>
      <c r="Q523" s="8">
        <v>97.983699999999999</v>
      </c>
      <c r="R523" s="8">
        <v>0.23688999999999999</v>
      </c>
      <c r="S523" s="8">
        <v>1.09915E-2</v>
      </c>
      <c r="T523" s="7">
        <f>C523-D523</f>
        <v>20.548469667351185</v>
      </c>
      <c r="U523" s="8">
        <f>D523/C523</f>
        <v>0.51067643687148034</v>
      </c>
      <c r="V523" s="8">
        <v>42.155375274970893</v>
      </c>
      <c r="W523" s="8">
        <v>34.413576164302746</v>
      </c>
      <c r="X523" s="8">
        <v>0.66936794497787444</v>
      </c>
      <c r="Y523" s="8">
        <v>67.112681575258577</v>
      </c>
      <c r="Z523" s="8">
        <v>69.135375131960785</v>
      </c>
      <c r="AA523" s="7">
        <v>42.237107370013611</v>
      </c>
      <c r="AB523" s="7">
        <v>34.451640420418592</v>
      </c>
      <c r="AC523" s="7">
        <v>0.71967013755668519</v>
      </c>
      <c r="AD523" s="7">
        <v>67.364852573054961</v>
      </c>
      <c r="AE523" s="7">
        <v>75.378099389648085</v>
      </c>
      <c r="AF523" s="8">
        <v>43.008115137205287</v>
      </c>
      <c r="AG523" s="8">
        <v>33.196309709747972</v>
      </c>
      <c r="AH523" s="8">
        <v>0.80267352236689393</v>
      </c>
      <c r="AI523" s="8">
        <v>67.481775416149304</v>
      </c>
      <c r="AJ523" s="8">
        <v>79.716101039406311</v>
      </c>
      <c r="AK523" s="8">
        <v>42.2467582562929</v>
      </c>
      <c r="AL523" s="8">
        <v>34.624961840513329</v>
      </c>
      <c r="AM523" s="8">
        <v>0.76655259321558455</v>
      </c>
      <c r="AN523" s="8">
        <v>67.631167186922326</v>
      </c>
      <c r="AO523" s="8">
        <v>81.820010581512975</v>
      </c>
      <c r="AP523" s="8">
        <v>42.907098363662747</v>
      </c>
      <c r="AQ523" s="8">
        <v>35.397084943088892</v>
      </c>
      <c r="AR523" s="8">
        <v>0.69046038047412162</v>
      </c>
      <c r="AS523" s="8">
        <v>67.418109735757653</v>
      </c>
      <c r="AT523" s="8">
        <v>75.747342001353218</v>
      </c>
      <c r="AU523" s="8">
        <v>37.551385179172897</v>
      </c>
      <c r="AV523" s="8">
        <v>31.329566801057979</v>
      </c>
      <c r="AW523" s="8">
        <v>0.8144163918716405</v>
      </c>
      <c r="AX523" s="8">
        <v>63.846832248761402</v>
      </c>
      <c r="AY523" s="8">
        <v>63.367651567539298</v>
      </c>
      <c r="AZ523" s="8">
        <v>41.619431051641193</v>
      </c>
      <c r="BA523" s="8">
        <v>35.086355309985073</v>
      </c>
      <c r="BB523" s="8">
        <v>0.7665321733853292</v>
      </c>
      <c r="BC523" s="8">
        <v>67.387156653254621</v>
      </c>
      <c r="BD523" s="8">
        <v>81.825394657986152</v>
      </c>
      <c r="BE523" s="8">
        <v>42.812754855025432</v>
      </c>
      <c r="BF523" s="8">
        <v>35.749598681072719</v>
      </c>
      <c r="BG523" s="8">
        <v>0.84970259932953862</v>
      </c>
      <c r="BH523" s="8">
        <v>65.254928087416062</v>
      </c>
      <c r="BI523" s="8">
        <v>94.041081256789084</v>
      </c>
    </row>
    <row r="524" spans="1:61" x14ac:dyDescent="0.15">
      <c r="A524" s="7">
        <v>2017</v>
      </c>
      <c r="B524" s="7">
        <v>23</v>
      </c>
      <c r="C524" s="7">
        <v>144.26772676101666</v>
      </c>
      <c r="D524" s="7">
        <v>140.44544245866524</v>
      </c>
      <c r="E524" s="8">
        <v>43.925504431793669</v>
      </c>
      <c r="F524" s="8">
        <v>35.075365589045163</v>
      </c>
      <c r="G524" s="8">
        <v>0.74900998976589317</v>
      </c>
      <c r="H524" s="8">
        <v>72.77281310640555</v>
      </c>
      <c r="I524" s="8">
        <v>69.12896810505319</v>
      </c>
      <c r="J524" s="8">
        <v>43.935275754160877</v>
      </c>
      <c r="K524" s="8">
        <v>37.059708779767547</v>
      </c>
      <c r="L524" s="8">
        <v>0.7893648105015254</v>
      </c>
      <c r="M524" s="8">
        <v>76.436846650228446</v>
      </c>
      <c r="N524" s="8">
        <v>66.443359222195738</v>
      </c>
      <c r="O524" s="8">
        <v>289.88900000000001</v>
      </c>
      <c r="P524" s="8">
        <v>285.05399999999997</v>
      </c>
      <c r="Q524" s="8">
        <v>101.67100000000001</v>
      </c>
      <c r="R524" s="8">
        <v>-1.02868</v>
      </c>
      <c r="S524" s="8">
        <v>-0.209838</v>
      </c>
      <c r="T524" s="7">
        <f>C524-D524</f>
        <v>3.8222843023514201</v>
      </c>
      <c r="U524" s="8">
        <f>D524/C524</f>
        <v>0.973505617727774</v>
      </c>
      <c r="V524" s="8">
        <v>43.559808630096605</v>
      </c>
      <c r="W524" s="8">
        <v>34.337229167461672</v>
      </c>
      <c r="X524" s="8">
        <v>0.89044246431177121</v>
      </c>
      <c r="Y524" s="8">
        <v>73.030339036243603</v>
      </c>
      <c r="Z524" s="8">
        <v>61.624687157191431</v>
      </c>
      <c r="AA524" s="7">
        <v>43.747542192128741</v>
      </c>
      <c r="AB524" s="7">
        <v>35.698468973614609</v>
      </c>
      <c r="AC524" s="7">
        <v>0.83990363740664831</v>
      </c>
      <c r="AD524" s="7">
        <v>74.733592843236025</v>
      </c>
      <c r="AE524" s="7">
        <v>64.034023189693585</v>
      </c>
      <c r="AF524" s="8">
        <v>42.660055008461221</v>
      </c>
      <c r="AG524" s="8">
        <v>38.466665907180072</v>
      </c>
      <c r="AH524" s="8">
        <v>0.8014198118524074</v>
      </c>
      <c r="AI524" s="8">
        <v>75.451994389884021</v>
      </c>
      <c r="AJ524" s="8">
        <v>65.74193911120588</v>
      </c>
      <c r="AK524" s="8">
        <v>44.00337920903641</v>
      </c>
      <c r="AL524" s="8">
        <v>36.984569913369967</v>
      </c>
      <c r="AM524" s="8">
        <v>0.78872101040393994</v>
      </c>
      <c r="AN524" s="8">
        <v>76.489442909893782</v>
      </c>
      <c r="AO524" s="8">
        <v>66.480818723257556</v>
      </c>
      <c r="AP524" s="8">
        <v>44.108750974955271</v>
      </c>
      <c r="AQ524" s="8">
        <v>35.746661408935772</v>
      </c>
      <c r="AR524" s="8">
        <v>0.83599564332436116</v>
      </c>
      <c r="AS524" s="8">
        <v>74.474756655466507</v>
      </c>
      <c r="AT524" s="8">
        <v>64.670550425719725</v>
      </c>
      <c r="AU524" s="8">
        <v>43.716111683252883</v>
      </c>
      <c r="AV524" s="8">
        <v>34.655819583304883</v>
      </c>
      <c r="AW524" s="8">
        <v>0.88123891440980151</v>
      </c>
      <c r="AX524" s="8">
        <v>68.511178784954765</v>
      </c>
      <c r="AY524" s="8">
        <v>74.011408088297728</v>
      </c>
      <c r="AZ524" s="8">
        <v>43.611312243081493</v>
      </c>
      <c r="BA524" s="8">
        <v>36.807125610361851</v>
      </c>
      <c r="BB524" s="8">
        <v>0.77487525728393314</v>
      </c>
      <c r="BC524" s="8">
        <v>76.508207022304873</v>
      </c>
      <c r="BD524" s="8">
        <v>66.635970964889651</v>
      </c>
      <c r="BE524" s="8">
        <v>44.749580990533858</v>
      </c>
      <c r="BF524" s="8">
        <v>34.204222158115932</v>
      </c>
      <c r="BG524" s="8">
        <v>0.80513005573119867</v>
      </c>
      <c r="BH524" s="8">
        <v>72.382767603034267</v>
      </c>
      <c r="BI524" s="8">
        <v>71.805871298048132</v>
      </c>
    </row>
    <row r="525" spans="1:61" x14ac:dyDescent="0.15">
      <c r="A525" s="7">
        <v>2020</v>
      </c>
      <c r="B525" s="7">
        <v>122</v>
      </c>
      <c r="C525" s="7">
        <v>44.65849083106</v>
      </c>
      <c r="D525" s="7">
        <v>1.6618240703650762</v>
      </c>
      <c r="E525" s="8">
        <v>21.88954908299706</v>
      </c>
      <c r="F525" s="8">
        <v>12.056025007747079</v>
      </c>
      <c r="G525" s="8">
        <v>0.74924879205972816</v>
      </c>
      <c r="H525" s="8">
        <v>65.161437194532837</v>
      </c>
      <c r="I525" s="8">
        <v>34.199969494853811</v>
      </c>
      <c r="J525" s="8">
        <v>25.88740599727079</v>
      </c>
      <c r="K525" s="8">
        <v>16.45933366498998</v>
      </c>
      <c r="L525" s="8">
        <v>0.73346626428326067</v>
      </c>
      <c r="M525" s="8">
        <v>60.803146078837877</v>
      </c>
      <c r="N525" s="8">
        <v>43.700514610971808</v>
      </c>
      <c r="O525" s="8">
        <v>292.34199999999998</v>
      </c>
      <c r="P525" s="8">
        <v>287.98399999999998</v>
      </c>
      <c r="Q525" s="8">
        <v>98.3185</v>
      </c>
      <c r="R525" s="8">
        <v>-0.25875700000000001</v>
      </c>
      <c r="S525" s="8">
        <v>-0.33682400000000001</v>
      </c>
      <c r="T525" s="7">
        <f>C525-D525</f>
        <v>42.996666760694922</v>
      </c>
      <c r="U525" s="8">
        <f>D525/C525</f>
        <v>3.7211827794442098E-2</v>
      </c>
      <c r="V525" s="8">
        <v>20.369579409491372</v>
      </c>
      <c r="W525" s="8">
        <v>9.7857728911521988</v>
      </c>
      <c r="X525" s="8">
        <v>0.73320814288073544</v>
      </c>
      <c r="Y525" s="8">
        <v>66.409933992405854</v>
      </c>
      <c r="Z525" s="8">
        <v>28.417255595122697</v>
      </c>
      <c r="AA525" s="7">
        <v>23.128492703381081</v>
      </c>
      <c r="AB525" s="7">
        <v>13.12255327807109</v>
      </c>
      <c r="AC525" s="7">
        <v>0.73333720358199805</v>
      </c>
      <c r="AD525" s="7">
        <v>63.606540035621869</v>
      </c>
      <c r="AE525" s="7">
        <v>36.058885103047253</v>
      </c>
      <c r="AF525" s="8">
        <v>25.92981479247274</v>
      </c>
      <c r="AG525" s="8">
        <v>16.338466686236949</v>
      </c>
      <c r="AH525" s="8">
        <v>0.75059878258678858</v>
      </c>
      <c r="AI525" s="8">
        <v>60.979140986223022</v>
      </c>
      <c r="AJ525" s="8">
        <v>44.75943484971598</v>
      </c>
      <c r="AK525" s="8">
        <v>25.879743969434209</v>
      </c>
      <c r="AL525" s="8">
        <v>16.481170789843951</v>
      </c>
      <c r="AM525" s="8">
        <v>0.73037091975560964</v>
      </c>
      <c r="AN525" s="8">
        <v>60.771348951070777</v>
      </c>
      <c r="AO525" s="8">
        <v>43.509198722195507</v>
      </c>
      <c r="AP525" s="8">
        <v>25.4096952386369</v>
      </c>
      <c r="AQ525" s="8">
        <v>14.85692281491017</v>
      </c>
      <c r="AR525" s="8">
        <v>0.68500179974091047</v>
      </c>
      <c r="AS525" s="8">
        <v>60.267217706585782</v>
      </c>
      <c r="AT525" s="8">
        <v>38.862695989124873</v>
      </c>
      <c r="AU525" s="8">
        <v>21.30800484980594</v>
      </c>
      <c r="AV525" s="8">
        <v>13.048973818202469</v>
      </c>
      <c r="AW525" s="8">
        <v>0.61281954559684215</v>
      </c>
      <c r="AX525" s="8">
        <v>63.901744472432647</v>
      </c>
      <c r="AY525" s="8">
        <v>33.360676692130923</v>
      </c>
      <c r="AZ525" s="8">
        <v>27.047933354744469</v>
      </c>
      <c r="BA525" s="8">
        <v>17.722293695171391</v>
      </c>
      <c r="BB525" s="8">
        <v>0.77079409331666526</v>
      </c>
      <c r="BC525" s="8">
        <v>60.38360389774931</v>
      </c>
      <c r="BD525" s="8">
        <v>45.577417468162203</v>
      </c>
      <c r="BE525" s="8">
        <v>31.571599060120189</v>
      </c>
      <c r="BF525" s="8">
        <v>23.811169740887991</v>
      </c>
      <c r="BG525" s="8">
        <v>0.72726758807678982</v>
      </c>
      <c r="BH525" s="8">
        <v>62.084902335205967</v>
      </c>
      <c r="BI525" s="8">
        <v>47.926601459296087</v>
      </c>
    </row>
    <row r="526" spans="1:61" x14ac:dyDescent="0.15">
      <c r="A526" s="7">
        <v>2019</v>
      </c>
      <c r="B526" s="7">
        <v>105</v>
      </c>
      <c r="C526" s="7">
        <v>20.952346835576126</v>
      </c>
      <c r="D526" s="7">
        <v>8.7578543074813773</v>
      </c>
      <c r="E526" s="8">
        <v>38.608931277747828</v>
      </c>
      <c r="F526" s="8">
        <v>22.141798771185201</v>
      </c>
      <c r="G526" s="8">
        <v>0.74985919667571721</v>
      </c>
      <c r="H526" s="8">
        <v>72.154688224676789</v>
      </c>
      <c r="I526" s="8">
        <v>55.119837709519537</v>
      </c>
      <c r="J526" s="8">
        <v>42.967940955698722</v>
      </c>
      <c r="K526" s="8">
        <v>23.569661468939451</v>
      </c>
      <c r="L526" s="8">
        <v>0.76704567838353732</v>
      </c>
      <c r="M526" s="8">
        <v>71.88141431502315</v>
      </c>
      <c r="N526" s="8">
        <v>64.614166310792328</v>
      </c>
      <c r="O526" s="8">
        <v>289.75900000000001</v>
      </c>
      <c r="P526" s="8">
        <v>283.721</v>
      </c>
      <c r="Q526" s="8">
        <v>100.363</v>
      </c>
      <c r="R526" s="8">
        <v>-0.70502100000000001</v>
      </c>
      <c r="S526" s="8">
        <v>-0.34778199999999998</v>
      </c>
      <c r="T526" s="7">
        <f>C526-D526</f>
        <v>12.194492528094749</v>
      </c>
      <c r="U526" s="8">
        <f>D526/C526</f>
        <v>0.41798918165152465</v>
      </c>
      <c r="V526" s="8">
        <v>38.447061397000923</v>
      </c>
      <c r="W526" s="8">
        <v>22.159943482865287</v>
      </c>
      <c r="X526" s="8">
        <v>0.75289414115053965</v>
      </c>
      <c r="Y526" s="8">
        <v>68.680631237089457</v>
      </c>
      <c r="Z526" s="8">
        <v>55.659407408648647</v>
      </c>
      <c r="AA526" s="7">
        <v>40.707501176349822</v>
      </c>
      <c r="AB526" s="7">
        <v>22.864802475902369</v>
      </c>
      <c r="AC526" s="7">
        <v>0.75996990976703849</v>
      </c>
      <c r="AD526" s="7">
        <v>70.281022776056304</v>
      </c>
      <c r="AE526" s="7">
        <v>60.136786859720488</v>
      </c>
      <c r="AF526" s="8">
        <v>43.638122971076712</v>
      </c>
      <c r="AG526" s="8">
        <v>24.335409455677041</v>
      </c>
      <c r="AH526" s="8">
        <v>0.74005177140285916</v>
      </c>
      <c r="AI526" s="8">
        <v>73.144183532952681</v>
      </c>
      <c r="AJ526" s="8">
        <v>65.659881014936914</v>
      </c>
      <c r="AK526" s="8">
        <v>42.872878329054799</v>
      </c>
      <c r="AL526" s="8">
        <v>23.461043193163249</v>
      </c>
      <c r="AM526" s="8">
        <v>0.77087465564953817</v>
      </c>
      <c r="AN526" s="8">
        <v>71.702295574222887</v>
      </c>
      <c r="AO526" s="8">
        <v>64.465835880826845</v>
      </c>
      <c r="AP526" s="8">
        <v>40.901383830997233</v>
      </c>
      <c r="AQ526" s="8">
        <v>22.849571553492162</v>
      </c>
      <c r="AR526" s="8">
        <v>0.75947258090532932</v>
      </c>
      <c r="AS526" s="8">
        <v>69.640482161406396</v>
      </c>
      <c r="AT526" s="8">
        <v>60.761234366422407</v>
      </c>
      <c r="AU526" s="8">
        <v>39.813577514016892</v>
      </c>
      <c r="AV526" s="8">
        <v>25.758300149914131</v>
      </c>
      <c r="AW526" s="8">
        <v>0.72247199498347747</v>
      </c>
      <c r="AX526" s="8">
        <v>70.02377919770143</v>
      </c>
      <c r="AY526" s="8">
        <v>64.523872086291021</v>
      </c>
      <c r="AZ526" s="8">
        <v>42.495727987658199</v>
      </c>
      <c r="BA526" s="8">
        <v>23.813182430569949</v>
      </c>
      <c r="BB526" s="8">
        <v>0.76711274057179535</v>
      </c>
      <c r="BC526" s="8">
        <v>71.011263951884501</v>
      </c>
      <c r="BD526" s="8">
        <v>64.348018841740043</v>
      </c>
      <c r="BE526" s="8">
        <v>44.991098212071172</v>
      </c>
      <c r="BF526" s="8">
        <v>33.436897864305458</v>
      </c>
      <c r="BG526" s="8">
        <v>0.70501254448541528</v>
      </c>
      <c r="BH526" s="8">
        <v>70.563684776649623</v>
      </c>
      <c r="BI526" s="8">
        <v>77.400930424276581</v>
      </c>
    </row>
    <row r="527" spans="1:61" x14ac:dyDescent="0.15">
      <c r="A527" s="7">
        <v>2020</v>
      </c>
      <c r="B527" s="7">
        <v>149</v>
      </c>
      <c r="C527" s="7">
        <v>7.6160805883782574</v>
      </c>
      <c r="D527" s="7">
        <v>2.0633331786638762</v>
      </c>
      <c r="E527" s="8">
        <v>38.459906055287981</v>
      </c>
      <c r="F527" s="8">
        <v>23.569190258020662</v>
      </c>
      <c r="G527" s="8">
        <v>0.75126531265695862</v>
      </c>
      <c r="H527" s="8">
        <v>74.214964913922614</v>
      </c>
      <c r="I527" s="8">
        <v>56.855250344735431</v>
      </c>
      <c r="J527" s="8">
        <v>44.497017963643138</v>
      </c>
      <c r="K527" s="8">
        <v>25.862478910227502</v>
      </c>
      <c r="L527" s="8">
        <v>0.71573965009377349</v>
      </c>
      <c r="M527" s="8">
        <v>72.980399417126108</v>
      </c>
      <c r="N527" s="8">
        <v>69.896946020066906</v>
      </c>
      <c r="O527" s="8">
        <v>288.98599999999999</v>
      </c>
      <c r="P527" s="8">
        <v>282.91899999999998</v>
      </c>
      <c r="Q527" s="8">
        <v>101.289</v>
      </c>
      <c r="R527" s="8">
        <v>-0.66911399999999999</v>
      </c>
      <c r="S527" s="8">
        <v>9.0793599999999999E-3</v>
      </c>
      <c r="T527" s="7">
        <f>C527-D527</f>
        <v>5.5527474097143816</v>
      </c>
      <c r="U527" s="8">
        <f>D527/C527</f>
        <v>0.27091798133181721</v>
      </c>
      <c r="V527" s="8">
        <v>36.970835729863488</v>
      </c>
      <c r="W527" s="8">
        <v>29.965819897743096</v>
      </c>
      <c r="X527" s="8">
        <v>0.77779184925652378</v>
      </c>
      <c r="Y527" s="8">
        <v>68.266963929148147</v>
      </c>
      <c r="Z527" s="8">
        <v>57.637825422237015</v>
      </c>
      <c r="AA527" s="7">
        <v>40.733926846753313</v>
      </c>
      <c r="AB527" s="7">
        <v>27.914149403985299</v>
      </c>
      <c r="AC527" s="7">
        <v>0.74676574967514864</v>
      </c>
      <c r="AD527" s="7">
        <v>70.623681673137128</v>
      </c>
      <c r="AE527" s="7">
        <v>63.76738572115196</v>
      </c>
      <c r="AF527" s="8">
        <v>42.462726657159777</v>
      </c>
      <c r="AG527" s="8">
        <v>24.54413578632315</v>
      </c>
      <c r="AH527" s="8">
        <v>0.71428540427848264</v>
      </c>
      <c r="AI527" s="8">
        <v>74.995572880457956</v>
      </c>
      <c r="AJ527" s="8">
        <v>66.360424352319086</v>
      </c>
      <c r="AK527" s="8">
        <v>44.71597218817427</v>
      </c>
      <c r="AL527" s="8">
        <v>26.004374417247789</v>
      </c>
      <c r="AM527" s="8">
        <v>0.7158961730380291</v>
      </c>
      <c r="AN527" s="8">
        <v>72.763502878487188</v>
      </c>
      <c r="AO527" s="8">
        <v>70.277587846943661</v>
      </c>
      <c r="AP527" s="8">
        <v>39.949043188723273</v>
      </c>
      <c r="AQ527" s="8">
        <v>28.334202782048521</v>
      </c>
      <c r="AR527" s="8">
        <v>0.75241502969064722</v>
      </c>
      <c r="AS527" s="8">
        <v>70.265601072276397</v>
      </c>
      <c r="AT527" s="8">
        <v>62.437009095624603</v>
      </c>
      <c r="AU527" s="8">
        <v>38.854457341278909</v>
      </c>
      <c r="AV527" s="8">
        <v>23.35103095478398</v>
      </c>
      <c r="AW527" s="8">
        <v>0.64406468948366302</v>
      </c>
      <c r="AX527" s="8">
        <v>70.389720596813959</v>
      </c>
      <c r="AY527" s="8">
        <v>63.971732611891341</v>
      </c>
      <c r="AZ527" s="8">
        <v>44.492656404358463</v>
      </c>
      <c r="BA527" s="8">
        <v>25.953636471514582</v>
      </c>
      <c r="BB527" s="8">
        <v>0.72005663980003209</v>
      </c>
      <c r="BC527" s="8">
        <v>72.255603844294455</v>
      </c>
      <c r="BD527" s="8">
        <v>70.231325018492242</v>
      </c>
      <c r="BE527" s="8">
        <v>46.837196438625682</v>
      </c>
      <c r="BF527" s="8">
        <v>33.23414695534715</v>
      </c>
      <c r="BG527" s="8">
        <v>0.84017765514872367</v>
      </c>
      <c r="BH527" s="8">
        <v>70.33537436521739</v>
      </c>
      <c r="BI527" s="8">
        <v>81.258478938375447</v>
      </c>
    </row>
    <row r="528" spans="1:61" x14ac:dyDescent="0.15">
      <c r="A528" s="7">
        <v>2018</v>
      </c>
      <c r="B528" s="7">
        <v>96</v>
      </c>
      <c r="C528" s="7">
        <v>13.150413764060566</v>
      </c>
      <c r="D528" s="7">
        <v>5.5417731425961048</v>
      </c>
      <c r="E528" s="8">
        <v>35.62998900437168</v>
      </c>
      <c r="F528" s="8">
        <v>27.70315504562727</v>
      </c>
      <c r="G528" s="8">
        <v>0.75212391590531036</v>
      </c>
      <c r="H528" s="8">
        <v>75.495743491677914</v>
      </c>
      <c r="I528" s="8">
        <v>60.190515093651051</v>
      </c>
      <c r="J528" s="8">
        <v>28.41284728507458</v>
      </c>
      <c r="K528" s="8">
        <v>22.21801444935053</v>
      </c>
      <c r="L528" s="8">
        <v>0.65357231401913873</v>
      </c>
      <c r="M528" s="8">
        <v>82.593971395384926</v>
      </c>
      <c r="N528" s="8">
        <v>56.511297263752311</v>
      </c>
      <c r="O528" s="8">
        <v>286.09800000000001</v>
      </c>
      <c r="P528" s="8">
        <v>280.22699999999998</v>
      </c>
      <c r="Q528" s="8">
        <v>100.996</v>
      </c>
      <c r="R528" s="8">
        <v>0.45122200000000001</v>
      </c>
      <c r="S528" s="8">
        <v>-0.116451</v>
      </c>
      <c r="T528" s="7">
        <f>C528-D528</f>
        <v>7.6086406214644615</v>
      </c>
      <c r="U528" s="8">
        <f>D528/C528</f>
        <v>0.42141435562594221</v>
      </c>
      <c r="V528" s="8">
        <v>37.039793654292168</v>
      </c>
      <c r="W528" s="8">
        <v>26.161894640622688</v>
      </c>
      <c r="X528" s="8">
        <v>0.69778664645838462</v>
      </c>
      <c r="Y528" s="8">
        <v>78.581580249939378</v>
      </c>
      <c r="Z528" s="8">
        <v>63.417097455447944</v>
      </c>
      <c r="AA528" s="7">
        <v>32.726320469683372</v>
      </c>
      <c r="AB528" s="7">
        <v>24.189954544986609</v>
      </c>
      <c r="AC528" s="7">
        <v>0.67567948023876168</v>
      </c>
      <c r="AD528" s="7">
        <v>80.587775822662152</v>
      </c>
      <c r="AE528" s="7">
        <v>59.964197359600128</v>
      </c>
      <c r="AF528" s="8">
        <v>29.939829920871279</v>
      </c>
      <c r="AG528" s="8">
        <v>23.33415851441957</v>
      </c>
      <c r="AH528" s="8">
        <v>0.68860572404633147</v>
      </c>
      <c r="AI528" s="8">
        <v>82.253851286202718</v>
      </c>
      <c r="AJ528" s="8">
        <v>59.550690070874893</v>
      </c>
      <c r="AK528" s="8">
        <v>28.33184508659879</v>
      </c>
      <c r="AL528" s="8">
        <v>22.15880609886452</v>
      </c>
      <c r="AM528" s="8">
        <v>0.65171388867376745</v>
      </c>
      <c r="AN528" s="8">
        <v>82.612013824908161</v>
      </c>
      <c r="AO528" s="8">
        <v>56.350065895669367</v>
      </c>
      <c r="AP528" s="8">
        <v>32.975243858084447</v>
      </c>
      <c r="AQ528" s="8">
        <v>23.348968222274038</v>
      </c>
      <c r="AR528" s="8">
        <v>0.66583001775971373</v>
      </c>
      <c r="AS528" s="8">
        <v>80.80829002728386</v>
      </c>
      <c r="AT528" s="8">
        <v>60.173993721615147</v>
      </c>
      <c r="AU528" s="8">
        <v>38.721338166954638</v>
      </c>
      <c r="AV528" s="8">
        <v>27.613385305587549</v>
      </c>
      <c r="AW528" s="8">
        <v>0.84170447907032531</v>
      </c>
      <c r="AX528" s="8">
        <v>79.90267175808988</v>
      </c>
      <c r="AY528" s="8">
        <v>65.807890821295217</v>
      </c>
      <c r="AZ528" s="8">
        <v>29.405930702798859</v>
      </c>
      <c r="BA528" s="8">
        <v>22.652794160168511</v>
      </c>
      <c r="BB528" s="8">
        <v>0.64834653439696477</v>
      </c>
      <c r="BC528" s="8">
        <v>83.506573113242169</v>
      </c>
      <c r="BD528" s="8">
        <v>58.32217830262973</v>
      </c>
      <c r="BE528" s="8">
        <v>39.537347569658102</v>
      </c>
      <c r="BF528" s="8">
        <v>29.410686521063521</v>
      </c>
      <c r="BG528" s="8">
        <v>0.80096413357870455</v>
      </c>
      <c r="BH528" s="8">
        <v>79.388101401644619</v>
      </c>
      <c r="BI528" s="8">
        <v>73.671716287213968</v>
      </c>
    </row>
    <row r="529" spans="1:61" x14ac:dyDescent="0.15">
      <c r="A529" s="7">
        <v>2019</v>
      </c>
      <c r="B529" s="7">
        <v>61</v>
      </c>
      <c r="C529" s="7">
        <v>21.295531668834329</v>
      </c>
      <c r="D529" s="7">
        <v>8.9030985801979927</v>
      </c>
      <c r="E529" s="8">
        <v>37.215104683626748</v>
      </c>
      <c r="F529" s="8">
        <v>19.04800928760698</v>
      </c>
      <c r="G529" s="8">
        <v>0.7522209743233762</v>
      </c>
      <c r="H529" s="8">
        <v>73.7823112732178</v>
      </c>
      <c r="I529" s="8">
        <v>57.347485913776843</v>
      </c>
      <c r="J529" s="8">
        <v>41.924692018168066</v>
      </c>
      <c r="K529" s="8">
        <v>22.835615357418039</v>
      </c>
      <c r="L529" s="8">
        <v>0.80194541884124482</v>
      </c>
      <c r="M529" s="8">
        <v>69.559493776734286</v>
      </c>
      <c r="N529" s="8">
        <v>64.368672269240818</v>
      </c>
      <c r="O529" s="8">
        <v>288.78800000000001</v>
      </c>
      <c r="P529" s="8">
        <v>281.762</v>
      </c>
      <c r="Q529" s="8">
        <v>97.566199999999995</v>
      </c>
      <c r="R529" s="8">
        <v>-0.37004100000000001</v>
      </c>
      <c r="S529" s="8">
        <v>-0.184476</v>
      </c>
      <c r="T529" s="7">
        <f>C529-D529</f>
        <v>12.392433088636336</v>
      </c>
      <c r="U529" s="8">
        <f>D529/C529</f>
        <v>0.41807355264238533</v>
      </c>
      <c r="V529" s="8">
        <v>33.837733130844718</v>
      </c>
      <c r="W529" s="8">
        <v>20.967012352124339</v>
      </c>
      <c r="X529" s="8">
        <v>0.76923199214071059</v>
      </c>
      <c r="Y529" s="8">
        <v>63.123788175715049</v>
      </c>
      <c r="Z529" s="8">
        <v>51.893492656304218</v>
      </c>
      <c r="AA529" s="7">
        <v>37.881212574506392</v>
      </c>
      <c r="AB529" s="7">
        <v>21.901313854771189</v>
      </c>
      <c r="AC529" s="7">
        <v>0.7855887054909777</v>
      </c>
      <c r="AD529" s="7">
        <v>66.341640976224667</v>
      </c>
      <c r="AE529" s="7">
        <v>58.131082462772518</v>
      </c>
      <c r="AF529" s="8">
        <v>42.380481635980573</v>
      </c>
      <c r="AG529" s="8">
        <v>22.917763737710111</v>
      </c>
      <c r="AH529" s="8">
        <v>0.77803471809125047</v>
      </c>
      <c r="AI529" s="8">
        <v>70.340480226314739</v>
      </c>
      <c r="AJ529" s="8">
        <v>63.730419036463573</v>
      </c>
      <c r="AK529" s="8">
        <v>41.856314217220508</v>
      </c>
      <c r="AL529" s="8">
        <v>22.8232914137031</v>
      </c>
      <c r="AM529" s="8">
        <v>0.80553251488842204</v>
      </c>
      <c r="AN529" s="8">
        <v>69.442329774077876</v>
      </c>
      <c r="AO529" s="8">
        <v>64.464423358777324</v>
      </c>
      <c r="AP529" s="8">
        <v>37.666179064823758</v>
      </c>
      <c r="AQ529" s="8">
        <v>23.328959300932191</v>
      </c>
      <c r="AR529" s="8">
        <v>0.79647897352993235</v>
      </c>
      <c r="AS529" s="8">
        <v>62.11064705744721</v>
      </c>
      <c r="AT529" s="8">
        <v>57.923611044215612</v>
      </c>
      <c r="AU529" s="8">
        <v>33.285602080939533</v>
      </c>
      <c r="AV529" s="8">
        <v>20.248826294054808</v>
      </c>
      <c r="AW529" s="8">
        <v>0.75461657008154337</v>
      </c>
      <c r="AX529" s="8">
        <v>67.786357215288518</v>
      </c>
      <c r="AY529" s="8">
        <v>51.319138933976987</v>
      </c>
      <c r="AZ529" s="8">
        <v>40.090849832903928</v>
      </c>
      <c r="BA529" s="8">
        <v>22.52636403497927</v>
      </c>
      <c r="BB529" s="8">
        <v>0.81854106634525858</v>
      </c>
      <c r="BC529" s="8">
        <v>67.964003423446755</v>
      </c>
      <c r="BD529" s="8">
        <v>61.064169077617557</v>
      </c>
      <c r="BE529" s="8">
        <v>34.36112661792388</v>
      </c>
      <c r="BF529" s="8">
        <v>29.842154326120419</v>
      </c>
      <c r="BG529" s="8">
        <v>0.62759153727248118</v>
      </c>
      <c r="BH529" s="8">
        <v>69.77594048250279</v>
      </c>
      <c r="BI529" s="8">
        <v>65.38361594804806</v>
      </c>
    </row>
    <row r="530" spans="1:61" x14ac:dyDescent="0.15">
      <c r="A530" s="7">
        <v>2022</v>
      </c>
      <c r="B530" s="7">
        <v>88</v>
      </c>
      <c r="C530" s="7">
        <v>14.422627251799986</v>
      </c>
      <c r="D530" s="7">
        <v>9.7517104022622263</v>
      </c>
      <c r="E530" s="8">
        <v>43.019741415595533</v>
      </c>
      <c r="F530" s="8">
        <v>27.332706623032362</v>
      </c>
      <c r="G530" s="8">
        <v>0.75333860912917694</v>
      </c>
      <c r="H530" s="8">
        <v>68.000887631094614</v>
      </c>
      <c r="I530" s="8">
        <v>57.903195818436927</v>
      </c>
      <c r="J530" s="8">
        <v>36.285702165873133</v>
      </c>
      <c r="K530" s="8">
        <v>21.891985022485311</v>
      </c>
      <c r="L530" s="8">
        <v>0.63542406761534009</v>
      </c>
      <c r="M530" s="8">
        <v>70.220079859582242</v>
      </c>
      <c r="N530" s="8">
        <v>55.685192047478658</v>
      </c>
      <c r="O530" s="8">
        <v>289.98599999999999</v>
      </c>
      <c r="P530" s="8">
        <v>282.25099999999998</v>
      </c>
      <c r="Q530" s="8">
        <v>101.047</v>
      </c>
      <c r="R530" s="8">
        <v>-0.46638299999999999</v>
      </c>
      <c r="S530" s="8">
        <v>9.4387600000000002E-2</v>
      </c>
      <c r="T530" s="7">
        <f>C530-D530</f>
        <v>4.6709168495377593</v>
      </c>
      <c r="U530" s="8">
        <f>D530/C530</f>
        <v>0.67613966803760972</v>
      </c>
      <c r="V530" s="8">
        <v>26.918321298366926</v>
      </c>
      <c r="W530" s="8">
        <v>28.036884803623789</v>
      </c>
      <c r="X530" s="8">
        <v>0.73440400200114919</v>
      </c>
      <c r="Y530" s="8">
        <v>54.442816654219243</v>
      </c>
      <c r="Z530" s="8">
        <v>52.862392768836308</v>
      </c>
      <c r="AA530" s="7">
        <v>31.60201173212003</v>
      </c>
      <c r="AB530" s="7">
        <v>24.96443491305455</v>
      </c>
      <c r="AC530" s="7">
        <v>0.68491403480824464</v>
      </c>
      <c r="AD530" s="7">
        <v>62.331448256900742</v>
      </c>
      <c r="AE530" s="7">
        <v>54.273792408157483</v>
      </c>
      <c r="AF530" s="8">
        <v>35.501728543854647</v>
      </c>
      <c r="AG530" s="8">
        <v>21.325158941081</v>
      </c>
      <c r="AH530" s="8">
        <v>0.66012728573012991</v>
      </c>
      <c r="AI530" s="8">
        <v>69.761539754542071</v>
      </c>
      <c r="AJ530" s="8">
        <v>51.108679722744213</v>
      </c>
      <c r="AK530" s="8">
        <v>36.382786415646862</v>
      </c>
      <c r="AL530" s="8">
        <v>21.962178563849172</v>
      </c>
      <c r="AM530" s="8">
        <v>0.63236491698792929</v>
      </c>
      <c r="AN530" s="8">
        <v>70.276863686025777</v>
      </c>
      <c r="AO530" s="8">
        <v>56.251929566635432</v>
      </c>
      <c r="AP530" s="8">
        <v>30.656654565205791</v>
      </c>
      <c r="AQ530" s="8">
        <v>25.755527388551041</v>
      </c>
      <c r="AR530" s="8">
        <v>0.70249787983939782</v>
      </c>
      <c r="AS530" s="8">
        <v>60.314595912675372</v>
      </c>
      <c r="AT530" s="8">
        <v>53.896631395477399</v>
      </c>
      <c r="AU530" s="8">
        <v>39.018919225161738</v>
      </c>
      <c r="AV530" s="8">
        <v>28.079604244559508</v>
      </c>
      <c r="AW530" s="8">
        <v>0.70870507849090691</v>
      </c>
      <c r="AX530" s="8">
        <v>62.924236165528391</v>
      </c>
      <c r="AY530" s="8">
        <v>77.072209223312385</v>
      </c>
      <c r="AZ530" s="8">
        <v>35.766574678690361</v>
      </c>
      <c r="BA530" s="8">
        <v>21.343912592960049</v>
      </c>
      <c r="BB530" s="8">
        <v>0.60366968258531095</v>
      </c>
      <c r="BC530" s="8">
        <v>71.461559741608724</v>
      </c>
      <c r="BD530" s="8">
        <v>55.951326722814052</v>
      </c>
      <c r="BE530" s="8">
        <v>35.814467042908959</v>
      </c>
      <c r="BF530" s="8">
        <v>26.216461332693829</v>
      </c>
      <c r="BG530" s="8">
        <v>0.60801121498929145</v>
      </c>
      <c r="BH530" s="8">
        <v>68.115131065040543</v>
      </c>
      <c r="BI530" s="8">
        <v>74.741737277001491</v>
      </c>
    </row>
    <row r="531" spans="1:61" x14ac:dyDescent="0.15">
      <c r="A531" s="7">
        <v>2018</v>
      </c>
      <c r="B531" s="7">
        <v>124</v>
      </c>
      <c r="C531" s="7">
        <v>25.91209440160311</v>
      </c>
      <c r="D531" s="7">
        <v>20.758536495673525</v>
      </c>
      <c r="E531" s="8">
        <v>28.35830708746165</v>
      </c>
      <c r="F531" s="8">
        <v>15.950866167090901</v>
      </c>
      <c r="G531" s="8">
        <v>0.75386244930565627</v>
      </c>
      <c r="H531" s="8">
        <v>85.919697307459018</v>
      </c>
      <c r="I531" s="8">
        <v>64.120118822950047</v>
      </c>
      <c r="J531" s="8">
        <v>44.055950043637232</v>
      </c>
      <c r="K531" s="8">
        <v>32.299481242209808</v>
      </c>
      <c r="L531" s="8">
        <v>0.80239573440694101</v>
      </c>
      <c r="M531" s="8">
        <v>62.525510952431553</v>
      </c>
      <c r="N531" s="8">
        <v>87.443214196134491</v>
      </c>
      <c r="O531" s="8">
        <v>283.51499999999999</v>
      </c>
      <c r="P531" s="8">
        <v>277.45</v>
      </c>
      <c r="Q531" s="8">
        <v>85.641800000000003</v>
      </c>
      <c r="R531" s="8">
        <v>-0.34361399999999998</v>
      </c>
      <c r="S531" s="8">
        <v>8.4436800000000006E-2</v>
      </c>
      <c r="T531" s="7">
        <f>C531-D531</f>
        <v>5.1535579059295848</v>
      </c>
      <c r="U531" s="8">
        <f>D531/C531</f>
        <v>0.80111380322808845</v>
      </c>
      <c r="V531" s="8">
        <v>22.384384476849384</v>
      </c>
      <c r="W531" s="8">
        <v>9.5743178058222327</v>
      </c>
      <c r="X531" s="8">
        <v>0.75669515655937314</v>
      </c>
      <c r="Y531" s="8">
        <v>92.518767662882539</v>
      </c>
      <c r="Z531" s="8">
        <v>55.881866922841951</v>
      </c>
      <c r="AA531" s="7">
        <v>33.220167260243308</v>
      </c>
      <c r="AB531" s="7">
        <v>20.93689952401602</v>
      </c>
      <c r="AC531" s="7">
        <v>0.77954544548315707</v>
      </c>
      <c r="AD531" s="7">
        <v>77.522139307657042</v>
      </c>
      <c r="AE531" s="7">
        <v>71.662540559488221</v>
      </c>
      <c r="AF531" s="8">
        <v>47.956219734325472</v>
      </c>
      <c r="AG531" s="8">
        <v>36.714214728588892</v>
      </c>
      <c r="AH531" s="8">
        <v>0.80588543293444326</v>
      </c>
      <c r="AI531" s="8">
        <v>58.514978814563058</v>
      </c>
      <c r="AJ531" s="8">
        <v>95.164134502423209</v>
      </c>
      <c r="AK531" s="8">
        <v>43.70388206733282</v>
      </c>
      <c r="AL531" s="8">
        <v>31.900973854840281</v>
      </c>
      <c r="AM531" s="8">
        <v>0.80208072770332162</v>
      </c>
      <c r="AN531" s="8">
        <v>62.887532054986117</v>
      </c>
      <c r="AO531" s="8">
        <v>86.746265266184224</v>
      </c>
      <c r="AP531" s="8">
        <v>40.795309046274141</v>
      </c>
      <c r="AQ531" s="8">
        <v>29.044186457761619</v>
      </c>
      <c r="AR531" s="8">
        <v>0.80798956989107484</v>
      </c>
      <c r="AS531" s="8">
        <v>63.379156008795611</v>
      </c>
      <c r="AT531" s="8">
        <v>83.381738883884779</v>
      </c>
      <c r="AU531" s="8">
        <v>35.415848797206777</v>
      </c>
      <c r="AV531" s="8">
        <v>21.58010919143117</v>
      </c>
      <c r="AW531" s="8">
        <v>0.8601484894224839</v>
      </c>
      <c r="AX531" s="8">
        <v>74.509757418714969</v>
      </c>
      <c r="AY531" s="8">
        <v>76.30176438740456</v>
      </c>
      <c r="AZ531" s="8">
        <v>51.261197311782148</v>
      </c>
      <c r="BA531" s="8">
        <v>39.750262880747982</v>
      </c>
      <c r="BB531" s="8">
        <v>0.82392148450182701</v>
      </c>
      <c r="BC531" s="8">
        <v>55.184367996458938</v>
      </c>
      <c r="BD531" s="8">
        <v>97.801607038543779</v>
      </c>
      <c r="BE531" s="8">
        <v>36.891118289365266</v>
      </c>
      <c r="BF531" s="8">
        <v>30.851125368817112</v>
      </c>
      <c r="BG531" s="8">
        <v>0.68912317817694979</v>
      </c>
      <c r="BH531" s="8">
        <v>64.006491171372971</v>
      </c>
      <c r="BI531" s="8">
        <v>75.56842080952498</v>
      </c>
    </row>
    <row r="532" spans="1:61" x14ac:dyDescent="0.15">
      <c r="A532" s="7">
        <v>2020</v>
      </c>
      <c r="B532" s="7">
        <v>94</v>
      </c>
      <c r="C532" s="7">
        <v>81.294498610561263</v>
      </c>
      <c r="D532" s="7">
        <v>48.782470335535102</v>
      </c>
      <c r="E532" s="8">
        <v>45.040572100132081</v>
      </c>
      <c r="F532" s="8">
        <v>25.433732572793399</v>
      </c>
      <c r="G532" s="8">
        <v>0.75510473792170285</v>
      </c>
      <c r="H532" s="8">
        <v>75.945292395613023</v>
      </c>
      <c r="I532" s="8">
        <v>72.038078737746289</v>
      </c>
      <c r="J532" s="8">
        <v>51.670041868786427</v>
      </c>
      <c r="K532" s="8">
        <v>32.0053094956954</v>
      </c>
      <c r="L532" s="8">
        <v>0.89902047571149701</v>
      </c>
      <c r="M532" s="8">
        <v>69.007353948080734</v>
      </c>
      <c r="N532" s="8">
        <v>89.109634795642023</v>
      </c>
      <c r="O532" s="8">
        <v>288.42399999999998</v>
      </c>
      <c r="P532" s="8">
        <v>279.60700000000003</v>
      </c>
      <c r="Q532" s="8">
        <v>99.000600000000006</v>
      </c>
      <c r="R532" s="8">
        <v>-3.5930400000000001E-2</v>
      </c>
      <c r="S532" s="8">
        <v>1.52953E-2</v>
      </c>
      <c r="T532" s="7">
        <f>C532-D532</f>
        <v>32.512028275026161</v>
      </c>
      <c r="U532" s="8">
        <f>D532/C532</f>
        <v>0.60007099089479587</v>
      </c>
      <c r="V532" s="8">
        <v>48.345159357197858</v>
      </c>
      <c r="W532" s="8">
        <v>41.988423492538985</v>
      </c>
      <c r="X532" s="8">
        <v>0.89616288210528583</v>
      </c>
      <c r="Y532" s="8">
        <v>63.777201093311717</v>
      </c>
      <c r="Z532" s="8">
        <v>77.190322917818577</v>
      </c>
      <c r="AA532" s="7">
        <v>50.007600612992142</v>
      </c>
      <c r="AB532" s="7">
        <v>36.996866494117192</v>
      </c>
      <c r="AC532" s="7">
        <v>0.89759167890839142</v>
      </c>
      <c r="AD532" s="7">
        <v>66.392277520696226</v>
      </c>
      <c r="AE532" s="7">
        <v>83.1499788567303</v>
      </c>
      <c r="AF532" s="8">
        <v>50.943302024522737</v>
      </c>
      <c r="AG532" s="8">
        <v>30.97007224609834</v>
      </c>
      <c r="AH532" s="8">
        <v>0.88014182632547577</v>
      </c>
      <c r="AI532" s="8">
        <v>70.3243607718356</v>
      </c>
      <c r="AJ532" s="8">
        <v>85.805567778932087</v>
      </c>
      <c r="AK532" s="8">
        <v>51.724725756647842</v>
      </c>
      <c r="AL532" s="8">
        <v>32.083206418664098</v>
      </c>
      <c r="AM532" s="8">
        <v>0.90044100873187305</v>
      </c>
      <c r="AN532" s="8">
        <v>68.908255138470452</v>
      </c>
      <c r="AO532" s="8">
        <v>89.358250901741627</v>
      </c>
      <c r="AP532" s="8">
        <v>50.0952420199391</v>
      </c>
      <c r="AQ532" s="8">
        <v>39.806924439867643</v>
      </c>
      <c r="AR532" s="8">
        <v>0.90139924391858972</v>
      </c>
      <c r="AS532" s="8">
        <v>64.566113701423191</v>
      </c>
      <c r="AT532" s="8">
        <v>82.302437298069776</v>
      </c>
      <c r="AU532" s="8">
        <v>42.599551281034188</v>
      </c>
      <c r="AV532" s="8">
        <v>29.341482340025198</v>
      </c>
      <c r="AW532" s="8">
        <v>0.87032060258026456</v>
      </c>
      <c r="AX532" s="8">
        <v>69.564660827427375</v>
      </c>
      <c r="AY532" s="8">
        <v>74.077521635804786</v>
      </c>
      <c r="AZ532" s="8">
        <v>51.730769039174177</v>
      </c>
      <c r="BA532" s="8">
        <v>32.459103325681482</v>
      </c>
      <c r="BB532" s="8">
        <v>0.93514650143472655</v>
      </c>
      <c r="BC532" s="8">
        <v>68.875009423761867</v>
      </c>
      <c r="BD532" s="8">
        <v>90.504823729400059</v>
      </c>
      <c r="BE532" s="8">
        <v>50.814498906638953</v>
      </c>
      <c r="BF532" s="8">
        <v>32.104216065010711</v>
      </c>
      <c r="BG532" s="8">
        <v>1.053809582144233</v>
      </c>
      <c r="BH532" s="8">
        <v>70.239613811388637</v>
      </c>
      <c r="BI532" s="8">
        <v>94.646031103933041</v>
      </c>
    </row>
    <row r="533" spans="1:61" x14ac:dyDescent="0.15">
      <c r="A533" s="7">
        <v>2017</v>
      </c>
      <c r="B533" s="7">
        <v>3</v>
      </c>
      <c r="C533" s="7">
        <v>237.39986317935717</v>
      </c>
      <c r="D533" s="7">
        <v>17.745065058302963</v>
      </c>
      <c r="E533" s="8">
        <v>30.29583080165019</v>
      </c>
      <c r="F533" s="8">
        <v>32.05943460150035</v>
      </c>
      <c r="G533" s="8">
        <v>0.75591891624233043</v>
      </c>
      <c r="H533" s="8">
        <v>58.319672958113493</v>
      </c>
      <c r="I533" s="8">
        <v>45.713536069564739</v>
      </c>
      <c r="J533" s="8">
        <v>31.030882320552539</v>
      </c>
      <c r="K533" s="8">
        <v>35.744993534747792</v>
      </c>
      <c r="L533" s="8">
        <v>0.78387742910765201</v>
      </c>
      <c r="M533" s="8">
        <v>59.155754709125418</v>
      </c>
      <c r="N533" s="8">
        <v>47.308171768687203</v>
      </c>
      <c r="O533" s="8">
        <v>296.35899999999998</v>
      </c>
      <c r="P533" s="8">
        <v>292.23399999999998</v>
      </c>
      <c r="Q533" s="8">
        <v>100.57599999999999</v>
      </c>
      <c r="R533" s="8">
        <v>-1.18974</v>
      </c>
      <c r="S533" s="8">
        <v>-0.260882</v>
      </c>
      <c r="T533" s="7">
        <f>C533-D533</f>
        <v>219.6547981210542</v>
      </c>
      <c r="U533" s="8">
        <f>D533/C533</f>
        <v>7.4747579129379904E-2</v>
      </c>
      <c r="V533" s="8">
        <v>31.940927645824939</v>
      </c>
      <c r="W533" s="8">
        <v>29.616019831423102</v>
      </c>
      <c r="X533" s="8">
        <v>0.77738382897974989</v>
      </c>
      <c r="Y533" s="8">
        <v>59.845694772584807</v>
      </c>
      <c r="Z533" s="8">
        <v>45.914617235336991</v>
      </c>
      <c r="AA533" s="7">
        <v>31.485904983188739</v>
      </c>
      <c r="AB533" s="7">
        <v>32.680506683085447</v>
      </c>
      <c r="AC533" s="7">
        <v>0.78063062904370095</v>
      </c>
      <c r="AD533" s="7">
        <v>59.500724740855112</v>
      </c>
      <c r="AE533" s="7">
        <v>46.611394502012097</v>
      </c>
      <c r="AF533" s="8">
        <v>31.130242261458239</v>
      </c>
      <c r="AG533" s="8">
        <v>34.417625578020072</v>
      </c>
      <c r="AH533" s="8">
        <v>0.79095160929523811</v>
      </c>
      <c r="AI533" s="8">
        <v>58.722537654739632</v>
      </c>
      <c r="AJ533" s="8">
        <v>47.87941485523406</v>
      </c>
      <c r="AK533" s="8">
        <v>31.018226298290539</v>
      </c>
      <c r="AL533" s="8">
        <v>35.914067693378257</v>
      </c>
      <c r="AM533" s="8">
        <v>0.78297635186139625</v>
      </c>
      <c r="AN533" s="8">
        <v>59.210935948512287</v>
      </c>
      <c r="AO533" s="8">
        <v>47.235409394289157</v>
      </c>
      <c r="AP533" s="8">
        <v>28.46795824649805</v>
      </c>
      <c r="AQ533" s="8">
        <v>29.147884851228689</v>
      </c>
      <c r="AR533" s="8">
        <v>0.75259054763040234</v>
      </c>
      <c r="AS533" s="8">
        <v>61.87064245789044</v>
      </c>
      <c r="AT533" s="8">
        <v>43.593419658885672</v>
      </c>
      <c r="AU533" s="8">
        <v>25.60327136157219</v>
      </c>
      <c r="AV533" s="8">
        <v>27.303048641334751</v>
      </c>
      <c r="AW533" s="8">
        <v>0.74647437463033306</v>
      </c>
      <c r="AX533" s="8">
        <v>61.488601512992929</v>
      </c>
      <c r="AY533" s="8">
        <v>38.847676674927463</v>
      </c>
      <c r="AZ533" s="8">
        <v>31.54481808594478</v>
      </c>
      <c r="BA533" s="8">
        <v>35.91874749751387</v>
      </c>
      <c r="BB533" s="8">
        <v>0.7758321750186975</v>
      </c>
      <c r="BC533" s="8">
        <v>59.54713046203257</v>
      </c>
      <c r="BD533" s="8">
        <v>47.41000750156141</v>
      </c>
      <c r="BE533" s="8">
        <v>24.834127523870588</v>
      </c>
      <c r="BF533" s="8">
        <v>25.809071319941189</v>
      </c>
      <c r="BG533" s="8">
        <v>0.75729934801258292</v>
      </c>
      <c r="BH533" s="8">
        <v>58.636410082004211</v>
      </c>
      <c r="BI533" s="8">
        <v>39.584449703501129</v>
      </c>
    </row>
    <row r="534" spans="1:61" x14ac:dyDescent="0.15">
      <c r="A534" s="7">
        <v>2019</v>
      </c>
      <c r="B534" s="7">
        <v>63</v>
      </c>
      <c r="C534" s="7">
        <v>1.2170934094846806</v>
      </c>
      <c r="D534" s="7">
        <v>1.1414225784195018</v>
      </c>
      <c r="E534" s="8">
        <v>34.621730593733382</v>
      </c>
      <c r="F534" s="8">
        <v>29.447567631839579</v>
      </c>
      <c r="G534" s="8">
        <v>0.75611755301394401</v>
      </c>
      <c r="H534" s="8">
        <v>67.410093840150935</v>
      </c>
      <c r="I534" s="8">
        <v>51.688046168038923</v>
      </c>
      <c r="J534" s="8">
        <v>41.731004373446893</v>
      </c>
      <c r="K534" s="8">
        <v>33.820881246327751</v>
      </c>
      <c r="L534" s="8">
        <v>0.81332851336763012</v>
      </c>
      <c r="M534" s="8">
        <v>69.401518001422289</v>
      </c>
      <c r="N534" s="8">
        <v>63.788647179013068</v>
      </c>
      <c r="O534" s="8">
        <v>290.553</v>
      </c>
      <c r="P534" s="8">
        <v>285.71800000000002</v>
      </c>
      <c r="Q534" s="8">
        <v>101.276</v>
      </c>
      <c r="R534" s="8">
        <v>-1.0192399999999999</v>
      </c>
      <c r="S534" s="8">
        <v>-0.54237599999999997</v>
      </c>
      <c r="T534" s="7">
        <f>C534-D534</f>
        <v>7.5670831065178801E-2</v>
      </c>
      <c r="U534" s="8">
        <f>D534/C534</f>
        <v>0.93782660354950242</v>
      </c>
      <c r="V534" s="8">
        <v>37.946284575259085</v>
      </c>
      <c r="W534" s="8">
        <v>28.15199035801313</v>
      </c>
      <c r="X534" s="8">
        <v>0.77313720014792231</v>
      </c>
      <c r="Y534" s="8">
        <v>71.530895580884618</v>
      </c>
      <c r="Z534" s="8">
        <v>54.895093909343672</v>
      </c>
      <c r="AA534" s="7">
        <v>39.838644474352989</v>
      </c>
      <c r="AB534" s="7">
        <v>30.98643580217044</v>
      </c>
      <c r="AC534" s="7">
        <v>0.79323285675777622</v>
      </c>
      <c r="AD534" s="7">
        <v>70.466206791153454</v>
      </c>
      <c r="AE534" s="7">
        <v>59.34187054417837</v>
      </c>
      <c r="AF534" s="8">
        <v>41.580317808625402</v>
      </c>
      <c r="AG534" s="8">
        <v>34.086711083512583</v>
      </c>
      <c r="AH534" s="8">
        <v>0.82883474892161324</v>
      </c>
      <c r="AI534" s="8">
        <v>69.941137430067613</v>
      </c>
      <c r="AJ534" s="8">
        <v>63.075862247316273</v>
      </c>
      <c r="AK534" s="8">
        <v>41.747830084610747</v>
      </c>
      <c r="AL534" s="8">
        <v>33.791198599673038</v>
      </c>
      <c r="AM534" s="8">
        <v>0.8115970820288162</v>
      </c>
      <c r="AN534" s="8">
        <v>69.341263919344371</v>
      </c>
      <c r="AO534" s="8">
        <v>63.868236977857379</v>
      </c>
      <c r="AP534" s="8">
        <v>40.328882941084373</v>
      </c>
      <c r="AQ534" s="8">
        <v>30.830946704027198</v>
      </c>
      <c r="AR534" s="8">
        <v>0.77802122431057985</v>
      </c>
      <c r="AS534" s="8">
        <v>71.471789001597458</v>
      </c>
      <c r="AT534" s="8">
        <v>59.578841778192761</v>
      </c>
      <c r="AU534" s="8">
        <v>40.903972104287298</v>
      </c>
      <c r="AV534" s="8">
        <v>34.66992852196028</v>
      </c>
      <c r="AW534" s="8">
        <v>0.83230801619598072</v>
      </c>
      <c r="AX534" s="8">
        <v>69.083327440226398</v>
      </c>
      <c r="AY534" s="8">
        <v>67.811153028082757</v>
      </c>
      <c r="AZ534" s="8">
        <v>42.11884044885695</v>
      </c>
      <c r="BA534" s="8">
        <v>34.13996367065959</v>
      </c>
      <c r="BB534" s="8">
        <v>0.83695361088238673</v>
      </c>
      <c r="BC534" s="8">
        <v>68.100983357942795</v>
      </c>
      <c r="BD534" s="8">
        <v>66.13045766208144</v>
      </c>
      <c r="BE534" s="8">
        <v>47.552012463268127</v>
      </c>
      <c r="BF534" s="8">
        <v>35.765328814485272</v>
      </c>
      <c r="BG534" s="8">
        <v>0.76362384187892418</v>
      </c>
      <c r="BH534" s="8">
        <v>65.075396362872269</v>
      </c>
      <c r="BI534" s="8">
        <v>77.289288133069732</v>
      </c>
    </row>
    <row r="535" spans="1:61" x14ac:dyDescent="0.15">
      <c r="A535" s="7">
        <v>2017</v>
      </c>
      <c r="B535" s="7">
        <v>39</v>
      </c>
      <c r="C535" s="7">
        <v>69.164713673944604</v>
      </c>
      <c r="D535" s="7">
        <v>66.573702332358053</v>
      </c>
      <c r="E535" s="8">
        <v>43.157638250700231</v>
      </c>
      <c r="F535" s="8">
        <v>32.333888754089507</v>
      </c>
      <c r="G535" s="8">
        <v>0.7563742224855885</v>
      </c>
      <c r="H535" s="8">
        <v>78.696081172377518</v>
      </c>
      <c r="I535" s="8">
        <v>69.682441521375608</v>
      </c>
      <c r="J535" s="8">
        <v>45.698917986693118</v>
      </c>
      <c r="K535" s="8">
        <v>32.685733400516519</v>
      </c>
      <c r="L535" s="8">
        <v>0.77787403721973858</v>
      </c>
      <c r="M535" s="8">
        <v>79.193362242723566</v>
      </c>
      <c r="N535" s="8">
        <v>73.65645964714632</v>
      </c>
      <c r="O535" s="8">
        <v>289.08699999999999</v>
      </c>
      <c r="P535" s="8">
        <v>283.72300000000001</v>
      </c>
      <c r="Q535" s="8">
        <v>101.706</v>
      </c>
      <c r="R535" s="8">
        <v>-0.78056700000000001</v>
      </c>
      <c r="S535" s="8">
        <v>1.27476E-2</v>
      </c>
      <c r="T535" s="7">
        <f>C535-D535</f>
        <v>2.591011341586551</v>
      </c>
      <c r="U535" s="8">
        <f>D535/C535</f>
        <v>0.96253853729806416</v>
      </c>
      <c r="V535" s="8">
        <v>46.903608695009837</v>
      </c>
      <c r="W535" s="8">
        <v>32.173984536300686</v>
      </c>
      <c r="X535" s="8">
        <v>0.7680225676488408</v>
      </c>
      <c r="Y535" s="8">
        <v>73.690611297834039</v>
      </c>
      <c r="Z535" s="8">
        <v>74.785911739463003</v>
      </c>
      <c r="AA535" s="7">
        <v>46.301263340851477</v>
      </c>
      <c r="AB535" s="7">
        <v>32.429858968408602</v>
      </c>
      <c r="AC535" s="7">
        <v>0.77294830243428969</v>
      </c>
      <c r="AD535" s="7">
        <v>76.441986770278803</v>
      </c>
      <c r="AE535" s="7">
        <v>74.221185693304662</v>
      </c>
      <c r="AF535" s="8">
        <v>45.094763636006952</v>
      </c>
      <c r="AG535" s="8">
        <v>32.389033959420928</v>
      </c>
      <c r="AH535" s="8">
        <v>0.76594986825655142</v>
      </c>
      <c r="AI535" s="8">
        <v>78.973459710325358</v>
      </c>
      <c r="AJ535" s="8">
        <v>73.040048894295211</v>
      </c>
      <c r="AK535" s="8">
        <v>45.739061031550811</v>
      </c>
      <c r="AL535" s="8">
        <v>32.70544759931294</v>
      </c>
      <c r="AM535" s="8">
        <v>0.77866633880465019</v>
      </c>
      <c r="AN535" s="8">
        <v>79.207973669774219</v>
      </c>
      <c r="AO535" s="8">
        <v>73.697417068828955</v>
      </c>
      <c r="AP535" s="8">
        <v>46.512039287550088</v>
      </c>
      <c r="AQ535" s="8">
        <v>32.294701958471762</v>
      </c>
      <c r="AR535" s="8">
        <v>0.76115610552204149</v>
      </c>
      <c r="AS535" s="8">
        <v>75.605436654708427</v>
      </c>
      <c r="AT535" s="8">
        <v>73.997010952892907</v>
      </c>
      <c r="AU535" s="8">
        <v>47.252149386406749</v>
      </c>
      <c r="AV535" s="8">
        <v>34.892674795717063</v>
      </c>
      <c r="AW535" s="8">
        <v>0.82639458373176744</v>
      </c>
      <c r="AX535" s="8">
        <v>74.56955515027083</v>
      </c>
      <c r="AY535" s="8">
        <v>79.366758192635814</v>
      </c>
      <c r="AZ535" s="8">
        <v>45.547350611429032</v>
      </c>
      <c r="BA535" s="8">
        <v>33.080673259963291</v>
      </c>
      <c r="BB535" s="8">
        <v>0.78213169213492395</v>
      </c>
      <c r="BC535" s="8">
        <v>78.757197662599751</v>
      </c>
      <c r="BD535" s="8">
        <v>74.093006813931012</v>
      </c>
      <c r="BE535" s="8">
        <v>44.487586283011353</v>
      </c>
      <c r="BF535" s="8">
        <v>33.172179106229187</v>
      </c>
      <c r="BG535" s="8">
        <v>0.79762947335674994</v>
      </c>
      <c r="BH535" s="8">
        <v>80.188321732297823</v>
      </c>
      <c r="BI535" s="8">
        <v>74.102939442086196</v>
      </c>
    </row>
    <row r="536" spans="1:61" x14ac:dyDescent="0.15">
      <c r="A536" s="7">
        <v>2020</v>
      </c>
      <c r="B536" s="7">
        <v>49</v>
      </c>
      <c r="C536" s="7">
        <v>48.427518638679864</v>
      </c>
      <c r="D536" s="7">
        <v>39.350793661475208</v>
      </c>
      <c r="E536" s="8">
        <v>29.51868846536448</v>
      </c>
      <c r="F536" s="8">
        <v>29.630626208036581</v>
      </c>
      <c r="G536" s="8">
        <v>0.7565518300459283</v>
      </c>
      <c r="H536" s="8">
        <v>77.3599821578172</v>
      </c>
      <c r="I536" s="8">
        <v>64.792147988243244</v>
      </c>
      <c r="J536" s="8">
        <v>37.350870211228248</v>
      </c>
      <c r="K536" s="8">
        <v>32.091393860145217</v>
      </c>
      <c r="L536" s="8">
        <v>0.81193004795171642</v>
      </c>
      <c r="M536" s="8">
        <v>66.264439378281466</v>
      </c>
      <c r="N536" s="8">
        <v>88.031871467904224</v>
      </c>
      <c r="O536" s="8">
        <v>281.93200000000002</v>
      </c>
      <c r="P536" s="8">
        <v>269.471</v>
      </c>
      <c r="Q536" s="8">
        <v>87.639899999999997</v>
      </c>
      <c r="R536" s="8">
        <v>0.82851900000000001</v>
      </c>
      <c r="S536" s="8">
        <v>0.13575699999999999</v>
      </c>
      <c r="T536" s="7">
        <f>C536-D536</f>
        <v>9.0767249772046554</v>
      </c>
      <c r="U536" s="8">
        <f>D536/C536</f>
        <v>0.81257092594550318</v>
      </c>
      <c r="V536" s="8">
        <v>30.718145828190337</v>
      </c>
      <c r="W536" s="8">
        <v>32.586770785025436</v>
      </c>
      <c r="X536" s="8">
        <v>0.67821775287809904</v>
      </c>
      <c r="Y536" s="8">
        <v>65.651552515478343</v>
      </c>
      <c r="Z536" s="8">
        <v>80.672778613563011</v>
      </c>
      <c r="AA536" s="7">
        <v>34.034508019709293</v>
      </c>
      <c r="AB536" s="7">
        <v>32.339082322585327</v>
      </c>
      <c r="AC536" s="7">
        <v>0.74507390041490773</v>
      </c>
      <c r="AD536" s="7">
        <v>65.957995946879905</v>
      </c>
      <c r="AE536" s="7">
        <v>84.352325040733618</v>
      </c>
      <c r="AF536" s="8">
        <v>39.646537997549842</v>
      </c>
      <c r="AG536" s="8">
        <v>32.456943306071203</v>
      </c>
      <c r="AH536" s="8">
        <v>0.88229796933327331</v>
      </c>
      <c r="AI536" s="8">
        <v>63.72004157965349</v>
      </c>
      <c r="AJ536" s="8">
        <v>91.448190662314715</v>
      </c>
      <c r="AK536" s="8">
        <v>36.924825957378907</v>
      </c>
      <c r="AL536" s="8">
        <v>32.023552928690528</v>
      </c>
      <c r="AM536" s="8">
        <v>0.79887073303752654</v>
      </c>
      <c r="AN536" s="8">
        <v>66.736644489173941</v>
      </c>
      <c r="AO536" s="8">
        <v>87.397849781157504</v>
      </c>
      <c r="AP536" s="8">
        <v>31.021429092045292</v>
      </c>
      <c r="AQ536" s="8">
        <v>29.476832797503501</v>
      </c>
      <c r="AR536" s="8">
        <v>0.66963668789386432</v>
      </c>
      <c r="AS536" s="8">
        <v>67.978492396228617</v>
      </c>
      <c r="AT536" s="8">
        <v>77.873813756693778</v>
      </c>
      <c r="AU536" s="8">
        <v>35.344950330491017</v>
      </c>
      <c r="AV536" s="8">
        <v>32.893689122207398</v>
      </c>
      <c r="AW536" s="8">
        <v>0.76455407283024601</v>
      </c>
      <c r="AX536" s="8">
        <v>65.014686620117203</v>
      </c>
      <c r="AY536" s="8">
        <v>86.04561338594506</v>
      </c>
      <c r="AZ536" s="8">
        <v>35.985375327807517</v>
      </c>
      <c r="BA536" s="8">
        <v>29.64789493467676</v>
      </c>
      <c r="BB536" s="8">
        <v>0.82136376255565469</v>
      </c>
      <c r="BC536" s="8">
        <v>68.735788451631279</v>
      </c>
      <c r="BD536" s="8">
        <v>81.518133785504418</v>
      </c>
      <c r="BE536" s="8">
        <v>28.881604341765829</v>
      </c>
      <c r="BF536" s="8">
        <v>31.902598510800178</v>
      </c>
      <c r="BG536" s="8">
        <v>0.68164025707603071</v>
      </c>
      <c r="BH536" s="8">
        <v>69.209198465887766</v>
      </c>
      <c r="BI536" s="8">
        <v>81.205258008634388</v>
      </c>
    </row>
    <row r="537" spans="1:61" x14ac:dyDescent="0.15">
      <c r="A537" s="7">
        <v>2020</v>
      </c>
      <c r="B537" s="7">
        <v>118</v>
      </c>
      <c r="C537" s="7">
        <v>57.71949413471291</v>
      </c>
      <c r="D537" s="7">
        <v>27.91377173531783</v>
      </c>
      <c r="E537" s="8">
        <v>43.90807499044152</v>
      </c>
      <c r="F537" s="8">
        <v>26.848299936319709</v>
      </c>
      <c r="G537" s="8">
        <v>0.75780959544651094</v>
      </c>
      <c r="H537" s="8">
        <v>78.964151319411485</v>
      </c>
      <c r="I537" s="8">
        <v>71.582717097212338</v>
      </c>
      <c r="J537" s="8">
        <v>41.686674076315903</v>
      </c>
      <c r="K537" s="8">
        <v>31.041357176763071</v>
      </c>
      <c r="L537" s="8">
        <v>0.90452672183766913</v>
      </c>
      <c r="M537" s="8">
        <v>69.517308965955635</v>
      </c>
      <c r="N537" s="8">
        <v>74.353741547566059</v>
      </c>
      <c r="O537" s="8">
        <v>283.399</v>
      </c>
      <c r="P537" s="8">
        <v>274.81200000000001</v>
      </c>
      <c r="Q537" s="8">
        <v>88.850399999999993</v>
      </c>
      <c r="R537" s="8">
        <v>0.50778199999999996</v>
      </c>
      <c r="S537" s="8">
        <v>9.55738E-2</v>
      </c>
      <c r="T537" s="7">
        <f>C537-D537</f>
        <v>29.80572239939508</v>
      </c>
      <c r="U537" s="8">
        <f>D537/C537</f>
        <v>0.48361081734654865</v>
      </c>
      <c r="V537" s="8">
        <v>43.579479099641496</v>
      </c>
      <c r="W537" s="8">
        <v>30.008651681815486</v>
      </c>
      <c r="X537" s="8">
        <v>0.83493592658104254</v>
      </c>
      <c r="Y537" s="8">
        <v>73.948028900843127</v>
      </c>
      <c r="Z537" s="8">
        <v>71.931575449462528</v>
      </c>
      <c r="AA537" s="7">
        <v>42.633076587978699</v>
      </c>
      <c r="AB537" s="7">
        <v>30.525004429289279</v>
      </c>
      <c r="AC537" s="7">
        <v>0.86973132420935584</v>
      </c>
      <c r="AD537" s="7">
        <v>71.732668933399381</v>
      </c>
      <c r="AE537" s="7">
        <v>73.142658498514294</v>
      </c>
      <c r="AF537" s="8">
        <v>43.561162000599218</v>
      </c>
      <c r="AG537" s="8">
        <v>29.25466902039765</v>
      </c>
      <c r="AH537" s="8">
        <v>0.86787164310421683</v>
      </c>
      <c r="AI537" s="8">
        <v>71.164558200112765</v>
      </c>
      <c r="AJ537" s="8">
        <v>76.777588683086194</v>
      </c>
      <c r="AK537" s="8">
        <v>41.450236407972199</v>
      </c>
      <c r="AL537" s="8">
        <v>31.266720261942641</v>
      </c>
      <c r="AM537" s="8">
        <v>0.90915019325960711</v>
      </c>
      <c r="AN537" s="8">
        <v>69.309533944810056</v>
      </c>
      <c r="AO537" s="8">
        <v>74.048010708908862</v>
      </c>
      <c r="AP537" s="8">
        <v>43.081859856380987</v>
      </c>
      <c r="AQ537" s="8">
        <v>32.796927392779907</v>
      </c>
      <c r="AR537" s="8">
        <v>0.95955468057668802</v>
      </c>
      <c r="AS537" s="8">
        <v>68.177815614500958</v>
      </c>
      <c r="AT537" s="8">
        <v>74.814801723790595</v>
      </c>
      <c r="AU537" s="8">
        <v>39.572195249558902</v>
      </c>
      <c r="AV537" s="8">
        <v>31.867507257207478</v>
      </c>
      <c r="AW537" s="8">
        <v>0.86296699227408602</v>
      </c>
      <c r="AX537" s="8">
        <v>66.973294846523572</v>
      </c>
      <c r="AY537" s="8">
        <v>71.759589091855077</v>
      </c>
      <c r="AZ537" s="8">
        <v>42.425952212150882</v>
      </c>
      <c r="BA537" s="8">
        <v>32.222079845751999</v>
      </c>
      <c r="BB537" s="8">
        <v>0.98621445407814112</v>
      </c>
      <c r="BC537" s="8">
        <v>70.172996590411429</v>
      </c>
      <c r="BD537" s="8">
        <v>77.002935520711404</v>
      </c>
      <c r="BE537" s="8">
        <v>43.742412015558898</v>
      </c>
      <c r="BF537" s="8">
        <v>33.076433702175883</v>
      </c>
      <c r="BG537" s="8">
        <v>0.85603890870219423</v>
      </c>
      <c r="BH537" s="8">
        <v>63.753596011460601</v>
      </c>
      <c r="BI537" s="8">
        <v>83.884558013930445</v>
      </c>
    </row>
    <row r="538" spans="1:61" x14ac:dyDescent="0.15">
      <c r="A538" s="7">
        <v>2018</v>
      </c>
      <c r="B538" s="7">
        <v>123</v>
      </c>
      <c r="C538" s="7">
        <v>17.76254450113484</v>
      </c>
      <c r="D538" s="7">
        <v>13.419669925606193</v>
      </c>
      <c r="E538" s="8">
        <v>39.243405267804093</v>
      </c>
      <c r="F538" s="8">
        <v>21.609925650046112</v>
      </c>
      <c r="G538" s="8">
        <v>0.75818396494312057</v>
      </c>
      <c r="H538" s="8">
        <v>76.99909098438809</v>
      </c>
      <c r="I538" s="8">
        <v>58.223230382904831</v>
      </c>
      <c r="J538" s="8">
        <v>43.721906868135179</v>
      </c>
      <c r="K538" s="8">
        <v>26.112428530171499</v>
      </c>
      <c r="L538" s="8">
        <v>0.87958152035752191</v>
      </c>
      <c r="M538" s="8">
        <v>69.511492517845241</v>
      </c>
      <c r="N538" s="8">
        <v>67.035165289569576</v>
      </c>
      <c r="O538" s="8">
        <v>290.25599999999997</v>
      </c>
      <c r="P538" s="8">
        <v>285.48399999999998</v>
      </c>
      <c r="Q538" s="8">
        <v>99.197600000000008</v>
      </c>
      <c r="R538" s="8">
        <v>-0.647254</v>
      </c>
      <c r="S538" s="8">
        <v>-0.38562400000000002</v>
      </c>
      <c r="T538" s="7">
        <f>C538-D538</f>
        <v>4.3428745755286471</v>
      </c>
      <c r="U538" s="8">
        <f>D538/C538</f>
        <v>0.75550380322756217</v>
      </c>
      <c r="V538" s="8">
        <v>40.607204648499646</v>
      </c>
      <c r="W538" s="8">
        <v>20.55110136414892</v>
      </c>
      <c r="X538" s="8">
        <v>0.69896498122472228</v>
      </c>
      <c r="Y538" s="8">
        <v>76.190116061247508</v>
      </c>
      <c r="Z538" s="8">
        <v>58.580076266025642</v>
      </c>
      <c r="AA538" s="7">
        <v>42.164555758317412</v>
      </c>
      <c r="AB538" s="7">
        <v>23.33176494716021</v>
      </c>
      <c r="AC538" s="7">
        <v>0.78927325079112209</v>
      </c>
      <c r="AD538" s="7">
        <v>72.850804289546375</v>
      </c>
      <c r="AE538" s="7">
        <v>62.807620777797609</v>
      </c>
      <c r="AF538" s="8">
        <v>43.704626897420098</v>
      </c>
      <c r="AG538" s="8">
        <v>26.15726608067046</v>
      </c>
      <c r="AH538" s="8">
        <v>0.89013408119512516</v>
      </c>
      <c r="AI538" s="8">
        <v>69.985541613148058</v>
      </c>
      <c r="AJ538" s="8">
        <v>67.416369560569066</v>
      </c>
      <c r="AK538" s="8">
        <v>43.725183961818018</v>
      </c>
      <c r="AL538" s="8">
        <v>26.103925225627918</v>
      </c>
      <c r="AM538" s="8">
        <v>0.87758025941623008</v>
      </c>
      <c r="AN538" s="8">
        <v>69.421590554399202</v>
      </c>
      <c r="AO538" s="8">
        <v>66.962871063557031</v>
      </c>
      <c r="AP538" s="8">
        <v>44.095871668911307</v>
      </c>
      <c r="AQ538" s="8">
        <v>24.22047069838019</v>
      </c>
      <c r="AR538" s="8">
        <v>0.79726375949560568</v>
      </c>
      <c r="AS538" s="8">
        <v>70.345476842678892</v>
      </c>
      <c r="AT538" s="8">
        <v>65.994718672993415</v>
      </c>
      <c r="AU538" s="8">
        <v>42.028902009497948</v>
      </c>
      <c r="AV538" s="8">
        <v>25.347184240621939</v>
      </c>
      <c r="AW538" s="8">
        <v>0.76310237768223455</v>
      </c>
      <c r="AX538" s="8">
        <v>71.590695691437219</v>
      </c>
      <c r="AY538" s="8">
        <v>67.552955596253796</v>
      </c>
      <c r="AZ538" s="8">
        <v>43.225415169762037</v>
      </c>
      <c r="BA538" s="8">
        <v>27.227273361718311</v>
      </c>
      <c r="BB538" s="8">
        <v>0.90104932211190847</v>
      </c>
      <c r="BC538" s="8">
        <v>68.751411910985695</v>
      </c>
      <c r="BD538" s="8">
        <v>67.377135485405574</v>
      </c>
      <c r="BE538" s="8">
        <v>42.273610722272998</v>
      </c>
      <c r="BF538" s="8">
        <v>29.117864724630088</v>
      </c>
      <c r="BG538" s="8">
        <v>0.69766231485246377</v>
      </c>
      <c r="BH538" s="8">
        <v>71.155316471114176</v>
      </c>
      <c r="BI538" s="8">
        <v>73.804275752663244</v>
      </c>
    </row>
    <row r="539" spans="1:61" x14ac:dyDescent="0.15">
      <c r="A539" s="7">
        <v>2020</v>
      </c>
      <c r="B539" s="7">
        <v>89</v>
      </c>
      <c r="C539" s="7">
        <v>45.28958490552774</v>
      </c>
      <c r="D539" s="7">
        <v>29.879026647356216</v>
      </c>
      <c r="E539" s="8">
        <v>22.396970532118239</v>
      </c>
      <c r="F539" s="8">
        <v>12.386283021502431</v>
      </c>
      <c r="G539" s="8">
        <v>0.75862626185102322</v>
      </c>
      <c r="H539" s="8">
        <v>63.176218594397483</v>
      </c>
      <c r="I539" s="8">
        <v>35.210881928900399</v>
      </c>
      <c r="J539" s="8">
        <v>31.139152902123708</v>
      </c>
      <c r="K539" s="8">
        <v>19.324574502804019</v>
      </c>
      <c r="L539" s="8">
        <v>0.82433374637582213</v>
      </c>
      <c r="M539" s="8">
        <v>58.148722891567637</v>
      </c>
      <c r="N539" s="8">
        <v>45.901955937270223</v>
      </c>
      <c r="O539" s="8">
        <v>292.14299999999997</v>
      </c>
      <c r="P539" s="8">
        <v>287.88</v>
      </c>
      <c r="Q539" s="8">
        <v>98.846999999999994</v>
      </c>
      <c r="R539" s="8">
        <v>0.105022</v>
      </c>
      <c r="S539" s="8">
        <v>-0.44541500000000001</v>
      </c>
      <c r="T539" s="7">
        <f>C539-D539</f>
        <v>15.410558258171523</v>
      </c>
      <c r="U539" s="8">
        <f>D539/C539</f>
        <v>0.65973284386868791</v>
      </c>
      <c r="V539" s="8">
        <v>18.899985814176052</v>
      </c>
      <c r="W539" s="8">
        <v>8.4286518060707003</v>
      </c>
      <c r="X539" s="8">
        <v>0.72003784791002545</v>
      </c>
      <c r="Y539" s="8">
        <v>64.710081157310356</v>
      </c>
      <c r="Z539" s="8">
        <v>29.515003268701243</v>
      </c>
      <c r="AA539" s="7">
        <v>25.01956935814988</v>
      </c>
      <c r="AB539" s="7">
        <v>13.87661315443736</v>
      </c>
      <c r="AC539" s="7">
        <v>0.77218579714292379</v>
      </c>
      <c r="AD539" s="7">
        <v>61.429402024438993</v>
      </c>
      <c r="AE539" s="7">
        <v>37.708479602985733</v>
      </c>
      <c r="AF539" s="8">
        <v>31.692048204849151</v>
      </c>
      <c r="AG539" s="8">
        <v>19.822425385744172</v>
      </c>
      <c r="AH539" s="8">
        <v>0.86522629039419396</v>
      </c>
      <c r="AI539" s="8">
        <v>59.050226737366678</v>
      </c>
      <c r="AJ539" s="8">
        <v>48.660866492382368</v>
      </c>
      <c r="AK539" s="8">
        <v>31.04976091983929</v>
      </c>
      <c r="AL539" s="8">
        <v>19.244082089342211</v>
      </c>
      <c r="AM539" s="8">
        <v>0.81772224949307437</v>
      </c>
      <c r="AN539" s="8">
        <v>58.002967962170061</v>
      </c>
      <c r="AO539" s="8">
        <v>45.455895928709523</v>
      </c>
      <c r="AP539" s="8">
        <v>29.67502839317331</v>
      </c>
      <c r="AQ539" s="8">
        <v>16.197492266188991</v>
      </c>
      <c r="AR539" s="8">
        <v>0.791128064751489</v>
      </c>
      <c r="AS539" s="8">
        <v>58.140434024409039</v>
      </c>
      <c r="AT539" s="8">
        <v>41.61211801699195</v>
      </c>
      <c r="AU539" s="8">
        <v>16.27484246953037</v>
      </c>
      <c r="AV539" s="8">
        <v>8.7951626040281532</v>
      </c>
      <c r="AW539" s="8">
        <v>0.60840011005649408</v>
      </c>
      <c r="AX539" s="8">
        <v>66.055826737019927</v>
      </c>
      <c r="AY539" s="8">
        <v>27.313477327443639</v>
      </c>
      <c r="AZ539" s="8">
        <v>32.658821171215493</v>
      </c>
      <c r="BA539" s="8">
        <v>21.50515080248741</v>
      </c>
      <c r="BB539" s="8">
        <v>0.84882899993596328</v>
      </c>
      <c r="BC539" s="8">
        <v>57.260505480088703</v>
      </c>
      <c r="BD539" s="8">
        <v>48.204993323355687</v>
      </c>
      <c r="BE539" s="8">
        <v>36.09116332792189</v>
      </c>
      <c r="BF539" s="8">
        <v>24.099466576964161</v>
      </c>
      <c r="BG539" s="8">
        <v>0.67046139664255955</v>
      </c>
      <c r="BH539" s="8">
        <v>57.430120702923062</v>
      </c>
      <c r="BI539" s="8">
        <v>59.316761362501843</v>
      </c>
    </row>
    <row r="540" spans="1:61" x14ac:dyDescent="0.15">
      <c r="A540" s="7">
        <v>2018</v>
      </c>
      <c r="B540" s="7">
        <v>121</v>
      </c>
      <c r="C540" s="7">
        <v>1.5658134824057408</v>
      </c>
      <c r="D540" s="7">
        <v>1.0812974840598113</v>
      </c>
      <c r="E540" s="8">
        <v>38.106121820921892</v>
      </c>
      <c r="F540" s="8">
        <v>22.042814359435798</v>
      </c>
      <c r="G540" s="8">
        <v>0.75884980634361221</v>
      </c>
      <c r="H540" s="8">
        <v>79.466283233448635</v>
      </c>
      <c r="I540" s="8">
        <v>56.268644880396693</v>
      </c>
      <c r="J540" s="8">
        <v>44.283971746994638</v>
      </c>
      <c r="K540" s="8">
        <v>30.337832822518749</v>
      </c>
      <c r="L540" s="8">
        <v>0.85061424632002436</v>
      </c>
      <c r="M540" s="8">
        <v>68.80524743481547</v>
      </c>
      <c r="N540" s="8">
        <v>68.983518261873158</v>
      </c>
      <c r="O540" s="8">
        <v>289.911</v>
      </c>
      <c r="P540" s="8">
        <v>285.40899999999999</v>
      </c>
      <c r="Q540" s="8">
        <v>98.669200000000004</v>
      </c>
      <c r="R540" s="8">
        <v>-0.62158999999999998</v>
      </c>
      <c r="S540" s="8">
        <v>-0.614923</v>
      </c>
      <c r="T540" s="7">
        <f>C540-D540</f>
        <v>0.48451599834592951</v>
      </c>
      <c r="U540" s="8">
        <f>D540/C540</f>
        <v>0.69056595578579938</v>
      </c>
      <c r="V540" s="8">
        <v>39.891100129253758</v>
      </c>
      <c r="W540" s="8">
        <v>22.060376952809833</v>
      </c>
      <c r="X540" s="8">
        <v>0.74604684404666211</v>
      </c>
      <c r="Y540" s="8">
        <v>76.384399583216037</v>
      </c>
      <c r="Z540" s="8">
        <v>57.707879723938717</v>
      </c>
      <c r="AA540" s="7">
        <v>42.087535938124198</v>
      </c>
      <c r="AB540" s="7">
        <v>26.199104887664291</v>
      </c>
      <c r="AC540" s="7">
        <v>0.79833054518334323</v>
      </c>
      <c r="AD540" s="7">
        <v>72.594823509015754</v>
      </c>
      <c r="AE540" s="7">
        <v>63.345698992905938</v>
      </c>
      <c r="AF540" s="8">
        <v>43.420156504981883</v>
      </c>
      <c r="AG540" s="8">
        <v>28.299176252853091</v>
      </c>
      <c r="AH540" s="8">
        <v>0.82516421305359733</v>
      </c>
      <c r="AI540" s="8">
        <v>71.524602466951691</v>
      </c>
      <c r="AJ540" s="8">
        <v>68.183168769175268</v>
      </c>
      <c r="AK540" s="8">
        <v>44.407314644610153</v>
      </c>
      <c r="AL540" s="8">
        <v>30.628929571355378</v>
      </c>
      <c r="AM540" s="8">
        <v>0.85424821883500057</v>
      </c>
      <c r="AN540" s="8">
        <v>68.416954761804277</v>
      </c>
      <c r="AO540" s="8">
        <v>69.097798979245582</v>
      </c>
      <c r="AP540" s="8">
        <v>43.947744768184222</v>
      </c>
      <c r="AQ540" s="8">
        <v>28.399520787295739</v>
      </c>
      <c r="AR540" s="8">
        <v>0.78678339227513727</v>
      </c>
      <c r="AS540" s="8">
        <v>69.286103201530736</v>
      </c>
      <c r="AT540" s="8">
        <v>68.596603585457743</v>
      </c>
      <c r="AU540" s="8">
        <v>39.523512494010077</v>
      </c>
      <c r="AV540" s="8">
        <v>23.981377176780491</v>
      </c>
      <c r="AW540" s="8">
        <v>0.75686774647738397</v>
      </c>
      <c r="AX540" s="8">
        <v>70.232836189921187</v>
      </c>
      <c r="AY540" s="8">
        <v>61.291753439888417</v>
      </c>
      <c r="AZ540" s="8">
        <v>44.293754560479499</v>
      </c>
      <c r="BA540" s="8">
        <v>31.28114887371364</v>
      </c>
      <c r="BB540" s="8">
        <v>0.87305453014916545</v>
      </c>
      <c r="BC540" s="8">
        <v>67.400468444993734</v>
      </c>
      <c r="BD540" s="8">
        <v>68.986727652141738</v>
      </c>
      <c r="BE540" s="8">
        <v>42.136362978881323</v>
      </c>
      <c r="BF540" s="8">
        <v>30.593737819430011</v>
      </c>
      <c r="BG540" s="8">
        <v>0.8022453455284202</v>
      </c>
      <c r="BH540" s="8">
        <v>70.457877497422942</v>
      </c>
      <c r="BI540" s="8">
        <v>68.465117449617082</v>
      </c>
    </row>
    <row r="541" spans="1:61" x14ac:dyDescent="0.15">
      <c r="A541" s="7">
        <v>2022</v>
      </c>
      <c r="B541" s="7">
        <v>119</v>
      </c>
      <c r="C541" s="7">
        <v>131.45406003819195</v>
      </c>
      <c r="D541" s="7">
        <v>76.91085964277309</v>
      </c>
      <c r="E541" s="8">
        <v>39.139882441753919</v>
      </c>
      <c r="F541" s="8">
        <v>24.602047878676562</v>
      </c>
      <c r="G541" s="8">
        <v>0.75889329116700677</v>
      </c>
      <c r="H541" s="8">
        <v>61.532067938021818</v>
      </c>
      <c r="I541" s="8">
        <v>45.244748081997727</v>
      </c>
      <c r="J541" s="8">
        <v>41.237174795092287</v>
      </c>
      <c r="K541" s="8">
        <v>27.535296206262299</v>
      </c>
      <c r="L541" s="8">
        <v>0.72945047869307178</v>
      </c>
      <c r="M541" s="8">
        <v>69.538667468744009</v>
      </c>
      <c r="N541" s="8">
        <v>76.272239755571078</v>
      </c>
      <c r="O541" s="8">
        <v>288.45999999999998</v>
      </c>
      <c r="P541" s="8">
        <v>279.77800000000002</v>
      </c>
      <c r="Q541" s="8">
        <v>101.21599999999999</v>
      </c>
      <c r="R541" s="8">
        <v>-0.26315699999999997</v>
      </c>
      <c r="S541" s="8">
        <v>0.57282999999999995</v>
      </c>
      <c r="T541" s="7">
        <f>C541-D541</f>
        <v>54.543200395418864</v>
      </c>
      <c r="U541" s="8">
        <f>D541/C541</f>
        <v>0.585077856252046</v>
      </c>
      <c r="V541" s="8">
        <v>40.989654317810817</v>
      </c>
      <c r="W541" s="8">
        <v>29.182503571935118</v>
      </c>
      <c r="X541" s="8">
        <v>0.74012327148899959</v>
      </c>
      <c r="Y541" s="8">
        <v>60.030727767699048</v>
      </c>
      <c r="Z541" s="8">
        <v>72.942304960141669</v>
      </c>
      <c r="AA541" s="7">
        <v>41.113414556451552</v>
      </c>
      <c r="AB541" s="7">
        <v>28.358899889098709</v>
      </c>
      <c r="AC541" s="7">
        <v>0.73478687509103568</v>
      </c>
      <c r="AD541" s="7">
        <v>64.784697618221529</v>
      </c>
      <c r="AE541" s="7">
        <v>74.607272357856374</v>
      </c>
      <c r="AF541" s="8">
        <v>41.215084976398977</v>
      </c>
      <c r="AG541" s="8">
        <v>25.705245202697299</v>
      </c>
      <c r="AH541" s="8">
        <v>0.74228505381102261</v>
      </c>
      <c r="AI541" s="8">
        <v>70.042367157089203</v>
      </c>
      <c r="AJ541" s="8">
        <v>68.010035293963455</v>
      </c>
      <c r="AK541" s="8">
        <v>41.239585117166641</v>
      </c>
      <c r="AL541" s="8">
        <v>27.734981517958669</v>
      </c>
      <c r="AM541" s="8">
        <v>0.72805003896329057</v>
      </c>
      <c r="AN541" s="8">
        <v>69.483706470896067</v>
      </c>
      <c r="AO541" s="8">
        <v>77.173767019019621</v>
      </c>
      <c r="AP541" s="8">
        <v>41.259651677765561</v>
      </c>
      <c r="AQ541" s="8">
        <v>28.254669441467211</v>
      </c>
      <c r="AR541" s="8">
        <v>0.74588378586967774</v>
      </c>
      <c r="AS541" s="8">
        <v>63.1630652454946</v>
      </c>
      <c r="AT541" s="8">
        <v>73.219045706929293</v>
      </c>
      <c r="AU541" s="8">
        <v>43.554192118589</v>
      </c>
      <c r="AV541" s="8">
        <v>32.017734155689134</v>
      </c>
      <c r="AW541" s="8">
        <v>0.89919825007879095</v>
      </c>
      <c r="AX541" s="8">
        <v>70.087354827341159</v>
      </c>
      <c r="AY541" s="8">
        <v>104.9206634865733</v>
      </c>
      <c r="AZ541" s="8">
        <v>40.577378291173908</v>
      </c>
      <c r="BA541" s="8">
        <v>28.5782681318492</v>
      </c>
      <c r="BB541" s="8">
        <v>0.69721609406483576</v>
      </c>
      <c r="BC541" s="8">
        <v>70.017314114186789</v>
      </c>
      <c r="BD541" s="8">
        <v>79.328852089592246</v>
      </c>
      <c r="BE541" s="8">
        <v>39.484541798738107</v>
      </c>
      <c r="BF541" s="8">
        <v>36.555603632951509</v>
      </c>
      <c r="BG541" s="8">
        <v>0.62109394469298007</v>
      </c>
      <c r="BH541" s="8">
        <v>70.604331973866366</v>
      </c>
      <c r="BI541" s="8">
        <v>95.790557724941365</v>
      </c>
    </row>
    <row r="542" spans="1:61" x14ac:dyDescent="0.15">
      <c r="A542" s="7">
        <v>2017</v>
      </c>
      <c r="B542" s="7">
        <v>29</v>
      </c>
      <c r="C542" s="7">
        <v>57.356995452326771</v>
      </c>
      <c r="D542" s="7">
        <v>25.031676633590912</v>
      </c>
      <c r="E542" s="8">
        <v>41.802060978117929</v>
      </c>
      <c r="F542" s="8">
        <v>29.333927438625679</v>
      </c>
      <c r="G542" s="8">
        <v>0.75929871460394083</v>
      </c>
      <c r="H542" s="8">
        <v>67.132385288280886</v>
      </c>
      <c r="I542" s="8">
        <v>62.787874569392507</v>
      </c>
      <c r="J542" s="8">
        <v>39.947903265463083</v>
      </c>
      <c r="K542" s="8">
        <v>28.51883401650835</v>
      </c>
      <c r="L542" s="8">
        <v>0.6999630119285335</v>
      </c>
      <c r="M542" s="8">
        <v>75.00765977405014</v>
      </c>
      <c r="N542" s="8">
        <v>67.354937124300548</v>
      </c>
      <c r="O542" s="8">
        <v>284.55</v>
      </c>
      <c r="P542" s="8">
        <v>278.12299999999999</v>
      </c>
      <c r="Q542" s="8">
        <v>101.01</v>
      </c>
      <c r="R542" s="8">
        <v>0.77825</v>
      </c>
      <c r="S542" s="8">
        <v>-0.30005599999999999</v>
      </c>
      <c r="T542" s="7">
        <f>C542-D542</f>
        <v>32.325318818735859</v>
      </c>
      <c r="U542" s="8">
        <f>D542/C542</f>
        <v>0.43641889600713851</v>
      </c>
      <c r="V542" s="8">
        <v>41.933757147756737</v>
      </c>
      <c r="W542" s="8">
        <v>30.083528294213828</v>
      </c>
      <c r="X542" s="8">
        <v>0.67642734191381237</v>
      </c>
      <c r="Y542" s="8">
        <v>65.88377072404775</v>
      </c>
      <c r="Z542" s="8">
        <v>66.935430654054059</v>
      </c>
      <c r="AA542" s="7">
        <v>40.94083020660991</v>
      </c>
      <c r="AB542" s="7">
        <v>29.301181155361089</v>
      </c>
      <c r="AC542" s="7">
        <v>0.68819517692117294</v>
      </c>
      <c r="AD542" s="7">
        <v>70.445715249048945</v>
      </c>
      <c r="AE542" s="7">
        <v>67.145183889177304</v>
      </c>
      <c r="AF542" s="8">
        <v>41.462338997405233</v>
      </c>
      <c r="AG542" s="8">
        <v>27.92100426478779</v>
      </c>
      <c r="AH542" s="8">
        <v>0.71707239630495834</v>
      </c>
      <c r="AI542" s="8">
        <v>76.389814215116417</v>
      </c>
      <c r="AJ542" s="8">
        <v>65.70798452423351</v>
      </c>
      <c r="AK542" s="8">
        <v>39.823341488264013</v>
      </c>
      <c r="AL542" s="8">
        <v>28.568005291832989</v>
      </c>
      <c r="AM542" s="8">
        <v>0.69855577140999636</v>
      </c>
      <c r="AN542" s="8">
        <v>74.893978083958189</v>
      </c>
      <c r="AO542" s="8">
        <v>67.490398364748117</v>
      </c>
      <c r="AP542" s="8">
        <v>42.255289373631634</v>
      </c>
      <c r="AQ542" s="8">
        <v>29.2686190525827</v>
      </c>
      <c r="AR542" s="8">
        <v>0.62317269132078323</v>
      </c>
      <c r="AS542" s="8">
        <v>69.57638087911478</v>
      </c>
      <c r="AT542" s="8">
        <v>70.20863355098669</v>
      </c>
      <c r="AU542" s="8">
        <v>43.839540062204819</v>
      </c>
      <c r="AV542" s="8">
        <v>30.076540727681419</v>
      </c>
      <c r="AW542" s="8">
        <v>0.63274856900906695</v>
      </c>
      <c r="AX542" s="8">
        <v>65.980581800720245</v>
      </c>
      <c r="AY542" s="8">
        <v>71.006017724307114</v>
      </c>
      <c r="AZ542" s="8">
        <v>39.827690402835891</v>
      </c>
      <c r="BA542" s="8">
        <v>29.045797843721981</v>
      </c>
      <c r="BB542" s="8">
        <v>0.71289468233235576</v>
      </c>
      <c r="BC542" s="8">
        <v>75.860422663946537</v>
      </c>
      <c r="BD542" s="8">
        <v>68.373487353628946</v>
      </c>
      <c r="BE542" s="8">
        <v>43.400129281099012</v>
      </c>
      <c r="BF542" s="8">
        <v>32.24015322564432</v>
      </c>
      <c r="BG542" s="8">
        <v>0.76724865055119884</v>
      </c>
      <c r="BH542" s="8">
        <v>71.391038644355945</v>
      </c>
      <c r="BI542" s="8">
        <v>77.326457826065422</v>
      </c>
    </row>
    <row r="543" spans="1:61" x14ac:dyDescent="0.15">
      <c r="A543" s="7">
        <v>2019</v>
      </c>
      <c r="B543" s="7">
        <v>78</v>
      </c>
      <c r="C543" s="7">
        <v>85.357011151838805</v>
      </c>
      <c r="D543" s="7">
        <v>64.426844696142453</v>
      </c>
      <c r="E543" s="8">
        <v>30.743546789864979</v>
      </c>
      <c r="F543" s="8">
        <v>29.403267489584309</v>
      </c>
      <c r="G543" s="8">
        <v>0.75937688027092121</v>
      </c>
      <c r="H543" s="8">
        <v>65.134680843938028</v>
      </c>
      <c r="I543" s="8">
        <v>45.407140787045257</v>
      </c>
      <c r="J543" s="8">
        <v>37.970747792887117</v>
      </c>
      <c r="K543" s="8">
        <v>33.232191089702908</v>
      </c>
      <c r="L543" s="8">
        <v>0.84025134489086839</v>
      </c>
      <c r="M543" s="8">
        <v>67.609779879058053</v>
      </c>
      <c r="N543" s="8">
        <v>57.78999597240977</v>
      </c>
      <c r="O543" s="8">
        <v>290.25299999999999</v>
      </c>
      <c r="P543" s="8">
        <v>285.90199999999999</v>
      </c>
      <c r="Q543" s="8">
        <v>100.462</v>
      </c>
      <c r="R543" s="8">
        <v>-0.83188700000000004</v>
      </c>
      <c r="S543" s="8">
        <v>-0.30934200000000001</v>
      </c>
      <c r="T543" s="7">
        <f>C543-D543</f>
        <v>20.930166455696352</v>
      </c>
      <c r="U543" s="8">
        <f>D543/C543</f>
        <v>0.75479265061818579</v>
      </c>
      <c r="V543" s="8">
        <v>32.811507492956629</v>
      </c>
      <c r="W543" s="8">
        <v>29.817974018205653</v>
      </c>
      <c r="X543" s="8">
        <v>0.76084258767641844</v>
      </c>
      <c r="Y543" s="8">
        <v>66.714059294582128</v>
      </c>
      <c r="Z543" s="8">
        <v>47.440562798877465</v>
      </c>
      <c r="AA543" s="7">
        <v>35.391127642921873</v>
      </c>
      <c r="AB543" s="7">
        <v>31.525082553954281</v>
      </c>
      <c r="AC543" s="7">
        <v>0.80054696628364341</v>
      </c>
      <c r="AD543" s="7">
        <v>67.16191958682009</v>
      </c>
      <c r="AE543" s="7">
        <v>52.615279385643618</v>
      </c>
      <c r="AF543" s="8">
        <v>38.570440680860131</v>
      </c>
      <c r="AG543" s="8">
        <v>34.446267168769261</v>
      </c>
      <c r="AH543" s="8">
        <v>0.83689097142053337</v>
      </c>
      <c r="AI543" s="8">
        <v>66.769665106376735</v>
      </c>
      <c r="AJ543" s="8">
        <v>58.109681468379662</v>
      </c>
      <c r="AK543" s="8">
        <v>37.904236840192283</v>
      </c>
      <c r="AL543" s="8">
        <v>33.097539906935559</v>
      </c>
      <c r="AM543" s="8">
        <v>0.84062403839016597</v>
      </c>
      <c r="AN543" s="8">
        <v>67.702955627886624</v>
      </c>
      <c r="AO543" s="8">
        <v>57.754540179409553</v>
      </c>
      <c r="AP543" s="8">
        <v>37.781837761877668</v>
      </c>
      <c r="AQ543" s="8">
        <v>31.954732811560699</v>
      </c>
      <c r="AR543" s="8">
        <v>0.81653623504492501</v>
      </c>
      <c r="AS543" s="8">
        <v>68.391645139670885</v>
      </c>
      <c r="AT543" s="8">
        <v>55.783513793476153</v>
      </c>
      <c r="AU543" s="8">
        <v>34.513516735306212</v>
      </c>
      <c r="AV543" s="8">
        <v>29.089648845709551</v>
      </c>
      <c r="AW543" s="8">
        <v>0.7689694189647257</v>
      </c>
      <c r="AX543" s="8">
        <v>70.579053015774079</v>
      </c>
      <c r="AY543" s="8">
        <v>54.920974924078102</v>
      </c>
      <c r="AZ543" s="8">
        <v>39.525069016292179</v>
      </c>
      <c r="BA543" s="8">
        <v>34.011761271827332</v>
      </c>
      <c r="BB543" s="8">
        <v>0.86435163637339107</v>
      </c>
      <c r="BC543" s="8">
        <v>67.45611287599327</v>
      </c>
      <c r="BD543" s="8">
        <v>61.645952114946233</v>
      </c>
      <c r="BE543" s="8">
        <v>44.645458271660019</v>
      </c>
      <c r="BF543" s="8">
        <v>35.022806827905853</v>
      </c>
      <c r="BG543" s="8">
        <v>0.73726658548599477</v>
      </c>
      <c r="BH543" s="8">
        <v>68.607003776707046</v>
      </c>
      <c r="BI543" s="8">
        <v>65.208842201768633</v>
      </c>
    </row>
    <row r="544" spans="1:61" x14ac:dyDescent="0.15">
      <c r="A544" s="7">
        <v>2020</v>
      </c>
      <c r="B544" s="7">
        <v>38</v>
      </c>
      <c r="C544" s="7">
        <v>292.09355096022591</v>
      </c>
      <c r="D544" s="7">
        <v>202.76327934730946</v>
      </c>
      <c r="E544" s="8">
        <v>38.106558594425088</v>
      </c>
      <c r="F544" s="8">
        <v>29.091481919626361</v>
      </c>
      <c r="G544" s="8">
        <v>0.75940930063455281</v>
      </c>
      <c r="H544" s="8">
        <v>75.091715979390173</v>
      </c>
      <c r="I544" s="8">
        <v>67.299842772584313</v>
      </c>
      <c r="J544" s="8">
        <v>45.390043405718792</v>
      </c>
      <c r="K544" s="8">
        <v>35.585815304734993</v>
      </c>
      <c r="L544" s="8">
        <v>0.81179752798739468</v>
      </c>
      <c r="M544" s="8">
        <v>66.015773058526207</v>
      </c>
      <c r="N544" s="8">
        <v>76.65544276221803</v>
      </c>
      <c r="O544" s="8">
        <v>285.57400000000001</v>
      </c>
      <c r="P544" s="8">
        <v>277.06299999999999</v>
      </c>
      <c r="Q544" s="8">
        <v>96.961600000000004</v>
      </c>
      <c r="R544" s="8">
        <v>0.28345500000000001</v>
      </c>
      <c r="S544" s="8">
        <v>-4.7466399999999999E-2</v>
      </c>
      <c r="T544" s="7">
        <f>C544-D544</f>
        <v>89.330271612916448</v>
      </c>
      <c r="U544" s="8">
        <f>D544/C544</f>
        <v>0.6941723933333932</v>
      </c>
      <c r="V544" s="8">
        <v>41.905063432328994</v>
      </c>
      <c r="W544" s="8">
        <v>35.815178717772682</v>
      </c>
      <c r="X544" s="8">
        <v>0.79892664464749596</v>
      </c>
      <c r="Y544" s="8">
        <v>67.705301635338969</v>
      </c>
      <c r="Z544" s="8">
        <v>70.617408264506821</v>
      </c>
      <c r="AA544" s="7">
        <v>43.647553419023893</v>
      </c>
      <c r="AB544" s="7">
        <v>35.700497011253837</v>
      </c>
      <c r="AC544" s="7">
        <v>0.80536208631744532</v>
      </c>
      <c r="AD544" s="7">
        <v>66.860537346932588</v>
      </c>
      <c r="AE544" s="7">
        <v>73.636425513362425</v>
      </c>
      <c r="AF544" s="8">
        <v>46.332116939086241</v>
      </c>
      <c r="AG544" s="8">
        <v>34.742706548738333</v>
      </c>
      <c r="AH544" s="8">
        <v>0.82488510761451095</v>
      </c>
      <c r="AI544" s="8">
        <v>66.008042580083682</v>
      </c>
      <c r="AJ544" s="8">
        <v>78.741145896814984</v>
      </c>
      <c r="AK544" s="8">
        <v>45.266929133770958</v>
      </c>
      <c r="AL544" s="8">
        <v>35.695996428597297</v>
      </c>
      <c r="AM544" s="8">
        <v>0.81008718608702091</v>
      </c>
      <c r="AN544" s="8">
        <v>66.016783311114281</v>
      </c>
      <c r="AO544" s="8">
        <v>76.382873993623804</v>
      </c>
      <c r="AP544" s="8">
        <v>46.323953693054712</v>
      </c>
      <c r="AQ544" s="8">
        <v>37.959256664107343</v>
      </c>
      <c r="AR544" s="8">
        <v>0.81723297369288672</v>
      </c>
      <c r="AS544" s="8">
        <v>64.85513371765046</v>
      </c>
      <c r="AT544" s="8">
        <v>76.326861806577909</v>
      </c>
      <c r="AU544" s="8">
        <v>36.831768939342282</v>
      </c>
      <c r="AV544" s="8">
        <v>35.783401619343827</v>
      </c>
      <c r="AW544" s="8">
        <v>0.81527335551645186</v>
      </c>
      <c r="AX544" s="8">
        <v>63.617494614547972</v>
      </c>
      <c r="AY544" s="8">
        <v>66.508743487838828</v>
      </c>
      <c r="AZ544" s="8">
        <v>44.547530374667353</v>
      </c>
      <c r="BA544" s="8">
        <v>35.662631887855781</v>
      </c>
      <c r="BB544" s="8">
        <v>0.81102374280793899</v>
      </c>
      <c r="BC544" s="8">
        <v>66.281749523814099</v>
      </c>
      <c r="BD544" s="8">
        <v>75.46643596196084</v>
      </c>
      <c r="BE544" s="8">
        <v>48.600523089516997</v>
      </c>
      <c r="BF544" s="8">
        <v>36.13984799903622</v>
      </c>
      <c r="BG544" s="8">
        <v>0.88989692767494344</v>
      </c>
      <c r="BH544" s="8">
        <v>64.468886571587333</v>
      </c>
      <c r="BI544" s="8">
        <v>91.872210281138905</v>
      </c>
    </row>
    <row r="545" spans="1:61" x14ac:dyDescent="0.15">
      <c r="A545" s="7">
        <v>2023</v>
      </c>
      <c r="B545" s="7">
        <v>72</v>
      </c>
      <c r="C545" s="9">
        <v>44.179567312936328</v>
      </c>
      <c r="D545" s="7">
        <v>26.543996567342592</v>
      </c>
      <c r="E545" s="8">
        <v>26.795941451096979</v>
      </c>
      <c r="F545" s="8">
        <v>14.44839721400111</v>
      </c>
      <c r="G545" s="8">
        <v>0.75966345340736185</v>
      </c>
      <c r="H545" s="8">
        <v>53.68566689669764</v>
      </c>
      <c r="I545" s="8">
        <v>39.535600348234681</v>
      </c>
      <c r="J545" s="8">
        <v>27.394502449443319</v>
      </c>
      <c r="K545" s="8">
        <v>14.750358913818429</v>
      </c>
      <c r="L545" s="8">
        <v>0.6350367353984171</v>
      </c>
      <c r="M545" s="8">
        <v>52.653915193237161</v>
      </c>
      <c r="N545" s="8">
        <v>37.94320338566051</v>
      </c>
      <c r="O545" s="7">
        <v>292.709</v>
      </c>
      <c r="P545" s="7">
        <v>287.39100000000002</v>
      </c>
      <c r="Q545" s="7">
        <v>99.136600000000001</v>
      </c>
      <c r="R545" s="7">
        <v>-0.134912</v>
      </c>
      <c r="S545" s="7">
        <v>-0.68291299999999999</v>
      </c>
      <c r="T545" s="7">
        <f>C545-D545</f>
        <v>17.635570745593736</v>
      </c>
      <c r="U545" s="8">
        <f>D545/C545</f>
        <v>0.6008206549268349</v>
      </c>
      <c r="V545" s="8">
        <v>26.086776515909701</v>
      </c>
      <c r="W545" s="8">
        <v>13.308258813781253</v>
      </c>
      <c r="X545" s="8">
        <v>0.75613496162476135</v>
      </c>
      <c r="Y545" s="8">
        <v>54.552131116068999</v>
      </c>
      <c r="Z545" s="8">
        <v>37.861035105883616</v>
      </c>
      <c r="AA545" s="7">
        <v>26.74063948267651</v>
      </c>
      <c r="AB545" s="7">
        <v>14.029308863799841</v>
      </c>
      <c r="AC545" s="7">
        <v>0.69558584851158922</v>
      </c>
      <c r="AD545" s="7">
        <v>53.60302315465308</v>
      </c>
      <c r="AE545" s="7">
        <v>37.902119245772063</v>
      </c>
      <c r="AF545" s="8">
        <v>27.981326771559829</v>
      </c>
      <c r="AG545" s="8">
        <v>15.928570034953591</v>
      </c>
      <c r="AH545" s="8">
        <v>0.65670582616672257</v>
      </c>
      <c r="AI545" s="8">
        <v>52.197146490858167</v>
      </c>
      <c r="AJ545" s="8">
        <v>39.650005062834843</v>
      </c>
      <c r="AK545" s="8">
        <v>27.314814997103571</v>
      </c>
      <c r="AL545" s="8">
        <v>14.5903644503596</v>
      </c>
      <c r="AM545" s="8">
        <v>0.63209419438100156</v>
      </c>
      <c r="AN545" s="8">
        <v>52.715941821700397</v>
      </c>
      <c r="AO545" s="8">
        <v>37.71142928875075</v>
      </c>
      <c r="AP545" s="8">
        <v>26.78296872286338</v>
      </c>
      <c r="AQ545" s="8">
        <v>13.573930042195659</v>
      </c>
      <c r="AR545" s="8">
        <v>0.65161541217207464</v>
      </c>
      <c r="AS545" s="8">
        <v>53.558018002963777</v>
      </c>
      <c r="AT545" s="8">
        <v>36.678878426493633</v>
      </c>
      <c r="AU545" s="8">
        <v>24.389965212891902</v>
      </c>
      <c r="AV545" s="8">
        <v>14.870876885765851</v>
      </c>
      <c r="AW545" s="8">
        <v>0.61856726814056218</v>
      </c>
      <c r="AX545" s="8">
        <v>56.276976697817439</v>
      </c>
      <c r="AY545" s="8">
        <v>36.546124955904332</v>
      </c>
      <c r="AZ545" s="8">
        <v>27.017659399804629</v>
      </c>
      <c r="BA545" s="8">
        <v>15.693370052060351</v>
      </c>
      <c r="BB545" s="8">
        <v>0.62511046953810845</v>
      </c>
      <c r="BC545" s="8">
        <v>51.994238145015757</v>
      </c>
      <c r="BD545" s="8">
        <v>38.183022049281803</v>
      </c>
      <c r="BE545" s="8">
        <v>25.390937797314599</v>
      </c>
      <c r="BF545" s="8">
        <v>25.22709298963111</v>
      </c>
      <c r="BG545" s="8">
        <v>0.52116645133206296</v>
      </c>
      <c r="BH545" s="8">
        <v>55.901893966066048</v>
      </c>
      <c r="BI545" s="8">
        <v>43.525369283181092</v>
      </c>
    </row>
    <row r="546" spans="1:61" x14ac:dyDescent="0.15">
      <c r="A546" s="7">
        <v>2017</v>
      </c>
      <c r="B546" s="7">
        <v>85</v>
      </c>
      <c r="C546" s="7">
        <v>31.774806270222886</v>
      </c>
      <c r="D546" s="7">
        <v>17.416625222456613</v>
      </c>
      <c r="E546" s="8">
        <v>31.777774950371089</v>
      </c>
      <c r="F546" s="8">
        <v>35.602741585037627</v>
      </c>
      <c r="G546" s="8">
        <v>0.76003950323174485</v>
      </c>
      <c r="H546" s="8">
        <v>56.251333144126477</v>
      </c>
      <c r="I546" s="8">
        <v>48.297413287992669</v>
      </c>
      <c r="J546" s="8">
        <v>32.769533762041007</v>
      </c>
      <c r="K546" s="8">
        <v>37.391835999621293</v>
      </c>
      <c r="L546" s="8">
        <v>0.80832217555178387</v>
      </c>
      <c r="M546" s="8">
        <v>57.081373479169159</v>
      </c>
      <c r="N546" s="8">
        <v>48.468059138926513</v>
      </c>
      <c r="O546" s="8">
        <v>296.79399999999998</v>
      </c>
      <c r="P546" s="8">
        <v>292.495</v>
      </c>
      <c r="Q546" s="8">
        <v>101.142</v>
      </c>
      <c r="R546" s="8">
        <v>-0.82614399999999999</v>
      </c>
      <c r="S546" s="8">
        <v>-0.33175700000000002</v>
      </c>
      <c r="T546" s="7">
        <f>C546-D546</f>
        <v>14.358181047766273</v>
      </c>
      <c r="U546" s="8">
        <f>D546/C546</f>
        <v>0.54812687367281443</v>
      </c>
      <c r="V546" s="8">
        <v>34.455297588489586</v>
      </c>
      <c r="W546" s="8">
        <v>32.461943665364714</v>
      </c>
      <c r="X546" s="8">
        <v>0.87967006011397919</v>
      </c>
      <c r="Y546" s="8">
        <v>59.122236987517041</v>
      </c>
      <c r="Z546" s="8">
        <v>46.998933191525673</v>
      </c>
      <c r="AA546" s="7">
        <v>33.612415675265296</v>
      </c>
      <c r="AB546" s="7">
        <v>34.926889832493003</v>
      </c>
      <c r="AC546" s="7">
        <v>0.84399611783288153</v>
      </c>
      <c r="AD546" s="7">
        <v>58.1018052333431</v>
      </c>
      <c r="AE546" s="7">
        <v>47.733496165226093</v>
      </c>
      <c r="AF546" s="8">
        <v>32.528080980710143</v>
      </c>
      <c r="AG546" s="8">
        <v>36.885995334673353</v>
      </c>
      <c r="AH546" s="8">
        <v>0.80828296741613026</v>
      </c>
      <c r="AI546" s="8">
        <v>57.569979063334017</v>
      </c>
      <c r="AJ546" s="8">
        <v>48.639612607519346</v>
      </c>
      <c r="AK546" s="8">
        <v>32.79689700665179</v>
      </c>
      <c r="AL546" s="8">
        <v>37.449161667077909</v>
      </c>
      <c r="AM546" s="8">
        <v>0.80832661891251356</v>
      </c>
      <c r="AN546" s="8">
        <v>57.026001020653659</v>
      </c>
      <c r="AO546" s="8">
        <v>48.448617409992771</v>
      </c>
      <c r="AP546" s="8">
        <v>31.554227489453002</v>
      </c>
      <c r="AQ546" s="8">
        <v>34.687545647178439</v>
      </c>
      <c r="AR546" s="8">
        <v>0.80071829149537832</v>
      </c>
      <c r="AS546" s="8">
        <v>59.030290279071252</v>
      </c>
      <c r="AT546" s="8">
        <v>47.012994795941118</v>
      </c>
      <c r="AU546" s="8">
        <v>28.39259458119173</v>
      </c>
      <c r="AV546" s="8">
        <v>29.217143982171098</v>
      </c>
      <c r="AW546" s="8">
        <v>0.75628692303318956</v>
      </c>
      <c r="AX546" s="8">
        <v>58.446394178862462</v>
      </c>
      <c r="AY546" s="8">
        <v>42.450321365945051</v>
      </c>
      <c r="AZ546" s="8">
        <v>33.714883890101902</v>
      </c>
      <c r="BA546" s="8">
        <v>37.434873094931852</v>
      </c>
      <c r="BB546" s="8">
        <v>0.82399155951536029</v>
      </c>
      <c r="BC546" s="8">
        <v>56.105691789496767</v>
      </c>
      <c r="BD546" s="8">
        <v>49.68192302330295</v>
      </c>
      <c r="BE546" s="8">
        <v>29.51195237967303</v>
      </c>
      <c r="BF546" s="8">
        <v>26.11292827432181</v>
      </c>
      <c r="BG546" s="8">
        <v>0.80367121923940743</v>
      </c>
      <c r="BH546" s="8">
        <v>55.393926216072067</v>
      </c>
      <c r="BI546" s="8">
        <v>45.838898005497768</v>
      </c>
    </row>
    <row r="547" spans="1:61" x14ac:dyDescent="0.15">
      <c r="A547" s="7">
        <v>2020</v>
      </c>
      <c r="B547" s="7">
        <v>82</v>
      </c>
      <c r="C547" s="7">
        <v>35.507666633319737</v>
      </c>
      <c r="D547" s="7">
        <v>32.325435347762664</v>
      </c>
      <c r="E547" s="8">
        <v>41.059008960338907</v>
      </c>
      <c r="F547" s="8">
        <v>20.932280001054728</v>
      </c>
      <c r="G547" s="8">
        <v>0.76136959443625041</v>
      </c>
      <c r="H547" s="8">
        <v>74.125046218188146</v>
      </c>
      <c r="I547" s="8">
        <v>58.61777321549738</v>
      </c>
      <c r="J547" s="8">
        <v>47.934640087039838</v>
      </c>
      <c r="K547" s="8">
        <v>28.12062761283476</v>
      </c>
      <c r="L547" s="8">
        <v>0.86611799957626956</v>
      </c>
      <c r="M547" s="8">
        <v>69.425664957340075</v>
      </c>
      <c r="N547" s="8">
        <v>74.613909045486366</v>
      </c>
      <c r="O547" s="8">
        <v>289.06200000000001</v>
      </c>
      <c r="P547" s="8">
        <v>281.24200000000002</v>
      </c>
      <c r="Q547" s="8">
        <v>99.394899999999993</v>
      </c>
      <c r="R547" s="8">
        <v>-3.3316400000000003E-2</v>
      </c>
      <c r="S547" s="8">
        <v>-0.12103800000000001</v>
      </c>
      <c r="T547" s="7">
        <f>C547-D547</f>
        <v>3.1822312855570729</v>
      </c>
      <c r="U547" s="8">
        <f>D547/C547</f>
        <v>0.91037903677480947</v>
      </c>
      <c r="V547" s="8">
        <v>41.129544494897715</v>
      </c>
      <c r="W547" s="8">
        <v>38.135122113924176</v>
      </c>
      <c r="X547" s="8">
        <v>1.0115558488550702</v>
      </c>
      <c r="Y547" s="8">
        <v>61.382904798859357</v>
      </c>
      <c r="Z547" s="8">
        <v>68.398644070019088</v>
      </c>
      <c r="AA547" s="7">
        <v>44.532092290968777</v>
      </c>
      <c r="AB547" s="7">
        <v>33.127874863379468</v>
      </c>
      <c r="AC547" s="7">
        <v>0.93883692421566989</v>
      </c>
      <c r="AD547" s="7">
        <v>65.404284878099716</v>
      </c>
      <c r="AE547" s="7">
        <v>71.506276557752727</v>
      </c>
      <c r="AF547" s="8">
        <v>45.188528239773532</v>
      </c>
      <c r="AG547" s="8">
        <v>25.876152328977941</v>
      </c>
      <c r="AH547" s="8">
        <v>0.85900935106048337</v>
      </c>
      <c r="AI547" s="8">
        <v>70.035987313723254</v>
      </c>
      <c r="AJ547" s="8">
        <v>70.075726950543356</v>
      </c>
      <c r="AK547" s="8">
        <v>48.260524777192238</v>
      </c>
      <c r="AL547" s="8">
        <v>28.386982434894389</v>
      </c>
      <c r="AM547" s="8">
        <v>0.86696159220752933</v>
      </c>
      <c r="AN547" s="8">
        <v>69.353237203823383</v>
      </c>
      <c r="AO547" s="8">
        <v>75.15246105943217</v>
      </c>
      <c r="AP547" s="8">
        <v>43.793103598383723</v>
      </c>
      <c r="AQ547" s="8">
        <v>34.865001909819163</v>
      </c>
      <c r="AR547" s="8">
        <v>0.96536083015612306</v>
      </c>
      <c r="AS547" s="8">
        <v>63.93314213342407</v>
      </c>
      <c r="AT547" s="8">
        <v>71.218857726480479</v>
      </c>
      <c r="AU547" s="8">
        <v>36.111137988460527</v>
      </c>
      <c r="AV547" s="8">
        <v>22.932347727552699</v>
      </c>
      <c r="AW547" s="8">
        <v>0.76847347645120534</v>
      </c>
      <c r="AX547" s="8">
        <v>70.450327015256676</v>
      </c>
      <c r="AY547" s="8">
        <v>57.961014461081987</v>
      </c>
      <c r="AZ547" s="8">
        <v>48.156568249885623</v>
      </c>
      <c r="BA547" s="8">
        <v>28.104043901952348</v>
      </c>
      <c r="BB547" s="8">
        <v>0.86440096076419992</v>
      </c>
      <c r="BC547" s="8">
        <v>69.971081369140094</v>
      </c>
      <c r="BD547" s="8">
        <v>74.600340415038346</v>
      </c>
      <c r="BE547" s="8">
        <v>51.773259990781433</v>
      </c>
      <c r="BF547" s="8">
        <v>33.621776051684087</v>
      </c>
      <c r="BG547" s="8">
        <v>0.91197271855629591</v>
      </c>
      <c r="BH547" s="8">
        <v>67.986565994252317</v>
      </c>
      <c r="BI547" s="8">
        <v>91.070018100125793</v>
      </c>
    </row>
    <row r="548" spans="1:61" x14ac:dyDescent="0.15">
      <c r="A548" s="7">
        <v>2021</v>
      </c>
      <c r="B548" s="7">
        <v>71</v>
      </c>
      <c r="C548" s="7">
        <v>29.436949686180657</v>
      </c>
      <c r="D548" s="7">
        <v>26.54035508268429</v>
      </c>
      <c r="E548" s="8">
        <v>39.745909569513323</v>
      </c>
      <c r="F548" s="8">
        <v>31.854498320365909</v>
      </c>
      <c r="G548" s="8">
        <v>0.76142812100043034</v>
      </c>
      <c r="H548" s="8">
        <v>67.08717492303515</v>
      </c>
      <c r="I548" s="8">
        <v>60.508071492722912</v>
      </c>
      <c r="J548" s="8">
        <v>36.453734522429393</v>
      </c>
      <c r="K548" s="8">
        <v>23.220224720984621</v>
      </c>
      <c r="L548" s="8">
        <v>0.61845738632583758</v>
      </c>
      <c r="M548" s="8">
        <v>75.54227155197843</v>
      </c>
      <c r="N548" s="8">
        <v>57.30315835095216</v>
      </c>
      <c r="O548" s="8">
        <v>289.18099999999998</v>
      </c>
      <c r="P548" s="8">
        <v>283.58300000000003</v>
      </c>
      <c r="Q548" s="8">
        <v>101.435</v>
      </c>
      <c r="R548" s="8">
        <v>-0.69427700000000003</v>
      </c>
      <c r="S548" s="8">
        <v>5.1972600000000001E-2</v>
      </c>
      <c r="T548" s="7">
        <f>C548-D548</f>
        <v>2.8965946034963679</v>
      </c>
      <c r="U548" s="8">
        <f>D548/C548</f>
        <v>0.90160004231497559</v>
      </c>
      <c r="V548" s="8">
        <v>33.096300793167011</v>
      </c>
      <c r="W548" s="8">
        <v>27.54419031527674</v>
      </c>
      <c r="X548" s="8">
        <v>0.65571446042926174</v>
      </c>
      <c r="Y548" s="8">
        <v>72.140199918742766</v>
      </c>
      <c r="Z548" s="8">
        <v>50.303761784356624</v>
      </c>
      <c r="AA548" s="7">
        <v>34.775017657798202</v>
      </c>
      <c r="AB548" s="7">
        <v>25.382207518130681</v>
      </c>
      <c r="AC548" s="7">
        <v>0.63708592337754966</v>
      </c>
      <c r="AD548" s="7">
        <v>73.841235735360598</v>
      </c>
      <c r="AE548" s="7">
        <v>53.803460067654392</v>
      </c>
      <c r="AF548" s="8">
        <v>36.915381514003052</v>
      </c>
      <c r="AG548" s="8">
        <v>22.959217999376001</v>
      </c>
      <c r="AH548" s="8">
        <v>0.60767183510480982</v>
      </c>
      <c r="AI548" s="8">
        <v>75.640222413043915</v>
      </c>
      <c r="AJ548" s="8">
        <v>55.09153983541384</v>
      </c>
      <c r="AK548" s="8">
        <v>36.429754477743153</v>
      </c>
      <c r="AL548" s="8">
        <v>23.233782597374649</v>
      </c>
      <c r="AM548" s="8">
        <v>0.61901763691766809</v>
      </c>
      <c r="AN548" s="8">
        <v>75.537183538694933</v>
      </c>
      <c r="AO548" s="8">
        <v>57.418039876878979</v>
      </c>
      <c r="AP548" s="8">
        <v>33.288882900955947</v>
      </c>
      <c r="AQ548" s="8">
        <v>24.277657600882801</v>
      </c>
      <c r="AR548" s="8">
        <v>0.59529135175781522</v>
      </c>
      <c r="AS548" s="8">
        <v>74.630972908500041</v>
      </c>
      <c r="AT548" s="8">
        <v>51.596862813690493</v>
      </c>
      <c r="AU548" s="8">
        <v>30.274005272979991</v>
      </c>
      <c r="AV548" s="8">
        <v>29.95967809783474</v>
      </c>
      <c r="AW548" s="8">
        <v>0.58951706241325419</v>
      </c>
      <c r="AX548" s="8">
        <v>68.309300069218835</v>
      </c>
      <c r="AY548" s="8">
        <v>54.088405860664963</v>
      </c>
      <c r="AZ548" s="8">
        <v>35.659335267391661</v>
      </c>
      <c r="BA548" s="8">
        <v>23.116000004235939</v>
      </c>
      <c r="BB548" s="8">
        <v>0.60775308264380823</v>
      </c>
      <c r="BC548" s="8">
        <v>74.968504640942072</v>
      </c>
      <c r="BD548" s="8">
        <v>57.751342547163333</v>
      </c>
      <c r="BE548" s="8">
        <v>49.47449398735656</v>
      </c>
      <c r="BF548" s="8">
        <v>26.786089690703399</v>
      </c>
      <c r="BG548" s="8">
        <v>0.80239562041387413</v>
      </c>
      <c r="BH548" s="8">
        <v>67.26039544650277</v>
      </c>
      <c r="BI548" s="8">
        <v>75.252853454518444</v>
      </c>
    </row>
    <row r="549" spans="1:61" x14ac:dyDescent="0.15">
      <c r="A549" s="7">
        <v>2022</v>
      </c>
      <c r="B549" s="7">
        <v>84</v>
      </c>
      <c r="C549" s="7">
        <v>85.53569956863106</v>
      </c>
      <c r="D549" s="7">
        <v>17.369245321788</v>
      </c>
      <c r="E549" s="8">
        <v>39.447951783545129</v>
      </c>
      <c r="F549" s="8">
        <v>26.41368186061883</v>
      </c>
      <c r="G549" s="8">
        <v>0.76267006687951733</v>
      </c>
      <c r="H549" s="8">
        <v>62.780105133236603</v>
      </c>
      <c r="I549" s="8">
        <v>49.734740052388211</v>
      </c>
      <c r="J549" s="8">
        <v>41.164293156948787</v>
      </c>
      <c r="K549" s="8">
        <v>30.888832848900901</v>
      </c>
      <c r="L549" s="8">
        <v>0.70529663537455622</v>
      </c>
      <c r="M549" s="8">
        <v>67.15997551184536</v>
      </c>
      <c r="N549" s="8">
        <v>71.069575176876128</v>
      </c>
      <c r="O549" s="8">
        <v>287.89499999999998</v>
      </c>
      <c r="P549" s="8">
        <v>278.916</v>
      </c>
      <c r="Q549" s="8">
        <v>101.401</v>
      </c>
      <c r="R549" s="8">
        <v>-0.10466399999999999</v>
      </c>
      <c r="S549" s="8">
        <v>0.58836299999999997</v>
      </c>
      <c r="T549" s="7">
        <f>C549-D549</f>
        <v>68.16645424684306</v>
      </c>
      <c r="U549" s="8">
        <f>D549/C549</f>
        <v>0.20306428087200576</v>
      </c>
      <c r="V549" s="8">
        <v>40.564232217380308</v>
      </c>
      <c r="W549" s="8">
        <v>32.892373574004282</v>
      </c>
      <c r="X549" s="8">
        <v>0.73482676871655994</v>
      </c>
      <c r="Y549" s="8">
        <v>60.061894414184266</v>
      </c>
      <c r="Z549" s="8">
        <v>59.854989176724615</v>
      </c>
      <c r="AA549" s="7">
        <v>40.864262687164548</v>
      </c>
      <c r="AB549" s="7">
        <v>31.890603211452589</v>
      </c>
      <c r="AC549" s="7">
        <v>0.72006170204555808</v>
      </c>
      <c r="AD549" s="7">
        <v>63.610934963014813</v>
      </c>
      <c r="AE549" s="7">
        <v>65.462282176800372</v>
      </c>
      <c r="AF549" s="8">
        <v>40.917908117026862</v>
      </c>
      <c r="AG549" s="8">
        <v>28.683961449948551</v>
      </c>
      <c r="AH549" s="8">
        <v>0.71586540692984701</v>
      </c>
      <c r="AI549" s="8">
        <v>67.813880540385881</v>
      </c>
      <c r="AJ549" s="8">
        <v>64.815375130761694</v>
      </c>
      <c r="AK549" s="8">
        <v>41.193384928924708</v>
      </c>
      <c r="AL549" s="8">
        <v>31.149171772054839</v>
      </c>
      <c r="AM549" s="8">
        <v>0.70404873374769827</v>
      </c>
      <c r="AN549" s="8">
        <v>67.082766051440515</v>
      </c>
      <c r="AO549" s="8">
        <v>71.808036252641571</v>
      </c>
      <c r="AP549" s="8">
        <v>40.890768012281633</v>
      </c>
      <c r="AQ549" s="8">
        <v>31.749205462797391</v>
      </c>
      <c r="AR549" s="8">
        <v>0.73505818566267045</v>
      </c>
      <c r="AS549" s="8">
        <v>62.499437035013969</v>
      </c>
      <c r="AT549" s="8">
        <v>63.83009998930671</v>
      </c>
      <c r="AU549" s="8">
        <v>42.067118283399097</v>
      </c>
      <c r="AV549" s="8">
        <v>34.674070050575693</v>
      </c>
      <c r="AW549" s="8">
        <v>0.69935447443916721</v>
      </c>
      <c r="AX549" s="8">
        <v>69.362366080826405</v>
      </c>
      <c r="AY549" s="8">
        <v>99.461754560910421</v>
      </c>
      <c r="AZ549" s="8">
        <v>40.819237047964073</v>
      </c>
      <c r="BA549" s="8">
        <v>32.315183654641373</v>
      </c>
      <c r="BB549" s="8">
        <v>0.6690204342321654</v>
      </c>
      <c r="BC549" s="8">
        <v>67.257538111308733</v>
      </c>
      <c r="BD549" s="8">
        <v>70.86596484928296</v>
      </c>
      <c r="BE549" s="8">
        <v>39.98715802931163</v>
      </c>
      <c r="BF549" s="8">
        <v>37.703372696209478</v>
      </c>
      <c r="BG549" s="8">
        <v>0.79909534766231038</v>
      </c>
      <c r="BH549" s="8">
        <v>60.02557629042019</v>
      </c>
      <c r="BI549" s="8">
        <v>82.274600246547067</v>
      </c>
    </row>
    <row r="550" spans="1:61" x14ac:dyDescent="0.15">
      <c r="A550" s="7">
        <v>2017</v>
      </c>
      <c r="B550" s="7">
        <v>24</v>
      </c>
      <c r="C550" s="7">
        <v>196.0409457537661</v>
      </c>
      <c r="D550" s="7">
        <v>132.11745974617708</v>
      </c>
      <c r="E550" s="8">
        <v>33.019192008812468</v>
      </c>
      <c r="F550" s="8">
        <v>37.894317462132697</v>
      </c>
      <c r="G550" s="8">
        <v>0.76278850405216791</v>
      </c>
      <c r="H550" s="8">
        <v>54.10120224595655</v>
      </c>
      <c r="I550" s="8">
        <v>48.845746268302321</v>
      </c>
      <c r="J550" s="8">
        <v>33.956103624701697</v>
      </c>
      <c r="K550" s="8">
        <v>39.159167824215011</v>
      </c>
      <c r="L550" s="8">
        <v>0.83231300763016347</v>
      </c>
      <c r="M550" s="8">
        <v>57.598002212775327</v>
      </c>
      <c r="N550" s="8">
        <v>52.089664250960197</v>
      </c>
      <c r="O550" s="8">
        <v>296.37299999999999</v>
      </c>
      <c r="P550" s="8">
        <v>291.85899999999998</v>
      </c>
      <c r="Q550" s="8">
        <v>100.67400000000001</v>
      </c>
      <c r="R550" s="8">
        <v>-0.81661600000000001</v>
      </c>
      <c r="S550" s="8">
        <v>-0.35974899999999999</v>
      </c>
      <c r="T550" s="7">
        <f>C550-D550</f>
        <v>63.92348600758902</v>
      </c>
      <c r="U550" s="8">
        <f>D550/C550</f>
        <v>0.6739278839846089</v>
      </c>
      <c r="V550" s="8">
        <v>33.851485510202977</v>
      </c>
      <c r="W550" s="8">
        <v>33.659141926930296</v>
      </c>
      <c r="X550" s="8">
        <v>0.81390159977501675</v>
      </c>
      <c r="Y550" s="8">
        <v>57.609514993537914</v>
      </c>
      <c r="Z550" s="8">
        <v>48.962411051122629</v>
      </c>
      <c r="AA550" s="7">
        <v>33.903794567452337</v>
      </c>
      <c r="AB550" s="7">
        <v>36.409154875572654</v>
      </c>
      <c r="AC550" s="7">
        <v>0.82310730370259011</v>
      </c>
      <c r="AD550" s="7">
        <v>57.603758603156621</v>
      </c>
      <c r="AE550" s="7">
        <v>50.526037651041413</v>
      </c>
      <c r="AF550" s="8">
        <v>33.916127819445187</v>
      </c>
      <c r="AG550" s="8">
        <v>38.073445440694229</v>
      </c>
      <c r="AH550" s="8">
        <v>0.82341866755895632</v>
      </c>
      <c r="AI550" s="8">
        <v>56.861588904097637</v>
      </c>
      <c r="AJ550" s="8">
        <v>52.207813011391281</v>
      </c>
      <c r="AK550" s="8">
        <v>33.960683205279857</v>
      </c>
      <c r="AL550" s="8">
        <v>39.283546885723553</v>
      </c>
      <c r="AM550" s="8">
        <v>0.83333193262202665</v>
      </c>
      <c r="AN550" s="8">
        <v>57.682364843228527</v>
      </c>
      <c r="AO550" s="8">
        <v>52.076129269860182</v>
      </c>
      <c r="AP550" s="8">
        <v>32.104222979414743</v>
      </c>
      <c r="AQ550" s="8">
        <v>34.147783938019103</v>
      </c>
      <c r="AR550" s="8">
        <v>0.80263265329885936</v>
      </c>
      <c r="AS550" s="8">
        <v>58.730208144530827</v>
      </c>
      <c r="AT550" s="8">
        <v>49.403370208495673</v>
      </c>
      <c r="AU550" s="8">
        <v>28.770169088888139</v>
      </c>
      <c r="AV550" s="8">
        <v>30.949376533083349</v>
      </c>
      <c r="AW550" s="8">
        <v>0.75242369288965882</v>
      </c>
      <c r="AX550" s="8">
        <v>59.350477691947887</v>
      </c>
      <c r="AY550" s="8">
        <v>43.507743964087076</v>
      </c>
      <c r="AZ550" s="8">
        <v>34.228414797906467</v>
      </c>
      <c r="BA550" s="8">
        <v>38.634796718262088</v>
      </c>
      <c r="BB550" s="8">
        <v>0.82684121880737116</v>
      </c>
      <c r="BC550" s="8">
        <v>58.111965179697883</v>
      </c>
      <c r="BD550" s="8">
        <v>52.420489340171358</v>
      </c>
      <c r="BE550" s="8">
        <v>27.94631752039869</v>
      </c>
      <c r="BF550" s="8">
        <v>28.111449687385221</v>
      </c>
      <c r="BG550" s="8">
        <v>0.77407759805403797</v>
      </c>
      <c r="BH550" s="8">
        <v>56.912155860225717</v>
      </c>
      <c r="BI550" s="8">
        <v>44.774473303582553</v>
      </c>
    </row>
    <row r="551" spans="1:61" x14ac:dyDescent="0.15">
      <c r="A551" s="7">
        <v>2019</v>
      </c>
      <c r="B551" s="7">
        <v>120</v>
      </c>
      <c r="C551" s="7">
        <v>5.1320676350870684</v>
      </c>
      <c r="D551" s="7">
        <v>1.4191419905655205</v>
      </c>
      <c r="E551" s="8">
        <v>39.219182080674507</v>
      </c>
      <c r="F551" s="8">
        <v>20.707369668883331</v>
      </c>
      <c r="G551" s="8">
        <v>0.7634132174715218</v>
      </c>
      <c r="H551" s="8">
        <v>71.806758259588804</v>
      </c>
      <c r="I551" s="8">
        <v>55.774932578511368</v>
      </c>
      <c r="J551" s="8">
        <v>39.272535103628243</v>
      </c>
      <c r="K551" s="8">
        <v>20.692430764551801</v>
      </c>
      <c r="L551" s="8">
        <v>0.81971438869316759</v>
      </c>
      <c r="M551" s="8">
        <v>71.25157866489279</v>
      </c>
      <c r="N551" s="8">
        <v>58.587079553302203</v>
      </c>
      <c r="O551" s="8">
        <v>290.22199999999998</v>
      </c>
      <c r="P551" s="8">
        <v>284.76100000000002</v>
      </c>
      <c r="Q551" s="8">
        <v>100.408</v>
      </c>
      <c r="R551" s="8">
        <v>-0.64705100000000004</v>
      </c>
      <c r="S551" s="8">
        <v>-0.81637300000000002</v>
      </c>
      <c r="T551" s="7">
        <f>C551-D551</f>
        <v>3.7129256445215479</v>
      </c>
      <c r="U551" s="8">
        <f>D551/C551</f>
        <v>0.27652441305782671</v>
      </c>
      <c r="V551" s="8">
        <v>38.235735678301921</v>
      </c>
      <c r="W551" s="8">
        <v>20.40339229877312</v>
      </c>
      <c r="X551" s="8">
        <v>0.75406808844494833</v>
      </c>
      <c r="Y551" s="8">
        <v>67.190693926499151</v>
      </c>
      <c r="Z551" s="8">
        <v>53.659330625017091</v>
      </c>
      <c r="AA551" s="7">
        <v>38.754135390965082</v>
      </c>
      <c r="AB551" s="7">
        <v>20.547911531662461</v>
      </c>
      <c r="AC551" s="7">
        <v>0.78689123856905796</v>
      </c>
      <c r="AD551" s="7">
        <v>69.22113629569597</v>
      </c>
      <c r="AE551" s="7">
        <v>56.123205089159647</v>
      </c>
      <c r="AF551" s="8">
        <v>40.569960499146397</v>
      </c>
      <c r="AG551" s="8">
        <v>21.88169009110695</v>
      </c>
      <c r="AH551" s="8">
        <v>0.82277620454455236</v>
      </c>
      <c r="AI551" s="8">
        <v>71.915727262962733</v>
      </c>
      <c r="AJ551" s="8">
        <v>61.266648266520981</v>
      </c>
      <c r="AK551" s="8">
        <v>39.048033282303983</v>
      </c>
      <c r="AL551" s="8">
        <v>20.4866456105377</v>
      </c>
      <c r="AM551" s="8">
        <v>0.81918458309696918</v>
      </c>
      <c r="AN551" s="8">
        <v>71.136656781590887</v>
      </c>
      <c r="AO551" s="8">
        <v>58.123416626278271</v>
      </c>
      <c r="AP551" s="8">
        <v>38.202983492732159</v>
      </c>
      <c r="AQ551" s="8">
        <v>20.29750986043501</v>
      </c>
      <c r="AR551" s="8">
        <v>0.78391677634563572</v>
      </c>
      <c r="AS551" s="8">
        <v>68.682182121320352</v>
      </c>
      <c r="AT551" s="8">
        <v>55.135192541228747</v>
      </c>
      <c r="AU551" s="8">
        <v>33.669183360849047</v>
      </c>
      <c r="AV551" s="8">
        <v>17.371288452679579</v>
      </c>
      <c r="AW551" s="8">
        <v>0.75063574995027471</v>
      </c>
      <c r="AX551" s="8">
        <v>71.130667897758059</v>
      </c>
      <c r="AY551" s="8">
        <v>47.618789245651811</v>
      </c>
      <c r="AZ551" s="8">
        <v>39.267171675958203</v>
      </c>
      <c r="BA551" s="8">
        <v>22.03448392047331</v>
      </c>
      <c r="BB551" s="8">
        <v>0.83389996418564849</v>
      </c>
      <c r="BC551" s="8">
        <v>71.093292747682796</v>
      </c>
      <c r="BD551" s="8">
        <v>60.54038756143219</v>
      </c>
      <c r="BE551" s="8">
        <v>39.98676960125389</v>
      </c>
      <c r="BF551" s="8">
        <v>34.925100777225012</v>
      </c>
      <c r="BG551" s="8">
        <v>0.76269120904392984</v>
      </c>
      <c r="BH551" s="8">
        <v>65.732407615235104</v>
      </c>
      <c r="BI551" s="8">
        <v>85.703547596051607</v>
      </c>
    </row>
    <row r="552" spans="1:61" x14ac:dyDescent="0.15">
      <c r="A552" s="7">
        <v>2019</v>
      </c>
      <c r="B552" s="7">
        <v>133</v>
      </c>
      <c r="C552" s="7">
        <v>20.588260577715502</v>
      </c>
      <c r="D552" s="7">
        <v>12.254325518548256</v>
      </c>
      <c r="E552" s="8">
        <v>37.462795911441113</v>
      </c>
      <c r="F552" s="8">
        <v>29.061660517696001</v>
      </c>
      <c r="G552" s="8">
        <v>0.76401414770392928</v>
      </c>
      <c r="H552" s="8">
        <v>71.44074601299198</v>
      </c>
      <c r="I552" s="8">
        <v>56.873287047859613</v>
      </c>
      <c r="J552" s="8">
        <v>41.757947976570883</v>
      </c>
      <c r="K552" s="8">
        <v>35.326746861822983</v>
      </c>
      <c r="L552" s="8">
        <v>0.80727222364908902</v>
      </c>
      <c r="M552" s="8">
        <v>69.612200104837228</v>
      </c>
      <c r="N552" s="8">
        <v>66.263396390526935</v>
      </c>
      <c r="O552" s="8">
        <v>290.21199999999999</v>
      </c>
      <c r="P552" s="8">
        <v>285.13</v>
      </c>
      <c r="Q552" s="8">
        <v>101.31100000000001</v>
      </c>
      <c r="R552" s="8">
        <v>-1.10198</v>
      </c>
      <c r="S552" s="8">
        <v>-0.42013200000000001</v>
      </c>
      <c r="T552" s="7">
        <f>C552-D552</f>
        <v>8.3339350591672456</v>
      </c>
      <c r="U552" s="8">
        <f>D552/C552</f>
        <v>0.59520936566210936</v>
      </c>
      <c r="V552" s="8">
        <v>39.07001023167718</v>
      </c>
      <c r="W552" s="8">
        <v>29.008529653215362</v>
      </c>
      <c r="X552" s="8">
        <v>0.76257560904636446</v>
      </c>
      <c r="Y552" s="8">
        <v>71.969414946829517</v>
      </c>
      <c r="Z552" s="8">
        <v>58.212661053662501</v>
      </c>
      <c r="AA552" s="7">
        <v>40.413979104124031</v>
      </c>
      <c r="AB552" s="7">
        <v>32.167638257519172</v>
      </c>
      <c r="AC552" s="7">
        <v>0.78492391634772674</v>
      </c>
      <c r="AD552" s="7">
        <v>70.790807525833372</v>
      </c>
      <c r="AE552" s="7">
        <v>62.238028722094718</v>
      </c>
      <c r="AF552" s="8">
        <v>41.386519853119871</v>
      </c>
      <c r="AG552" s="8">
        <v>35.318686976341901</v>
      </c>
      <c r="AH552" s="8">
        <v>0.82116935851489614</v>
      </c>
      <c r="AI552" s="8">
        <v>69.864895242435779</v>
      </c>
      <c r="AJ552" s="8">
        <v>64.782852321823214</v>
      </c>
      <c r="AK552" s="8">
        <v>41.796431465371072</v>
      </c>
      <c r="AL552" s="8">
        <v>35.327581942671891</v>
      </c>
      <c r="AM552" s="8">
        <v>0.80583234820564109</v>
      </c>
      <c r="AN552" s="8">
        <v>69.586018483458403</v>
      </c>
      <c r="AO552" s="8">
        <v>66.416794847694831</v>
      </c>
      <c r="AP552" s="8">
        <v>40.263551849158581</v>
      </c>
      <c r="AQ552" s="8">
        <v>31.787826658014311</v>
      </c>
      <c r="AR552" s="8">
        <v>0.7606192514790423</v>
      </c>
      <c r="AS552" s="8">
        <v>71.047787197073916</v>
      </c>
      <c r="AT552" s="8">
        <v>61.836709298947561</v>
      </c>
      <c r="AU552" s="8">
        <v>40.838090661289357</v>
      </c>
      <c r="AV552" s="8">
        <v>32.040260047273321</v>
      </c>
      <c r="AW552" s="8">
        <v>0.77829453431544116</v>
      </c>
      <c r="AX552" s="8">
        <v>70.38051524044711</v>
      </c>
      <c r="AY552" s="8">
        <v>66.017782315710534</v>
      </c>
      <c r="AZ552" s="8">
        <v>42.446513585500298</v>
      </c>
      <c r="BA552" s="8">
        <v>36.136180592555682</v>
      </c>
      <c r="BB552" s="8">
        <v>0.82650684156719134</v>
      </c>
      <c r="BC552" s="8">
        <v>68.744996490490863</v>
      </c>
      <c r="BD552" s="8">
        <v>68.3615412632534</v>
      </c>
      <c r="BE552" s="8">
        <v>48.317932166603498</v>
      </c>
      <c r="BF552" s="8">
        <v>33.212073579661137</v>
      </c>
      <c r="BG552" s="8">
        <v>1.0095666603181359</v>
      </c>
      <c r="BH552" s="8">
        <v>67.874874335779595</v>
      </c>
      <c r="BI552" s="8">
        <v>103.1329586198699</v>
      </c>
    </row>
    <row r="553" spans="1:61" x14ac:dyDescent="0.15">
      <c r="A553" s="7">
        <v>2020</v>
      </c>
      <c r="B553" s="7">
        <v>87</v>
      </c>
      <c r="C553" s="7">
        <v>39.148679358677754</v>
      </c>
      <c r="D553" s="7">
        <v>5.1005742858358936</v>
      </c>
      <c r="E553" s="8">
        <v>43.693349180322627</v>
      </c>
      <c r="F553" s="8">
        <v>33.284378407662487</v>
      </c>
      <c r="G553" s="8">
        <v>0.76443171494034434</v>
      </c>
      <c r="H553" s="8">
        <v>62.483926635406512</v>
      </c>
      <c r="I553" s="8">
        <v>56.85325791420108</v>
      </c>
      <c r="J553" s="8">
        <v>49.776549377455048</v>
      </c>
      <c r="K553" s="8">
        <v>31.743464080988399</v>
      </c>
      <c r="L553" s="8">
        <v>0.88108079157314823</v>
      </c>
      <c r="M553" s="8">
        <v>70.048112345413955</v>
      </c>
      <c r="N553" s="8">
        <v>83.820632003914554</v>
      </c>
      <c r="O553" s="8">
        <v>287.41300000000001</v>
      </c>
      <c r="P553" s="8">
        <v>280.08300000000003</v>
      </c>
      <c r="Q553" s="8">
        <v>101.69799999999999</v>
      </c>
      <c r="R553" s="8">
        <v>-0.136265</v>
      </c>
      <c r="S553" s="8">
        <v>0.110249</v>
      </c>
      <c r="T553" s="7">
        <f>C553-D553</f>
        <v>34.048105072841864</v>
      </c>
      <c r="U553" s="8">
        <f>D553/C553</f>
        <v>0.13028726305438687</v>
      </c>
      <c r="V553" s="8">
        <v>44.200831181585379</v>
      </c>
      <c r="W553" s="8">
        <v>36.090051749705992</v>
      </c>
      <c r="X553" s="8">
        <v>0.88326914553781588</v>
      </c>
      <c r="Y553" s="8">
        <v>66.362090998855706</v>
      </c>
      <c r="Z553" s="8">
        <v>67.15603209784733</v>
      </c>
      <c r="AA553" s="7">
        <v>46.988690279520213</v>
      </c>
      <c r="AB553" s="7">
        <v>33.916757915347198</v>
      </c>
      <c r="AC553" s="7">
        <v>0.88217496855548205</v>
      </c>
      <c r="AD553" s="7">
        <v>68.20510167213483</v>
      </c>
      <c r="AE553" s="7">
        <v>75.488332050880942</v>
      </c>
      <c r="AF553" s="8">
        <v>48.968917090428313</v>
      </c>
      <c r="AG553" s="8">
        <v>30.546662406404771</v>
      </c>
      <c r="AH553" s="8">
        <v>0.87376748897658263</v>
      </c>
      <c r="AI553" s="8">
        <v>72.950672485217055</v>
      </c>
      <c r="AJ553" s="8">
        <v>79.021505792743241</v>
      </c>
      <c r="AK553" s="8">
        <v>49.845001265388248</v>
      </c>
      <c r="AL553" s="8">
        <v>31.84490050870782</v>
      </c>
      <c r="AM553" s="8">
        <v>0.88170063971171708</v>
      </c>
      <c r="AN553" s="8">
        <v>69.802102218527338</v>
      </c>
      <c r="AO553" s="8">
        <v>84.227387968059745</v>
      </c>
      <c r="AP553" s="8">
        <v>47.017495937003858</v>
      </c>
      <c r="AQ553" s="8">
        <v>33.75413548794954</v>
      </c>
      <c r="AR553" s="8">
        <v>0.87720033361844241</v>
      </c>
      <c r="AS553" s="8">
        <v>67.511060957345606</v>
      </c>
      <c r="AT553" s="8">
        <v>75.483592158628028</v>
      </c>
      <c r="AU553" s="8">
        <v>42.162524426221047</v>
      </c>
      <c r="AV553" s="8">
        <v>30.25822334771161</v>
      </c>
      <c r="AW553" s="8">
        <v>0.85071936292678785</v>
      </c>
      <c r="AX553" s="8">
        <v>68.73697836108694</v>
      </c>
      <c r="AY553" s="8">
        <v>63.857137697167779</v>
      </c>
      <c r="AZ553" s="8">
        <v>48.4647330763204</v>
      </c>
      <c r="BA553" s="8">
        <v>32.820631676003629</v>
      </c>
      <c r="BB553" s="8">
        <v>0.87223118054507665</v>
      </c>
      <c r="BC553" s="8">
        <v>70.249613682568025</v>
      </c>
      <c r="BD553" s="8">
        <v>81.324459509062862</v>
      </c>
      <c r="BE553" s="8">
        <v>46.182009233240223</v>
      </c>
      <c r="BF553" s="8">
        <v>36.197551936103551</v>
      </c>
      <c r="BG553" s="8">
        <v>0.87702149505286864</v>
      </c>
      <c r="BH553" s="8">
        <v>69.389314142738399</v>
      </c>
      <c r="BI553" s="8">
        <v>72.936730575294661</v>
      </c>
    </row>
    <row r="554" spans="1:61" x14ac:dyDescent="0.15">
      <c r="A554" s="7">
        <v>2023</v>
      </c>
      <c r="B554" s="7">
        <v>137</v>
      </c>
      <c r="C554" s="9">
        <v>10.952453783266542</v>
      </c>
      <c r="D554" s="7">
        <v>1.2899517316557327</v>
      </c>
      <c r="E554" s="8">
        <v>22.656972793162812</v>
      </c>
      <c r="F554" s="8">
        <v>13.323198331484569</v>
      </c>
      <c r="G554" s="8">
        <v>0.765272767867064</v>
      </c>
      <c r="H554" s="8">
        <v>49.864182861918543</v>
      </c>
      <c r="I554" s="8">
        <v>35.688206401974867</v>
      </c>
      <c r="J554" s="8">
        <v>26.02867639777492</v>
      </c>
      <c r="K554" s="8">
        <v>14.205612029652031</v>
      </c>
      <c r="L554" s="8">
        <v>0.76218585646336512</v>
      </c>
      <c r="M554" s="8">
        <v>49.55063794666831</v>
      </c>
      <c r="N554" s="8">
        <v>39.672274807782387</v>
      </c>
      <c r="O554" s="7">
        <v>292.05599999999998</v>
      </c>
      <c r="P554" s="7">
        <v>287.93400000000003</v>
      </c>
      <c r="Q554" s="7">
        <v>95.631799999999998</v>
      </c>
      <c r="R554" s="7">
        <v>-0.51752600000000004</v>
      </c>
      <c r="S554" s="7">
        <v>-0.31235099999999999</v>
      </c>
      <c r="T554" s="7">
        <f>C554-D554</f>
        <v>9.662502051610808</v>
      </c>
      <c r="U554" s="8">
        <f>D554/C554</f>
        <v>0.11777741839244793</v>
      </c>
      <c r="V554" s="8">
        <v>20.711650632163003</v>
      </c>
      <c r="W554" s="8">
        <v>12.68780879037471</v>
      </c>
      <c r="X554" s="8">
        <v>0.78165292972179856</v>
      </c>
      <c r="Y554" s="8">
        <v>50.765719545007165</v>
      </c>
      <c r="Z554" s="8">
        <v>33.471585494688298</v>
      </c>
      <c r="AA554" s="7">
        <v>23.370163514968961</v>
      </c>
      <c r="AB554" s="7">
        <v>13.44671041001337</v>
      </c>
      <c r="AC554" s="7">
        <v>0.77191939309258184</v>
      </c>
      <c r="AD554" s="7">
        <v>50.158178745837738</v>
      </c>
      <c r="AE554" s="7">
        <v>36.571930151235343</v>
      </c>
      <c r="AF554" s="8">
        <v>25.977402859750821</v>
      </c>
      <c r="AG554" s="8">
        <v>14.34600093505426</v>
      </c>
      <c r="AH554" s="8">
        <v>0.76351985372582898</v>
      </c>
      <c r="AI554" s="8">
        <v>48.860233163526267</v>
      </c>
      <c r="AJ554" s="8">
        <v>39.730956548886027</v>
      </c>
      <c r="AK554" s="8">
        <v>26.036682721124951</v>
      </c>
      <c r="AL554" s="8">
        <v>14.18369041053384</v>
      </c>
      <c r="AM554" s="8">
        <v>0.76197755382143872</v>
      </c>
      <c r="AN554" s="8">
        <v>49.658444120169378</v>
      </c>
      <c r="AO554" s="8">
        <v>39.663111699244858</v>
      </c>
      <c r="AP554" s="8">
        <v>25.80795236362485</v>
      </c>
      <c r="AQ554" s="8">
        <v>13.87337292716027</v>
      </c>
      <c r="AR554" s="8">
        <v>0.80421011935548514</v>
      </c>
      <c r="AS554" s="8">
        <v>51.113913609932887</v>
      </c>
      <c r="AT554" s="8">
        <v>39.632156039203728</v>
      </c>
      <c r="AU554" s="8">
        <v>23.85316258881798</v>
      </c>
      <c r="AV554" s="8">
        <v>11.30397306523226</v>
      </c>
      <c r="AW554" s="8">
        <v>0.74047058628901319</v>
      </c>
      <c r="AX554" s="8">
        <v>55.231502328438133</v>
      </c>
      <c r="AY554" s="8">
        <v>35.629983255035761</v>
      </c>
      <c r="AZ554" s="8">
        <v>26.581865359778881</v>
      </c>
      <c r="BA554" s="8">
        <v>14.820631845070681</v>
      </c>
      <c r="BB554" s="8">
        <v>0.7134123460521129</v>
      </c>
      <c r="BC554" s="8">
        <v>49.115639400072027</v>
      </c>
      <c r="BD554" s="8">
        <v>40.731283413661473</v>
      </c>
      <c r="BE554" s="8">
        <v>25.37379090355374</v>
      </c>
      <c r="BF554" s="8">
        <v>21.574352268436201</v>
      </c>
      <c r="BG554" s="8">
        <v>0.61916882639734983</v>
      </c>
      <c r="BH554" s="8">
        <v>50.196926321325641</v>
      </c>
      <c r="BI554" s="8">
        <v>48.51928826991012</v>
      </c>
    </row>
    <row r="555" spans="1:61" x14ac:dyDescent="0.15">
      <c r="A555" s="7">
        <v>2021</v>
      </c>
      <c r="B555" s="7">
        <v>42</v>
      </c>
      <c r="C555" s="7">
        <v>43.463981611645167</v>
      </c>
      <c r="D555" s="7">
        <v>13.018654445845176</v>
      </c>
      <c r="E555" s="8">
        <v>29.842033936147921</v>
      </c>
      <c r="F555" s="8">
        <v>23.779280374391391</v>
      </c>
      <c r="G555" s="8">
        <v>0.76533340554232487</v>
      </c>
      <c r="H555" s="8">
        <v>78.187942973788438</v>
      </c>
      <c r="I555" s="8">
        <v>58.021996889679222</v>
      </c>
      <c r="J555" s="8">
        <v>34.739048460054192</v>
      </c>
      <c r="K555" s="8">
        <v>32.455663489259138</v>
      </c>
      <c r="L555" s="8">
        <v>0.64799880289749512</v>
      </c>
      <c r="M555" s="8">
        <v>62.509441715431308</v>
      </c>
      <c r="N555" s="8">
        <v>79.068569787036225</v>
      </c>
      <c r="O555" s="8">
        <v>283.286</v>
      </c>
      <c r="P555" s="8">
        <v>271.34399999999999</v>
      </c>
      <c r="Q555" s="8">
        <v>87.336799999999997</v>
      </c>
      <c r="R555" s="8">
        <v>0.94349799999999995</v>
      </c>
      <c r="S555" s="8">
        <v>0.174428</v>
      </c>
      <c r="T555" s="7">
        <f>C555-D555</f>
        <v>30.445327165799991</v>
      </c>
      <c r="U555" s="8">
        <f>D555/C555</f>
        <v>0.29952742392926857</v>
      </c>
      <c r="V555" s="8">
        <v>34.929275608017221</v>
      </c>
      <c r="W555" s="8">
        <v>30.24707331325704</v>
      </c>
      <c r="X555" s="8">
        <v>0.69675054972756245</v>
      </c>
      <c r="Y555" s="8">
        <v>64.209612205070712</v>
      </c>
      <c r="Z555" s="8">
        <v>74.599437096119729</v>
      </c>
      <c r="AA555" s="7">
        <v>34.834162034035707</v>
      </c>
      <c r="AB555" s="7">
        <v>31.351368401258089</v>
      </c>
      <c r="AC555" s="7">
        <v>0.67237467631252879</v>
      </c>
      <c r="AD555" s="7">
        <v>63.35952696025101</v>
      </c>
      <c r="AE555" s="7">
        <v>76.834003441577977</v>
      </c>
      <c r="AF555" s="8">
        <v>35.652127468083037</v>
      </c>
      <c r="AG555" s="8">
        <v>31.87680110641061</v>
      </c>
      <c r="AH555" s="8">
        <v>0.68854909978954848</v>
      </c>
      <c r="AI555" s="8">
        <v>62.032313779909977</v>
      </c>
      <c r="AJ555" s="8">
        <v>75.911168800200414</v>
      </c>
      <c r="AK555" s="8">
        <v>34.6008561017265</v>
      </c>
      <c r="AL555" s="8">
        <v>32.543272948166447</v>
      </c>
      <c r="AM555" s="8">
        <v>0.64186161092492078</v>
      </c>
      <c r="AN555" s="8">
        <v>62.581653905235193</v>
      </c>
      <c r="AO555" s="8">
        <v>79.546434993355007</v>
      </c>
      <c r="AP555" s="8">
        <v>33.842200437151163</v>
      </c>
      <c r="AQ555" s="8">
        <v>32.425645677734259</v>
      </c>
      <c r="AR555" s="8">
        <v>0.60829948706468795</v>
      </c>
      <c r="AS555" s="8">
        <v>63.210634391602262</v>
      </c>
      <c r="AT555" s="8">
        <v>79.461065361640848</v>
      </c>
      <c r="AU555" s="8">
        <v>35.147176079893917</v>
      </c>
      <c r="AV555" s="8">
        <v>31.083486699483611</v>
      </c>
      <c r="AW555" s="8">
        <v>0.689258570427423</v>
      </c>
      <c r="AX555" s="8">
        <v>63.313874053000177</v>
      </c>
      <c r="AY555" s="8">
        <v>76.138296744580941</v>
      </c>
      <c r="AZ555" s="8">
        <v>35.760748635002393</v>
      </c>
      <c r="BA555" s="8">
        <v>31.154671751336618</v>
      </c>
      <c r="BB555" s="8">
        <v>0.68059007818089445</v>
      </c>
      <c r="BC555" s="8">
        <v>64.325040592232952</v>
      </c>
      <c r="BD555" s="8">
        <v>82.741327617155363</v>
      </c>
      <c r="BE555" s="8">
        <v>30.262737552323589</v>
      </c>
      <c r="BF555" s="8">
        <v>29.267353439760939</v>
      </c>
      <c r="BG555" s="8">
        <v>0.59810577527846098</v>
      </c>
      <c r="BH555" s="8">
        <v>70.589388458601988</v>
      </c>
      <c r="BI555" s="8">
        <v>80.627487320582631</v>
      </c>
    </row>
    <row r="556" spans="1:61" x14ac:dyDescent="0.15">
      <c r="A556" s="7">
        <v>2018</v>
      </c>
      <c r="B556" s="7">
        <v>56</v>
      </c>
      <c r="C556" s="7">
        <v>98.911859791096461</v>
      </c>
      <c r="D556" s="7">
        <v>62.762129242468156</v>
      </c>
      <c r="E556" s="8">
        <v>29.268170426006659</v>
      </c>
      <c r="F556" s="8">
        <v>15.13560867845413</v>
      </c>
      <c r="G556" s="8">
        <v>0.76536476816955268</v>
      </c>
      <c r="H556" s="8">
        <v>54.298460720318523</v>
      </c>
      <c r="I556" s="8">
        <v>46.556053004298327</v>
      </c>
      <c r="J556" s="8">
        <v>32.725615238905959</v>
      </c>
      <c r="K556" s="8">
        <v>17.832902520428281</v>
      </c>
      <c r="L556" s="8">
        <v>0.7971977865466805</v>
      </c>
      <c r="M556" s="8">
        <v>57.681695301550057</v>
      </c>
      <c r="N556" s="8">
        <v>52.245087440396269</v>
      </c>
      <c r="O556" s="8">
        <v>294.70600000000002</v>
      </c>
      <c r="P556" s="8">
        <v>290.87</v>
      </c>
      <c r="Q556" s="8">
        <v>98.337899999999991</v>
      </c>
      <c r="R556" s="8">
        <v>-0.73975999999999997</v>
      </c>
      <c r="S556" s="8">
        <v>-0.129856</v>
      </c>
      <c r="T556" s="7">
        <f>C556-D556</f>
        <v>36.149730548628305</v>
      </c>
      <c r="U556" s="8">
        <f>D556/C556</f>
        <v>0.63452582304106753</v>
      </c>
      <c r="V556" s="8">
        <v>29.339055653431579</v>
      </c>
      <c r="W556" s="8">
        <v>14.054800798544999</v>
      </c>
      <c r="X556" s="8">
        <v>0.75021889466079517</v>
      </c>
      <c r="Y556" s="8">
        <v>54.022060315602708</v>
      </c>
      <c r="Z556" s="8">
        <v>46.487301158026476</v>
      </c>
      <c r="AA556" s="7">
        <v>31.032335446168769</v>
      </c>
      <c r="AB556" s="7">
        <v>15.94385165948664</v>
      </c>
      <c r="AC556" s="7">
        <v>0.77370834060373783</v>
      </c>
      <c r="AD556" s="7">
        <v>55.851877808576383</v>
      </c>
      <c r="AE556" s="7">
        <v>49.366194299211372</v>
      </c>
      <c r="AF556" s="8">
        <v>33.233787506153682</v>
      </c>
      <c r="AG556" s="8">
        <v>17.692374066515129</v>
      </c>
      <c r="AH556" s="8">
        <v>0.80934148057204713</v>
      </c>
      <c r="AI556" s="8">
        <v>57.592102265948427</v>
      </c>
      <c r="AJ556" s="8">
        <v>52.507726904045612</v>
      </c>
      <c r="AK556" s="8">
        <v>32.624850136169258</v>
      </c>
      <c r="AL556" s="8">
        <v>17.860767803539229</v>
      </c>
      <c r="AM556" s="8">
        <v>0.79478982244683627</v>
      </c>
      <c r="AN556" s="8">
        <v>57.69946063826508</v>
      </c>
      <c r="AO556" s="8">
        <v>52.193008855548122</v>
      </c>
      <c r="AP556" s="8">
        <v>33.002808109269587</v>
      </c>
      <c r="AQ556" s="8">
        <v>16.70776888775033</v>
      </c>
      <c r="AR556" s="8">
        <v>0.78220315590593748</v>
      </c>
      <c r="AS556" s="8">
        <v>58.031757885031688</v>
      </c>
      <c r="AT556" s="8">
        <v>52.632452835537137</v>
      </c>
      <c r="AU556" s="8">
        <v>29.58692261326204</v>
      </c>
      <c r="AV556" s="8">
        <v>17.53833773406442</v>
      </c>
      <c r="AW556" s="8">
        <v>0.75650668868546989</v>
      </c>
      <c r="AX556" s="8">
        <v>57.140770357569167</v>
      </c>
      <c r="AY556" s="8">
        <v>47.418656470794247</v>
      </c>
      <c r="AZ556" s="8">
        <v>32.49084643856277</v>
      </c>
      <c r="BA556" s="8">
        <v>18.595302433599102</v>
      </c>
      <c r="BB556" s="8">
        <v>0.78289286556464777</v>
      </c>
      <c r="BC556" s="8">
        <v>57.193944227769457</v>
      </c>
      <c r="BD556" s="8">
        <v>51.913126657629903</v>
      </c>
      <c r="BE556" s="8">
        <v>28.207284055447829</v>
      </c>
      <c r="BF556" s="8">
        <v>17.31392455544378</v>
      </c>
      <c r="BG556" s="8">
        <v>0.72915491042006708</v>
      </c>
      <c r="BH556" s="8">
        <v>55.712511184956192</v>
      </c>
      <c r="BI556" s="8">
        <v>46.66272686985571</v>
      </c>
    </row>
    <row r="557" spans="1:61" x14ac:dyDescent="0.15">
      <c r="A557" s="7">
        <v>2021</v>
      </c>
      <c r="B557" s="7">
        <v>132</v>
      </c>
      <c r="C557" s="7">
        <v>125.61985480706196</v>
      </c>
      <c r="D557" s="7">
        <v>98.196519591804901</v>
      </c>
      <c r="E557" s="8">
        <v>28.129032238613519</v>
      </c>
      <c r="F557" s="8">
        <v>21.703934070124191</v>
      </c>
      <c r="G557" s="8">
        <v>0.76696348720896679</v>
      </c>
      <c r="H557" s="8">
        <v>79.93877963924551</v>
      </c>
      <c r="I557" s="8">
        <v>62.40729579976022</v>
      </c>
      <c r="J557" s="8">
        <v>34.629612610733751</v>
      </c>
      <c r="K557" s="8">
        <v>22.359269292077698</v>
      </c>
      <c r="L557" s="8">
        <v>0.54912680109581558</v>
      </c>
      <c r="M557" s="8">
        <v>73.240534789888628</v>
      </c>
      <c r="N557" s="8">
        <v>86.091248152484368</v>
      </c>
      <c r="O557" s="8">
        <v>283.548</v>
      </c>
      <c r="P557" s="8">
        <v>269.83</v>
      </c>
      <c r="Q557" s="8">
        <v>86.49130000000001</v>
      </c>
      <c r="R557" s="8">
        <v>0.35022300000000001</v>
      </c>
      <c r="S557" s="8">
        <v>0.16133600000000001</v>
      </c>
      <c r="T557" s="7">
        <f>C557-D557</f>
        <v>27.423335215257055</v>
      </c>
      <c r="U557" s="8">
        <f>D557/C557</f>
        <v>0.78169585327593138</v>
      </c>
      <c r="V557" s="8">
        <v>34.763772302014324</v>
      </c>
      <c r="W557" s="8">
        <v>26.552237041094884</v>
      </c>
      <c r="X557" s="8">
        <v>0.51309665167689034</v>
      </c>
      <c r="Y557" s="8">
        <v>68.792695909212213</v>
      </c>
      <c r="Z557" s="8">
        <v>80.887338872677944</v>
      </c>
      <c r="AA557" s="7">
        <v>34.696692456374038</v>
      </c>
      <c r="AB557" s="7">
        <v>24.455753166586291</v>
      </c>
      <c r="AC557" s="7">
        <v>0.53111172638635296</v>
      </c>
      <c r="AD557" s="7">
        <v>71.01661534955042</v>
      </c>
      <c r="AE557" s="7">
        <v>83.489293512581156</v>
      </c>
      <c r="AF557" s="8">
        <v>34.145767223500187</v>
      </c>
      <c r="AG557" s="8">
        <v>21.0694498091101</v>
      </c>
      <c r="AH557" s="8">
        <v>0.55567588144031188</v>
      </c>
      <c r="AI557" s="8">
        <v>75.62393566898092</v>
      </c>
      <c r="AJ557" s="8">
        <v>87.874060490752385</v>
      </c>
      <c r="AK557" s="8">
        <v>34.706971371471333</v>
      </c>
      <c r="AL557" s="8">
        <v>22.56548979021666</v>
      </c>
      <c r="AM557" s="8">
        <v>0.54807971301191827</v>
      </c>
      <c r="AN557" s="8">
        <v>72.859468971732113</v>
      </c>
      <c r="AO557" s="8">
        <v>85.80620636691603</v>
      </c>
      <c r="AP557" s="8">
        <v>32.688358106746769</v>
      </c>
      <c r="AQ557" s="8">
        <v>23.32695467813193</v>
      </c>
      <c r="AR557" s="8">
        <v>0.44051001509071308</v>
      </c>
      <c r="AS557" s="8">
        <v>72.583266264485388</v>
      </c>
      <c r="AT557" s="8">
        <v>79.856114570169183</v>
      </c>
      <c r="AU557" s="8">
        <v>36.415593951545603</v>
      </c>
      <c r="AV557" s="8">
        <v>25.186599772900362</v>
      </c>
      <c r="AW557" s="8">
        <v>0.57129608388951569</v>
      </c>
      <c r="AX557" s="8">
        <v>69.685786792399142</v>
      </c>
      <c r="AY557" s="8">
        <v>86.664871299850944</v>
      </c>
      <c r="AZ557" s="8">
        <v>35.184394533245353</v>
      </c>
      <c r="BA557" s="8">
        <v>22.358442295826841</v>
      </c>
      <c r="BB557" s="8">
        <v>0.57724141088348913</v>
      </c>
      <c r="BC557" s="8">
        <v>73.636984491932481</v>
      </c>
      <c r="BD557" s="8">
        <v>88.355926115547689</v>
      </c>
      <c r="BE557" s="8">
        <v>33.867642105760673</v>
      </c>
      <c r="BF557" s="8">
        <v>26.997962765358061</v>
      </c>
      <c r="BG557" s="8">
        <v>0.57331574339991431</v>
      </c>
      <c r="BH557" s="8">
        <v>69.956901825585291</v>
      </c>
      <c r="BI557" s="8">
        <v>85.638552646874075</v>
      </c>
    </row>
    <row r="558" spans="1:61" x14ac:dyDescent="0.15">
      <c r="A558" s="7">
        <v>2017</v>
      </c>
      <c r="B558" s="7">
        <v>74</v>
      </c>
      <c r="C558" s="7">
        <v>21.047257397911043</v>
      </c>
      <c r="D558" s="7">
        <v>5.5712942736599587</v>
      </c>
      <c r="E558" s="8">
        <v>34.666679120297758</v>
      </c>
      <c r="F558" s="8">
        <v>19.840652252712069</v>
      </c>
      <c r="G558" s="8">
        <v>0.7671371210636283</v>
      </c>
      <c r="H558" s="8">
        <v>74.901224817148133</v>
      </c>
      <c r="I558" s="8">
        <v>55.195943518507981</v>
      </c>
      <c r="J558" s="8">
        <v>43.401636397266401</v>
      </c>
      <c r="K558" s="8">
        <v>22.80755585686207</v>
      </c>
      <c r="L558" s="8">
        <v>0.75795182225262547</v>
      </c>
      <c r="M558" s="8">
        <v>64.820877385124916</v>
      </c>
      <c r="N558" s="8">
        <v>66.153878611529677</v>
      </c>
      <c r="O558" s="8">
        <v>291.04599999999999</v>
      </c>
      <c r="P558" s="8">
        <v>286.78100000000001</v>
      </c>
      <c r="Q558" s="8">
        <v>99.6464</v>
      </c>
      <c r="R558" s="8">
        <v>-0.48893999999999999</v>
      </c>
      <c r="S558" s="8">
        <v>-0.51205500000000004</v>
      </c>
      <c r="T558" s="7">
        <f>C558-D558</f>
        <v>15.475963124251084</v>
      </c>
      <c r="U558" s="8">
        <f>D558/C558</f>
        <v>0.26470404995440944</v>
      </c>
      <c r="V558" s="8">
        <v>33.305923131978332</v>
      </c>
      <c r="W558" s="8">
        <v>20.164754831668649</v>
      </c>
      <c r="X558" s="8">
        <v>0.7911140109754583</v>
      </c>
      <c r="Y558" s="8">
        <v>74.697977775601643</v>
      </c>
      <c r="Z558" s="8">
        <v>53.097984159165108</v>
      </c>
      <c r="AA558" s="7">
        <v>38.353779764622367</v>
      </c>
      <c r="AB558" s="7">
        <v>21.486155344265359</v>
      </c>
      <c r="AC558" s="7">
        <v>0.77453291661404189</v>
      </c>
      <c r="AD558" s="7">
        <v>69.75942758036328</v>
      </c>
      <c r="AE558" s="7">
        <v>59.625931385347393</v>
      </c>
      <c r="AF558" s="8">
        <v>42.418951889717597</v>
      </c>
      <c r="AG558" s="8">
        <v>22.027818752923839</v>
      </c>
      <c r="AH558" s="8">
        <v>0.7254528959937977</v>
      </c>
      <c r="AI558" s="8">
        <v>64.124045967540525</v>
      </c>
      <c r="AJ558" s="8">
        <v>64.811759919014577</v>
      </c>
      <c r="AK558" s="8">
        <v>43.643245682105523</v>
      </c>
      <c r="AL558" s="8">
        <v>22.99926715646826</v>
      </c>
      <c r="AM558" s="8">
        <v>0.76594222229568798</v>
      </c>
      <c r="AN558" s="8">
        <v>64.992204946679692</v>
      </c>
      <c r="AO558" s="8">
        <v>66.483860752264377</v>
      </c>
      <c r="AP558" s="8">
        <v>41.572110419335097</v>
      </c>
      <c r="AQ558" s="8">
        <v>22.159098376656939</v>
      </c>
      <c r="AR558" s="8">
        <v>0.72685466345088534</v>
      </c>
      <c r="AS558" s="8">
        <v>63.990475378674631</v>
      </c>
      <c r="AT558" s="8">
        <v>64.345670279990003</v>
      </c>
      <c r="AU558" s="8">
        <v>37.94507318059609</v>
      </c>
      <c r="AV558" s="8">
        <v>22.766737539553649</v>
      </c>
      <c r="AW558" s="8">
        <v>0.80273780116093996</v>
      </c>
      <c r="AX558" s="8">
        <v>66.007352060782679</v>
      </c>
      <c r="AY558" s="8">
        <v>58.468748484897233</v>
      </c>
      <c r="AZ558" s="8">
        <v>44.714019694216049</v>
      </c>
      <c r="BA558" s="8">
        <v>25.445208261561731</v>
      </c>
      <c r="BB558" s="8">
        <v>0.82418108843991256</v>
      </c>
      <c r="BC558" s="8">
        <v>64.188641269448979</v>
      </c>
      <c r="BD558" s="8">
        <v>67.77103043942553</v>
      </c>
      <c r="BE558" s="8">
        <v>35.534465338307612</v>
      </c>
      <c r="BF558" s="8">
        <v>26.4853260994695</v>
      </c>
      <c r="BG558" s="8">
        <v>0.72654044278340368</v>
      </c>
      <c r="BH558" s="8">
        <v>65.997242735656371</v>
      </c>
      <c r="BI558" s="8">
        <v>59.893116699468557</v>
      </c>
    </row>
    <row r="559" spans="1:61" x14ac:dyDescent="0.15">
      <c r="A559" s="7">
        <v>2017</v>
      </c>
      <c r="B559" s="7">
        <v>66</v>
      </c>
      <c r="C559" s="7">
        <v>135.47922705599686</v>
      </c>
      <c r="D559" s="7">
        <v>49.979664556888565</v>
      </c>
      <c r="E559" s="8">
        <v>38.444152307847901</v>
      </c>
      <c r="F559" s="8">
        <v>27.803956422045712</v>
      </c>
      <c r="G559" s="8">
        <v>0.76740400535311482</v>
      </c>
      <c r="H559" s="8">
        <v>74.986876791931749</v>
      </c>
      <c r="I559" s="8">
        <v>70.987202063036577</v>
      </c>
      <c r="J559" s="8">
        <v>63.691292466426802</v>
      </c>
      <c r="K559" s="8">
        <v>44.839678671843238</v>
      </c>
      <c r="L559" s="8">
        <v>1.15710801432601</v>
      </c>
      <c r="M559" s="8">
        <v>69.38474877602745</v>
      </c>
      <c r="N559" s="8">
        <v>107.74117607998571</v>
      </c>
      <c r="O559" s="8">
        <v>287.67700000000002</v>
      </c>
      <c r="P559" s="8">
        <v>278.07900000000001</v>
      </c>
      <c r="Q559" s="8">
        <v>101.571</v>
      </c>
      <c r="R559" s="8">
        <v>-4.46094E-3</v>
      </c>
      <c r="S559" s="8">
        <v>0.48584300000000002</v>
      </c>
      <c r="T559" s="7">
        <f>C559-D559</f>
        <v>85.499562499108293</v>
      </c>
      <c r="U559" s="8">
        <f>D559/C559</f>
        <v>0.3689101690566241</v>
      </c>
      <c r="V559" s="8">
        <v>62.047883232705999</v>
      </c>
      <c r="W559" s="8">
        <v>44.469584012710776</v>
      </c>
      <c r="X559" s="8">
        <v>1.1781998288890521</v>
      </c>
      <c r="Y559" s="8">
        <v>67.48246454957696</v>
      </c>
      <c r="Z559" s="8">
        <v>100.4618279547017</v>
      </c>
      <c r="AA559" s="7">
        <v>62.8695878495664</v>
      </c>
      <c r="AB559" s="7">
        <v>44.654631342277007</v>
      </c>
      <c r="AC559" s="7">
        <v>1.167653921607531</v>
      </c>
      <c r="AD559" s="7">
        <v>68.433606662802205</v>
      </c>
      <c r="AE559" s="7">
        <v>104.10150201734371</v>
      </c>
      <c r="AF559" s="8">
        <v>62.010279467311861</v>
      </c>
      <c r="AG559" s="8">
        <v>45.161450719274903</v>
      </c>
      <c r="AH559" s="8">
        <v>1.1737700268349349</v>
      </c>
      <c r="AI559" s="8">
        <v>69.898930733630152</v>
      </c>
      <c r="AJ559" s="8">
        <v>106.5743951740313</v>
      </c>
      <c r="AK559" s="8">
        <v>63.959916654225083</v>
      </c>
      <c r="AL559" s="8">
        <v>44.788259822052659</v>
      </c>
      <c r="AM559" s="8">
        <v>1.1544454414728249</v>
      </c>
      <c r="AN559" s="8">
        <v>69.302583015968295</v>
      </c>
      <c r="AO559" s="8">
        <v>107.92762649611311</v>
      </c>
      <c r="AP559" s="8">
        <v>64.002296230508904</v>
      </c>
      <c r="AQ559" s="8">
        <v>45.435506448926638</v>
      </c>
      <c r="AR559" s="8">
        <v>1.1904915446854201</v>
      </c>
      <c r="AS559" s="8">
        <v>67.756811413001202</v>
      </c>
      <c r="AT559" s="8">
        <v>104.46102274583831</v>
      </c>
      <c r="AU559" s="8">
        <v>50.963718077010093</v>
      </c>
      <c r="AV559" s="8">
        <v>38.003145296309128</v>
      </c>
      <c r="AW559" s="8">
        <v>1.02004104474184</v>
      </c>
      <c r="AX559" s="8">
        <v>71.820153312584878</v>
      </c>
      <c r="AY559" s="8">
        <v>96.631261803989773</v>
      </c>
      <c r="AZ559" s="8">
        <v>62.630688124124518</v>
      </c>
      <c r="BA559" s="8">
        <v>44.578987596557887</v>
      </c>
      <c r="BB559" s="8">
        <v>1.1499714870847551</v>
      </c>
      <c r="BC559" s="8">
        <v>68.737593283005978</v>
      </c>
      <c r="BD559" s="8">
        <v>108.18942579519459</v>
      </c>
      <c r="BE559" s="8">
        <v>53.19499661055918</v>
      </c>
      <c r="BF559" s="8">
        <v>41.060444509956433</v>
      </c>
      <c r="BG559" s="8">
        <v>0.97557994151780669</v>
      </c>
      <c r="BH559" s="8">
        <v>70.168359715080669</v>
      </c>
      <c r="BI559" s="8">
        <v>97.405691218599316</v>
      </c>
    </row>
    <row r="560" spans="1:61" x14ac:dyDescent="0.15">
      <c r="A560" s="7">
        <v>2023</v>
      </c>
      <c r="B560" s="7">
        <v>113</v>
      </c>
      <c r="C560" s="9">
        <v>45.925496382137169</v>
      </c>
      <c r="D560" s="7">
        <v>2.1125854669952839</v>
      </c>
      <c r="E560" s="8">
        <v>21.726305387178289</v>
      </c>
      <c r="F560" s="8">
        <v>14.67731705035686</v>
      </c>
      <c r="G560" s="8">
        <v>0.76762619180667213</v>
      </c>
      <c r="H560" s="8">
        <v>49.47912910667371</v>
      </c>
      <c r="I560" s="8">
        <v>36.229368297611082</v>
      </c>
      <c r="J560" s="8">
        <v>22.90865305878344</v>
      </c>
      <c r="K560" s="8">
        <v>15.089224667265499</v>
      </c>
      <c r="L560" s="8">
        <v>0.69375942005204139</v>
      </c>
      <c r="M560" s="8">
        <v>50.203242963742923</v>
      </c>
      <c r="N560" s="8">
        <v>36.081850659038757</v>
      </c>
      <c r="O560" s="7">
        <v>292.29300000000001</v>
      </c>
      <c r="P560" s="7">
        <v>287.76100000000002</v>
      </c>
      <c r="Q560" s="7">
        <v>96.427600000000012</v>
      </c>
      <c r="R560" s="7">
        <v>-2.9304299999999998E-2</v>
      </c>
      <c r="S560" s="7">
        <v>-0.31916299999999997</v>
      </c>
      <c r="T560" s="7">
        <f>C560-D560</f>
        <v>43.812910915141885</v>
      </c>
      <c r="U560" s="8">
        <f>D560/C560</f>
        <v>4.6000275085039233E-2</v>
      </c>
      <c r="V560" s="8">
        <v>21.011708008382303</v>
      </c>
      <c r="W560" s="8">
        <v>13.90754546256464</v>
      </c>
      <c r="X560" s="8">
        <v>0.80220495101349099</v>
      </c>
      <c r="Y560" s="8">
        <v>49.538226950142914</v>
      </c>
      <c r="Z560" s="8">
        <v>35.626403879672488</v>
      </c>
      <c r="AA560" s="7">
        <v>21.960180533582871</v>
      </c>
      <c r="AB560" s="7">
        <v>14.49838506491507</v>
      </c>
      <c r="AC560" s="7">
        <v>0.74798218553276619</v>
      </c>
      <c r="AD560" s="7">
        <v>49.870734956942918</v>
      </c>
      <c r="AE560" s="7">
        <v>35.854127269355622</v>
      </c>
      <c r="AF560" s="8">
        <v>22.816023810428678</v>
      </c>
      <c r="AG560" s="8">
        <v>15.62540958377523</v>
      </c>
      <c r="AH560" s="8">
        <v>0.71159351011839655</v>
      </c>
      <c r="AI560" s="8">
        <v>49.73856186921325</v>
      </c>
      <c r="AJ560" s="8">
        <v>37.489077688145109</v>
      </c>
      <c r="AK560" s="8">
        <v>22.920939305381768</v>
      </c>
      <c r="AL560" s="8">
        <v>15.01810566086573</v>
      </c>
      <c r="AM560" s="8">
        <v>0.69139392500264807</v>
      </c>
      <c r="AN560" s="8">
        <v>50.264877777998457</v>
      </c>
      <c r="AO560" s="8">
        <v>35.895197538058767</v>
      </c>
      <c r="AP560" s="8">
        <v>22.615953462282729</v>
      </c>
      <c r="AQ560" s="8">
        <v>13.8359846598464</v>
      </c>
      <c r="AR560" s="8">
        <v>0.69569287928065582</v>
      </c>
      <c r="AS560" s="8">
        <v>50.840232192157863</v>
      </c>
      <c r="AT560" s="8">
        <v>34.602505862927693</v>
      </c>
      <c r="AU560" s="8">
        <v>20.474891621036161</v>
      </c>
      <c r="AV560" s="8">
        <v>13.030509372451361</v>
      </c>
      <c r="AW560" s="8">
        <v>0.66076928968926973</v>
      </c>
      <c r="AX560" s="8">
        <v>57.076001501354533</v>
      </c>
      <c r="AY560" s="8">
        <v>32.908953824271777</v>
      </c>
      <c r="AZ560" s="8">
        <v>23.801474831331809</v>
      </c>
      <c r="BA560" s="8">
        <v>16.307295315335288</v>
      </c>
      <c r="BB560" s="8">
        <v>0.6718098818705488</v>
      </c>
      <c r="BC560" s="8">
        <v>50.913766210374639</v>
      </c>
      <c r="BD560" s="8">
        <v>37.271432975416033</v>
      </c>
      <c r="BE560" s="8">
        <v>24.2156780982735</v>
      </c>
      <c r="BF560" s="8">
        <v>22.121701224633391</v>
      </c>
      <c r="BG560" s="8">
        <v>0.5787385582923581</v>
      </c>
      <c r="BH560" s="8">
        <v>52.110484453068487</v>
      </c>
      <c r="BI560" s="8">
        <v>45.459408993163898</v>
      </c>
    </row>
    <row r="561" spans="1:61" x14ac:dyDescent="0.15">
      <c r="A561" s="7">
        <v>2023</v>
      </c>
      <c r="B561" s="7">
        <v>77</v>
      </c>
      <c r="C561" s="9">
        <v>181.43542777775519</v>
      </c>
      <c r="D561" s="7">
        <v>51.797522098365704</v>
      </c>
      <c r="E561" s="8">
        <v>27.154107173908109</v>
      </c>
      <c r="F561" s="8">
        <v>30.259401771102919</v>
      </c>
      <c r="G561" s="8">
        <v>0.76782457860402975</v>
      </c>
      <c r="H561" s="8">
        <v>60.57559011420188</v>
      </c>
      <c r="I561" s="8">
        <v>53.711099736745147</v>
      </c>
      <c r="J561" s="8">
        <v>37.143517136736378</v>
      </c>
      <c r="K561" s="8">
        <v>27.634803029644289</v>
      </c>
      <c r="L561" s="8">
        <v>0.70508961398383585</v>
      </c>
      <c r="M561" s="8">
        <v>63.652690700153777</v>
      </c>
      <c r="N561" s="8">
        <v>72.290727680811358</v>
      </c>
      <c r="O561" s="7">
        <v>280.005</v>
      </c>
      <c r="P561" s="7">
        <v>268.88600000000002</v>
      </c>
      <c r="Q561" s="7">
        <v>88.661899999999989</v>
      </c>
      <c r="R561" s="7">
        <v>0.34222599999999997</v>
      </c>
      <c r="S561" s="7">
        <v>-0.37184299999999998</v>
      </c>
      <c r="T561" s="7">
        <f>C561-D561</f>
        <v>129.63790567938949</v>
      </c>
      <c r="U561" s="8">
        <f>D561/C561</f>
        <v>0.28548736447334744</v>
      </c>
      <c r="V561" s="8">
        <v>13.282476172498264</v>
      </c>
      <c r="W561" s="8">
        <v>14.223605236739374</v>
      </c>
      <c r="X561" s="8">
        <v>0.36972623158667939</v>
      </c>
      <c r="Y561" s="8">
        <v>68.776274641223125</v>
      </c>
      <c r="Z561" s="8">
        <v>39.410571004603895</v>
      </c>
      <c r="AA561" s="7">
        <v>25.212996654617321</v>
      </c>
      <c r="AB561" s="7">
        <v>20.929204133191831</v>
      </c>
      <c r="AC561" s="7">
        <v>0.53740792278525762</v>
      </c>
      <c r="AD561" s="7">
        <v>66.214482670688454</v>
      </c>
      <c r="AE561" s="7">
        <v>55.850649342707626</v>
      </c>
      <c r="AF561" s="8">
        <v>29.82166795722036</v>
      </c>
      <c r="AG561" s="8">
        <v>25.140559163850721</v>
      </c>
      <c r="AH561" s="8">
        <v>0.66808705448618777</v>
      </c>
      <c r="AI561" s="8">
        <v>65.123540210499087</v>
      </c>
      <c r="AJ561" s="8">
        <v>66.650839349513348</v>
      </c>
      <c r="AK561" s="8">
        <v>38.083958608416701</v>
      </c>
      <c r="AL561" s="8">
        <v>27.9551716024413</v>
      </c>
      <c r="AM561" s="8">
        <v>0.70984233978529898</v>
      </c>
      <c r="AN561" s="8">
        <v>63.463770135933572</v>
      </c>
      <c r="AO561" s="8">
        <v>73.015132780173019</v>
      </c>
      <c r="AP561" s="8">
        <v>40.313592879782803</v>
      </c>
      <c r="AQ561" s="8">
        <v>26.414994458916919</v>
      </c>
      <c r="AR561" s="8">
        <v>0.70567922986898168</v>
      </c>
      <c r="AS561" s="8">
        <v>60.101083039304108</v>
      </c>
      <c r="AT561" s="8">
        <v>74.94576314683421</v>
      </c>
      <c r="AU561" s="8">
        <v>27.958109093143559</v>
      </c>
      <c r="AV561" s="8">
        <v>22.216847517250191</v>
      </c>
      <c r="AW561" s="8">
        <v>0.57560321513454205</v>
      </c>
      <c r="AX561" s="8">
        <v>66.659562231020573</v>
      </c>
      <c r="AY561" s="8">
        <v>58.917275957399973</v>
      </c>
      <c r="AZ561" s="8">
        <v>39.561641374876572</v>
      </c>
      <c r="BA561" s="8">
        <v>28.170596147773669</v>
      </c>
      <c r="BB561" s="8">
        <v>0.72901541752357357</v>
      </c>
      <c r="BC561" s="8">
        <v>62.889652527054523</v>
      </c>
      <c r="BD561" s="8">
        <v>74.068740740669</v>
      </c>
      <c r="BE561" s="8">
        <v>19.319542452492769</v>
      </c>
      <c r="BF561" s="8">
        <v>17.687378585528641</v>
      </c>
      <c r="BG561" s="8">
        <v>0.43923099896654821</v>
      </c>
      <c r="BH561" s="8">
        <v>67.267279880007607</v>
      </c>
      <c r="BI561" s="8">
        <v>49.540685799250369</v>
      </c>
    </row>
    <row r="562" spans="1:61" x14ac:dyDescent="0.15">
      <c r="A562" s="7">
        <v>2019</v>
      </c>
      <c r="B562" s="7">
        <v>127</v>
      </c>
      <c r="C562" s="7">
        <v>40.589836903895254</v>
      </c>
      <c r="D562" s="7">
        <v>35.101738952873625</v>
      </c>
      <c r="E562" s="8">
        <v>34.336945708572941</v>
      </c>
      <c r="F562" s="8">
        <v>23.41863718157056</v>
      </c>
      <c r="G562" s="8">
        <v>0.76835127435742145</v>
      </c>
      <c r="H562" s="8">
        <v>61.575185038828522</v>
      </c>
      <c r="I562" s="8">
        <v>53.873492302302253</v>
      </c>
      <c r="J562" s="8">
        <v>34.76607548254367</v>
      </c>
      <c r="K562" s="8">
        <v>24.478410259121699</v>
      </c>
      <c r="L562" s="8">
        <v>0.69262547125186247</v>
      </c>
      <c r="M562" s="8">
        <v>55.851251133243181</v>
      </c>
      <c r="N562" s="8">
        <v>52.855285746543608</v>
      </c>
      <c r="O562" s="8">
        <v>290.77999999999997</v>
      </c>
      <c r="P562" s="8">
        <v>286.35300000000001</v>
      </c>
      <c r="Q562" s="8">
        <v>96.309600000000003</v>
      </c>
      <c r="R562" s="8">
        <v>-0.799732</v>
      </c>
      <c r="S562" s="8">
        <v>-0.79390000000000005</v>
      </c>
      <c r="T562" s="7">
        <f>C562-D562</f>
        <v>5.4880979510216292</v>
      </c>
      <c r="U562" s="8">
        <f>D562/C562</f>
        <v>0.86479132783864532</v>
      </c>
      <c r="V562" s="8">
        <v>33.711774053102417</v>
      </c>
      <c r="W562" s="8">
        <v>22.958093147697443</v>
      </c>
      <c r="X562" s="8">
        <v>0.73192048453111913</v>
      </c>
      <c r="Y562" s="8">
        <v>60.185398604307679</v>
      </c>
      <c r="Z562" s="8">
        <v>52.496987847759307</v>
      </c>
      <c r="AA562" s="7">
        <v>34.238924767823043</v>
      </c>
      <c r="AB562" s="7">
        <v>23.718251703409571</v>
      </c>
      <c r="AC562" s="7">
        <v>0.7122729778914908</v>
      </c>
      <c r="AD562" s="7">
        <v>58.01832486877543</v>
      </c>
      <c r="AE562" s="7">
        <v>52.676136797151457</v>
      </c>
      <c r="AF562" s="8">
        <v>35.441174356990231</v>
      </c>
      <c r="AG562" s="8">
        <v>23.822965677429821</v>
      </c>
      <c r="AH562" s="8">
        <v>0.71243212609101159</v>
      </c>
      <c r="AI562" s="8">
        <v>56.695631180680863</v>
      </c>
      <c r="AJ562" s="8">
        <v>53.220166435276937</v>
      </c>
      <c r="AK562" s="8">
        <v>34.646364855190832</v>
      </c>
      <c r="AL562" s="8">
        <v>24.594635726292989</v>
      </c>
      <c r="AM562" s="8">
        <v>0.68911329375267816</v>
      </c>
      <c r="AN562" s="8">
        <v>55.701523042989947</v>
      </c>
      <c r="AO562" s="8">
        <v>52.790583970536318</v>
      </c>
      <c r="AP562" s="8">
        <v>34.154515718717832</v>
      </c>
      <c r="AQ562" s="8">
        <v>23.660454830175141</v>
      </c>
      <c r="AR562" s="8">
        <v>0.6984503745290872</v>
      </c>
      <c r="AS562" s="8">
        <v>57.588481292846303</v>
      </c>
      <c r="AT562" s="8">
        <v>52.387087778089253</v>
      </c>
      <c r="AU562" s="8">
        <v>32.58434632921022</v>
      </c>
      <c r="AV562" s="8">
        <v>30.818055254664451</v>
      </c>
      <c r="AW562" s="8">
        <v>0.60750006171140147</v>
      </c>
      <c r="AX562" s="8">
        <v>60.34051497124311</v>
      </c>
      <c r="AY562" s="8">
        <v>56.181605781256572</v>
      </c>
      <c r="AZ562" s="8">
        <v>34.806249465777277</v>
      </c>
      <c r="BA562" s="8">
        <v>26.951841441513508</v>
      </c>
      <c r="BB562" s="8">
        <v>0.68499610815191159</v>
      </c>
      <c r="BC562" s="8">
        <v>54.867326306778722</v>
      </c>
      <c r="BD562" s="8">
        <v>54.115119333277718</v>
      </c>
      <c r="BE562" s="8">
        <v>32.366749953498363</v>
      </c>
      <c r="BF562" s="8">
        <v>31.529558699077601</v>
      </c>
      <c r="BG562" s="8">
        <v>0.57613437213549767</v>
      </c>
      <c r="BH562" s="8">
        <v>63.132684899073674</v>
      </c>
      <c r="BI562" s="8">
        <v>58.556842555859333</v>
      </c>
    </row>
    <row r="563" spans="1:61" x14ac:dyDescent="0.15">
      <c r="A563" s="7">
        <v>2019</v>
      </c>
      <c r="B563" s="7">
        <v>138</v>
      </c>
      <c r="C563" s="7">
        <v>23.56298441936028</v>
      </c>
      <c r="D563" s="7">
        <v>19.954284966174519</v>
      </c>
      <c r="E563" s="8">
        <v>36.08319774393108</v>
      </c>
      <c r="F563" s="8">
        <v>29.989509619871772</v>
      </c>
      <c r="G563" s="8">
        <v>0.76864862716575932</v>
      </c>
      <c r="H563" s="8">
        <v>80.559267122730603</v>
      </c>
      <c r="I563" s="8">
        <v>73.827657496391154</v>
      </c>
      <c r="J563" s="8">
        <v>36.380560930476427</v>
      </c>
      <c r="K563" s="8">
        <v>36.408812759187953</v>
      </c>
      <c r="L563" s="8">
        <v>0.92120086478369645</v>
      </c>
      <c r="M563" s="8">
        <v>64.213572729506922</v>
      </c>
      <c r="N563" s="8">
        <v>80.86077117778666</v>
      </c>
      <c r="O563" s="8">
        <v>282.87</v>
      </c>
      <c r="P563" s="8">
        <v>271.66199999999998</v>
      </c>
      <c r="Q563" s="8">
        <v>87.69319999999999</v>
      </c>
      <c r="R563" s="8">
        <v>0.41600300000000001</v>
      </c>
      <c r="S563" s="8">
        <v>-4.58961E-3</v>
      </c>
      <c r="T563" s="7">
        <f>C563-D563</f>
        <v>3.6086994531857606</v>
      </c>
      <c r="U563" s="8">
        <f>D563/C563</f>
        <v>0.84684879517126399</v>
      </c>
      <c r="V563" s="8">
        <v>31.623081537770879</v>
      </c>
      <c r="W563" s="8">
        <v>32.663505477050691</v>
      </c>
      <c r="X563" s="8">
        <v>0.80746645847043963</v>
      </c>
      <c r="Y563" s="8">
        <v>73.221131012401401</v>
      </c>
      <c r="Z563" s="8">
        <v>72.814956232443876</v>
      </c>
      <c r="AA563" s="7">
        <v>34.001821234123653</v>
      </c>
      <c r="AB563" s="7">
        <v>34.536159118119322</v>
      </c>
      <c r="AC563" s="7">
        <v>0.86433366162706804</v>
      </c>
      <c r="AD563" s="7">
        <v>68.717351870954161</v>
      </c>
      <c r="AE563" s="7">
        <v>76.837863705115268</v>
      </c>
      <c r="AF563" s="8">
        <v>35.867847084166243</v>
      </c>
      <c r="AG563" s="8">
        <v>34.155928349004327</v>
      </c>
      <c r="AH563" s="8">
        <v>0.9048265074222408</v>
      </c>
      <c r="AI563" s="8">
        <v>66.057879042090136</v>
      </c>
      <c r="AJ563" s="8">
        <v>80.318125182905703</v>
      </c>
      <c r="AK563" s="8">
        <v>36.466196191927857</v>
      </c>
      <c r="AL563" s="8">
        <v>36.785097399976017</v>
      </c>
      <c r="AM563" s="8">
        <v>0.92393576727138704</v>
      </c>
      <c r="AN563" s="8">
        <v>63.905530232876117</v>
      </c>
      <c r="AO563" s="8">
        <v>80.951405811474885</v>
      </c>
      <c r="AP563" s="8">
        <v>33.235796460177752</v>
      </c>
      <c r="AQ563" s="8">
        <v>38.140116538622188</v>
      </c>
      <c r="AR563" s="8">
        <v>0.90059201962599844</v>
      </c>
      <c r="AS563" s="8">
        <v>63.882248227357088</v>
      </c>
      <c r="AT563" s="8">
        <v>76.208779001429477</v>
      </c>
      <c r="AU563" s="8">
        <v>32.54302034294674</v>
      </c>
      <c r="AV563" s="8">
        <v>34.939235616059577</v>
      </c>
      <c r="AW563" s="8">
        <v>0.89683500868430543</v>
      </c>
      <c r="AX563" s="8">
        <v>64.596650276488859</v>
      </c>
      <c r="AY563" s="8">
        <v>78.375210582140099</v>
      </c>
      <c r="AZ563" s="8">
        <v>42.103910755001522</v>
      </c>
      <c r="BA563" s="8">
        <v>38.1830590545365</v>
      </c>
      <c r="BB563" s="8">
        <v>0.97572678367676047</v>
      </c>
      <c r="BC563" s="8">
        <v>65.097350774959921</v>
      </c>
      <c r="BD563" s="8">
        <v>85.142822623480129</v>
      </c>
      <c r="BE563" s="8">
        <v>39.897492649273453</v>
      </c>
      <c r="BF563" s="8">
        <v>35.21258510120186</v>
      </c>
      <c r="BG563" s="8">
        <v>0.90166404835053737</v>
      </c>
      <c r="BH563" s="8">
        <v>64.617438179488332</v>
      </c>
      <c r="BI563" s="8">
        <v>86.820121779591219</v>
      </c>
    </row>
    <row r="564" spans="1:61" x14ac:dyDescent="0.15">
      <c r="A564" s="7">
        <v>2020</v>
      </c>
      <c r="B564" s="7">
        <v>35</v>
      </c>
      <c r="C564" s="7">
        <v>92.911749560459342</v>
      </c>
      <c r="D564" s="7">
        <v>32.018661564383741</v>
      </c>
      <c r="E564" s="8">
        <v>39.968048462082727</v>
      </c>
      <c r="F564" s="8">
        <v>29.52073768481625</v>
      </c>
      <c r="G564" s="8">
        <v>0.76882149412075063</v>
      </c>
      <c r="H564" s="8">
        <v>69.811376711640946</v>
      </c>
      <c r="I564" s="8">
        <v>64.647007285184415</v>
      </c>
      <c r="J564" s="8">
        <v>43.804302608606193</v>
      </c>
      <c r="K564" s="8">
        <v>28.124473551190739</v>
      </c>
      <c r="L564" s="8">
        <v>0.81864661751931567</v>
      </c>
      <c r="M564" s="8">
        <v>75.244413873818417</v>
      </c>
      <c r="N564" s="8">
        <v>75.536334631050252</v>
      </c>
      <c r="O564" s="8">
        <v>287.09800000000001</v>
      </c>
      <c r="P564" s="8">
        <v>279.91699999999997</v>
      </c>
      <c r="Q564" s="8">
        <v>100.575</v>
      </c>
      <c r="R564" s="8">
        <v>0.18335099999999999</v>
      </c>
      <c r="S564" s="8">
        <v>7.5548000000000004E-2</v>
      </c>
      <c r="T564" s="7">
        <f>C564-D564</f>
        <v>60.8930879960756</v>
      </c>
      <c r="U564" s="8">
        <f>D564/C564</f>
        <v>0.34461369757706073</v>
      </c>
      <c r="V564" s="8">
        <v>38.987066637819922</v>
      </c>
      <c r="W564" s="8">
        <v>29.269926100079964</v>
      </c>
      <c r="X564" s="8">
        <v>0.78001238804265305</v>
      </c>
      <c r="Y564" s="8">
        <v>69.762159962224729</v>
      </c>
      <c r="Z564" s="8">
        <v>70.913532699040459</v>
      </c>
      <c r="AA564" s="7">
        <v>41.395684623213057</v>
      </c>
      <c r="AB564" s="7">
        <v>28.697199825635352</v>
      </c>
      <c r="AC564" s="7">
        <v>0.79932950278098436</v>
      </c>
      <c r="AD564" s="7">
        <v>72.503286918021573</v>
      </c>
      <c r="AE564" s="7">
        <v>73.224933665045356</v>
      </c>
      <c r="AF564" s="8">
        <v>42.994041975574653</v>
      </c>
      <c r="AG564" s="8">
        <v>26.99613954658269</v>
      </c>
      <c r="AH564" s="8">
        <v>0.77895621176076169</v>
      </c>
      <c r="AI564" s="8">
        <v>77.355795378786823</v>
      </c>
      <c r="AJ564" s="8">
        <v>70.455448257168015</v>
      </c>
      <c r="AK564" s="8">
        <v>43.853684665870652</v>
      </c>
      <c r="AL564" s="8">
        <v>28.193240873898379</v>
      </c>
      <c r="AM564" s="8">
        <v>0.82106558471347035</v>
      </c>
      <c r="AN564" s="8">
        <v>75.115733844041628</v>
      </c>
      <c r="AO564" s="8">
        <v>75.845993784711027</v>
      </c>
      <c r="AP564" s="8">
        <v>40.677405070461703</v>
      </c>
      <c r="AQ564" s="8">
        <v>28.28984134457642</v>
      </c>
      <c r="AR564" s="8">
        <v>0.78202764360476706</v>
      </c>
      <c r="AS564" s="8">
        <v>72.088568170199665</v>
      </c>
      <c r="AT564" s="8">
        <v>72.550043678798673</v>
      </c>
      <c r="AU564" s="8">
        <v>38.718755053833497</v>
      </c>
      <c r="AV564" s="8">
        <v>26.595242615837488</v>
      </c>
      <c r="AW564" s="8">
        <v>0.80499348520422431</v>
      </c>
      <c r="AX564" s="8">
        <v>72.369971005473076</v>
      </c>
      <c r="AY564" s="8">
        <v>74.303982049657066</v>
      </c>
      <c r="AZ564" s="8">
        <v>43.793479835626719</v>
      </c>
      <c r="BA564" s="8">
        <v>28.5450265011524</v>
      </c>
      <c r="BB564" s="8">
        <v>0.83597639310749527</v>
      </c>
      <c r="BC564" s="8">
        <v>74.777827934751457</v>
      </c>
      <c r="BD564" s="8">
        <v>78.356331434535718</v>
      </c>
      <c r="BE564" s="8">
        <v>44.77475053813702</v>
      </c>
      <c r="BF564" s="8">
        <v>35.138779593674613</v>
      </c>
      <c r="BG564" s="8">
        <v>0.84058398635644327</v>
      </c>
      <c r="BH564" s="8">
        <v>72.062686663361674</v>
      </c>
      <c r="BI564" s="8">
        <v>74.514851183807338</v>
      </c>
    </row>
    <row r="565" spans="1:61" x14ac:dyDescent="0.15">
      <c r="A565" s="7">
        <v>2020</v>
      </c>
      <c r="B565" s="7">
        <v>46</v>
      </c>
      <c r="C565" s="7">
        <v>172.33970502760425</v>
      </c>
      <c r="D565" s="7">
        <v>120.24782918658039</v>
      </c>
      <c r="E565" s="8">
        <v>39.82312227005626</v>
      </c>
      <c r="F565" s="8">
        <v>28.091355301789601</v>
      </c>
      <c r="G565" s="8">
        <v>0.76956875708279038</v>
      </c>
      <c r="H565" s="8">
        <v>72.001054621713152</v>
      </c>
      <c r="I565" s="8">
        <v>64.025490490314652</v>
      </c>
      <c r="J565" s="8">
        <v>44.274220796567228</v>
      </c>
      <c r="K565" s="8">
        <v>27.26675579244057</v>
      </c>
      <c r="L565" s="8">
        <v>0.70892899234741247</v>
      </c>
      <c r="M565" s="8">
        <v>74.178643317991927</v>
      </c>
      <c r="N565" s="8">
        <v>78.001906867811769</v>
      </c>
      <c r="O565" s="8">
        <v>287.03100000000001</v>
      </c>
      <c r="P565" s="8">
        <v>280.815</v>
      </c>
      <c r="Q565" s="8">
        <v>99.561000000000007</v>
      </c>
      <c r="R565" s="8">
        <v>-0.17882300000000001</v>
      </c>
      <c r="S565" s="8">
        <v>-5.0424200000000002E-2</v>
      </c>
      <c r="T565" s="7">
        <f>C565-D565</f>
        <v>52.091875841023864</v>
      </c>
      <c r="U565" s="8">
        <f>D565/C565</f>
        <v>0.69773723453524461</v>
      </c>
      <c r="V565" s="8">
        <v>35.614274311052718</v>
      </c>
      <c r="W565" s="8">
        <v>25.073591431306632</v>
      </c>
      <c r="X565" s="8">
        <v>0.69173836002855715</v>
      </c>
      <c r="Y565" s="8">
        <v>72.788081226559669</v>
      </c>
      <c r="Z565" s="8">
        <v>66.923342898025865</v>
      </c>
      <c r="AA565" s="7">
        <v>39.944247553809973</v>
      </c>
      <c r="AB565" s="7">
        <v>26.170173611873601</v>
      </c>
      <c r="AC565" s="7">
        <v>0.70033367618798481</v>
      </c>
      <c r="AD565" s="7">
        <v>73.483362272275798</v>
      </c>
      <c r="AE565" s="7">
        <v>72.462624882918817</v>
      </c>
      <c r="AF565" s="8">
        <v>43.628024271885117</v>
      </c>
      <c r="AG565" s="8">
        <v>26.0407349574497</v>
      </c>
      <c r="AH565" s="8">
        <v>0.69352164351571233</v>
      </c>
      <c r="AI565" s="8">
        <v>76.71601211585228</v>
      </c>
      <c r="AJ565" s="8">
        <v>75.24096256942795</v>
      </c>
      <c r="AK565" s="8">
        <v>44.322189230200337</v>
      </c>
      <c r="AL565" s="8">
        <v>27.35776572024076</v>
      </c>
      <c r="AM565" s="8">
        <v>0.71007271002719896</v>
      </c>
      <c r="AN565" s="8">
        <v>73.990289462571965</v>
      </c>
      <c r="AO565" s="8">
        <v>78.206857170518632</v>
      </c>
      <c r="AP565" s="8">
        <v>38.65153828524285</v>
      </c>
      <c r="AQ565" s="8">
        <v>25.410142667958791</v>
      </c>
      <c r="AR565" s="8">
        <v>0.69048099887583514</v>
      </c>
      <c r="AS565" s="8">
        <v>73.698295785514077</v>
      </c>
      <c r="AT565" s="8">
        <v>71.280084357176179</v>
      </c>
      <c r="AU565" s="8">
        <v>35.309519362559833</v>
      </c>
      <c r="AV565" s="8">
        <v>24.100056913591359</v>
      </c>
      <c r="AW565" s="8">
        <v>0.69347719173855071</v>
      </c>
      <c r="AX565" s="8">
        <v>74.05761657040928</v>
      </c>
      <c r="AY565" s="8">
        <v>71.499099369246622</v>
      </c>
      <c r="AZ565" s="8">
        <v>44.669051464826893</v>
      </c>
      <c r="BA565" s="8">
        <v>27.900468599885532</v>
      </c>
      <c r="BB565" s="8">
        <v>0.70830599358700841</v>
      </c>
      <c r="BC565" s="8">
        <v>73.290711976860337</v>
      </c>
      <c r="BD565" s="8">
        <v>79.379889096352287</v>
      </c>
      <c r="BE565" s="8">
        <v>43.363647021531747</v>
      </c>
      <c r="BF565" s="8">
        <v>30.95957384291502</v>
      </c>
      <c r="BG565" s="8">
        <v>0.82429396032815216</v>
      </c>
      <c r="BH565" s="8">
        <v>72.678449840131648</v>
      </c>
      <c r="BI565" s="8">
        <v>82.390464070649003</v>
      </c>
    </row>
    <row r="566" spans="1:61" x14ac:dyDescent="0.15">
      <c r="A566" s="7">
        <v>2018</v>
      </c>
      <c r="B566" s="7">
        <v>41</v>
      </c>
      <c r="C566" s="7">
        <v>19.716002966392541</v>
      </c>
      <c r="D566" s="7">
        <v>10.912960913211931</v>
      </c>
      <c r="E566" s="8">
        <v>32.982159403337242</v>
      </c>
      <c r="F566" s="8">
        <v>32.286005259973621</v>
      </c>
      <c r="G566" s="8">
        <v>0.76993408802485874</v>
      </c>
      <c r="H566" s="8">
        <v>57.112713072602737</v>
      </c>
      <c r="I566" s="8">
        <v>50.642373539934248</v>
      </c>
      <c r="J566" s="8">
        <v>37.816806806560891</v>
      </c>
      <c r="K566" s="8">
        <v>35.286391788172402</v>
      </c>
      <c r="L566" s="8">
        <v>0.8278579576432441</v>
      </c>
      <c r="M566" s="8">
        <v>67.395076648402053</v>
      </c>
      <c r="N566" s="8">
        <v>57.970938760892579</v>
      </c>
      <c r="O566" s="8">
        <v>291.05</v>
      </c>
      <c r="P566" s="8">
        <v>286.64</v>
      </c>
      <c r="Q566" s="8">
        <v>101.511</v>
      </c>
      <c r="R566" s="8">
        <v>-0.94202300000000005</v>
      </c>
      <c r="S566" s="8">
        <v>-0.41344700000000001</v>
      </c>
      <c r="T566" s="7">
        <f>C566-D566</f>
        <v>8.8030420531806097</v>
      </c>
      <c r="U566" s="8">
        <f>D566/C566</f>
        <v>0.55350777395468653</v>
      </c>
      <c r="V566" s="8">
        <v>38.442408534813069</v>
      </c>
      <c r="W566" s="8">
        <v>31.831636437495739</v>
      </c>
      <c r="X566" s="8">
        <v>0.92059022756582931</v>
      </c>
      <c r="Y566" s="8">
        <v>66.477428322697463</v>
      </c>
      <c r="Z566" s="8">
        <v>53.096964379968156</v>
      </c>
      <c r="AA566" s="7">
        <v>38.12960767068698</v>
      </c>
      <c r="AB566" s="7">
        <v>33.55901411283407</v>
      </c>
      <c r="AC566" s="7">
        <v>0.87422409260453671</v>
      </c>
      <c r="AD566" s="7">
        <v>66.936252485549758</v>
      </c>
      <c r="AE566" s="7">
        <v>55.533951570430368</v>
      </c>
      <c r="AF566" s="8">
        <v>37.615718153382822</v>
      </c>
      <c r="AG566" s="8">
        <v>37.253040463693928</v>
      </c>
      <c r="AH566" s="8">
        <v>0.8313502612148681</v>
      </c>
      <c r="AI566" s="8">
        <v>66.614518825195418</v>
      </c>
      <c r="AJ566" s="8">
        <v>57.009975057122531</v>
      </c>
      <c r="AK566" s="8">
        <v>37.84704167194576</v>
      </c>
      <c r="AL566" s="8">
        <v>34.990694557006073</v>
      </c>
      <c r="AM566" s="8">
        <v>0.827332869197415</v>
      </c>
      <c r="AN566" s="8">
        <v>67.512438122243438</v>
      </c>
      <c r="AO566" s="8">
        <v>58.115425323232337</v>
      </c>
      <c r="AP566" s="8">
        <v>37.969987283941819</v>
      </c>
      <c r="AQ566" s="8">
        <v>33.510515873239562</v>
      </c>
      <c r="AR566" s="8">
        <v>0.83643353707908197</v>
      </c>
      <c r="AS566" s="8">
        <v>65.772874987594946</v>
      </c>
      <c r="AT566" s="8">
        <v>56.3008238048997</v>
      </c>
      <c r="AU566" s="8">
        <v>36.434520215081861</v>
      </c>
      <c r="AV566" s="8">
        <v>28.863914987203621</v>
      </c>
      <c r="AW566" s="8">
        <v>0.77573368480882943</v>
      </c>
      <c r="AX566" s="8">
        <v>69.182588397211234</v>
      </c>
      <c r="AY566" s="8">
        <v>59.176911118475317</v>
      </c>
      <c r="AZ566" s="8">
        <v>38.120972579988447</v>
      </c>
      <c r="BA566" s="8">
        <v>33.892462633984621</v>
      </c>
      <c r="BB566" s="8">
        <v>0.83946724815806784</v>
      </c>
      <c r="BC566" s="8">
        <v>67.766528466512369</v>
      </c>
      <c r="BD566" s="8">
        <v>59.448137113718772</v>
      </c>
      <c r="BE566" s="8">
        <v>46.741542740751029</v>
      </c>
      <c r="BF566" s="8">
        <v>39.808587409781111</v>
      </c>
      <c r="BG566" s="8">
        <v>0.80334935550655318</v>
      </c>
      <c r="BH566" s="8">
        <v>72.212729323927789</v>
      </c>
      <c r="BI566" s="8">
        <v>67.880727546359068</v>
      </c>
    </row>
    <row r="567" spans="1:61" x14ac:dyDescent="0.15">
      <c r="A567" s="7">
        <v>2020</v>
      </c>
      <c r="B567" s="7">
        <v>28</v>
      </c>
      <c r="C567" s="7">
        <v>100.80595107992009</v>
      </c>
      <c r="D567" s="7">
        <v>57.376918779549207</v>
      </c>
      <c r="E567" s="8">
        <v>40.709178453611372</v>
      </c>
      <c r="F567" s="8">
        <v>26.7394327640189</v>
      </c>
      <c r="G567" s="8">
        <v>0.77013742681782027</v>
      </c>
      <c r="H567" s="8">
        <v>74.169531462890703</v>
      </c>
      <c r="I567" s="8">
        <v>58.585002988888739</v>
      </c>
      <c r="J567" s="8">
        <v>47.406059816469117</v>
      </c>
      <c r="K567" s="8">
        <v>27.12822196680332</v>
      </c>
      <c r="L567" s="8">
        <v>0.72602548945051093</v>
      </c>
      <c r="M567" s="8">
        <v>73.781757020621569</v>
      </c>
      <c r="N567" s="8">
        <v>74.964553595576035</v>
      </c>
      <c r="O567" s="8">
        <v>288.65199999999999</v>
      </c>
      <c r="P567" s="8">
        <v>282.56700000000001</v>
      </c>
      <c r="Q567" s="8">
        <v>101.15600000000001</v>
      </c>
      <c r="R567" s="8">
        <v>-0.616892</v>
      </c>
      <c r="S567" s="8">
        <v>1.2346899999999999E-2</v>
      </c>
      <c r="T567" s="7">
        <f>C567-D567</f>
        <v>43.429032300370885</v>
      </c>
      <c r="U567" s="8">
        <f>D567/C567</f>
        <v>0.56918186044453012</v>
      </c>
      <c r="V567" s="8">
        <v>41.11411233322972</v>
      </c>
      <c r="W567" s="8">
        <v>31.878297412082819</v>
      </c>
      <c r="X567" s="8">
        <v>0.81249352665348185</v>
      </c>
      <c r="Y567" s="8">
        <v>69.878078142878365</v>
      </c>
      <c r="Z567" s="8">
        <v>63.017434289279322</v>
      </c>
      <c r="AA567" s="7">
        <v>44.260086074849418</v>
      </c>
      <c r="AB567" s="7">
        <v>29.50325968944307</v>
      </c>
      <c r="AC567" s="7">
        <v>0.76925950805199639</v>
      </c>
      <c r="AD567" s="7">
        <v>71.829917581749967</v>
      </c>
      <c r="AE567" s="7">
        <v>68.990993942427679</v>
      </c>
      <c r="AF567" s="8">
        <v>44.642824155862733</v>
      </c>
      <c r="AG567" s="8">
        <v>25.250514388807119</v>
      </c>
      <c r="AH567" s="8">
        <v>0.72538798542877203</v>
      </c>
      <c r="AI567" s="8">
        <v>75.427949962439968</v>
      </c>
      <c r="AJ567" s="8">
        <v>69.590997378257882</v>
      </c>
      <c r="AK567" s="8">
        <v>47.698468450909189</v>
      </c>
      <c r="AL567" s="8">
        <v>27.32692304633381</v>
      </c>
      <c r="AM567" s="8">
        <v>0.72609295082671732</v>
      </c>
      <c r="AN567" s="8">
        <v>73.607555074329227</v>
      </c>
      <c r="AO567" s="8">
        <v>75.533189220106195</v>
      </c>
      <c r="AP567" s="8">
        <v>43.059388279250427</v>
      </c>
      <c r="AQ567" s="8">
        <v>29.97438344721122</v>
      </c>
      <c r="AR567" s="8">
        <v>0.78432656033098891</v>
      </c>
      <c r="AS567" s="8">
        <v>71.615294160711031</v>
      </c>
      <c r="AT567" s="8">
        <v>66.493890201882579</v>
      </c>
      <c r="AU567" s="8">
        <v>44.392047998703852</v>
      </c>
      <c r="AV567" s="8">
        <v>26.625192114344141</v>
      </c>
      <c r="AW567" s="8">
        <v>0.6981414875872094</v>
      </c>
      <c r="AX567" s="8">
        <v>71.850438270270118</v>
      </c>
      <c r="AY567" s="8">
        <v>73.814146650697808</v>
      </c>
      <c r="AZ567" s="8">
        <v>47.876685170966653</v>
      </c>
      <c r="BA567" s="8">
        <v>27.808479585732659</v>
      </c>
      <c r="BB567" s="8">
        <v>0.72703564357156336</v>
      </c>
      <c r="BC567" s="8">
        <v>72.372682580731833</v>
      </c>
      <c r="BD567" s="8">
        <v>76.545403729478735</v>
      </c>
      <c r="BE567" s="8">
        <v>47.716534146981829</v>
      </c>
      <c r="BF567" s="8">
        <v>32.46740102048404</v>
      </c>
      <c r="BG567" s="8">
        <v>0.74688521313198353</v>
      </c>
      <c r="BH567" s="8">
        <v>67.795747460174084</v>
      </c>
      <c r="BI567" s="8">
        <v>84.385580191393274</v>
      </c>
    </row>
    <row r="568" spans="1:61" x14ac:dyDescent="0.15">
      <c r="A568" s="7">
        <v>2018</v>
      </c>
      <c r="B568" s="7">
        <v>93</v>
      </c>
      <c r="C568" s="7">
        <v>34.051984378489337</v>
      </c>
      <c r="D568" s="7">
        <v>5.3521040611714072</v>
      </c>
      <c r="E568" s="8">
        <v>29.997664094960491</v>
      </c>
      <c r="F568" s="8">
        <v>16.390953232459822</v>
      </c>
      <c r="G568" s="8">
        <v>0.77126781202441286</v>
      </c>
      <c r="H568" s="8">
        <v>68.610089809577673</v>
      </c>
      <c r="I568" s="8">
        <v>48.72239103574158</v>
      </c>
      <c r="J568" s="8">
        <v>36.201158008461071</v>
      </c>
      <c r="K568" s="8">
        <v>19.510697215356899</v>
      </c>
      <c r="L568" s="8">
        <v>0.78580888626535572</v>
      </c>
      <c r="M568" s="8">
        <v>64.533025460565</v>
      </c>
      <c r="N568" s="8">
        <v>56.348542298908342</v>
      </c>
      <c r="O568" s="8">
        <v>291.56599999999997</v>
      </c>
      <c r="P568" s="8">
        <v>287.02</v>
      </c>
      <c r="Q568" s="8">
        <v>99.00739999999999</v>
      </c>
      <c r="R568" s="8">
        <v>-0.44305499999999998</v>
      </c>
      <c r="S568" s="8">
        <v>-0.60842099999999999</v>
      </c>
      <c r="T568" s="7">
        <f>C568-D568</f>
        <v>28.69988031731793</v>
      </c>
      <c r="U568" s="8">
        <f>D568/C568</f>
        <v>0.15717451299408958</v>
      </c>
      <c r="V568" s="8">
        <v>28.641856814832273</v>
      </c>
      <c r="W568" s="8">
        <v>16.251909302447402</v>
      </c>
      <c r="X568" s="8">
        <v>0.74525050218643074</v>
      </c>
      <c r="Y568" s="8">
        <v>67.909568084042263</v>
      </c>
      <c r="Z568" s="8">
        <v>46.350659410396503</v>
      </c>
      <c r="AA568" s="7">
        <v>32.421507411646672</v>
      </c>
      <c r="AB568" s="7">
        <v>17.88130325890215</v>
      </c>
      <c r="AC568" s="7">
        <v>0.76552969422589323</v>
      </c>
      <c r="AD568" s="7">
        <v>66.221296772303631</v>
      </c>
      <c r="AE568" s="7">
        <v>51.349600854652422</v>
      </c>
      <c r="AF568" s="8">
        <v>37.291063933481439</v>
      </c>
      <c r="AG568" s="8">
        <v>20.073774066411531</v>
      </c>
      <c r="AH568" s="8">
        <v>0.80482024170521982</v>
      </c>
      <c r="AI568" s="8">
        <v>62.817049454339241</v>
      </c>
      <c r="AJ568" s="8">
        <v>56.614404980825682</v>
      </c>
      <c r="AK568" s="8">
        <v>35.970891744765311</v>
      </c>
      <c r="AL568" s="8">
        <v>19.391735018997149</v>
      </c>
      <c r="AM568" s="8">
        <v>0.78179232512513808</v>
      </c>
      <c r="AN568" s="8">
        <v>64.895562606638208</v>
      </c>
      <c r="AO568" s="8">
        <v>56.292373041529473</v>
      </c>
      <c r="AP568" s="8">
        <v>34.865949807357502</v>
      </c>
      <c r="AQ568" s="8">
        <v>19.386976469000398</v>
      </c>
      <c r="AR568" s="8">
        <v>0.74506276745056521</v>
      </c>
      <c r="AS568" s="8">
        <v>63.526598473457589</v>
      </c>
      <c r="AT568" s="8">
        <v>53.652963220582031</v>
      </c>
      <c r="AU568" s="8">
        <v>38.193837679129231</v>
      </c>
      <c r="AV568" s="8">
        <v>24.23150621086835</v>
      </c>
      <c r="AW568" s="8">
        <v>0.73855546679244433</v>
      </c>
      <c r="AX568" s="8">
        <v>65.164055211275411</v>
      </c>
      <c r="AY568" s="8">
        <v>58.508228940888912</v>
      </c>
      <c r="AZ568" s="8">
        <v>38.436426844423693</v>
      </c>
      <c r="BA568" s="8">
        <v>20.314631267642369</v>
      </c>
      <c r="BB568" s="8">
        <v>0.83920602022236435</v>
      </c>
      <c r="BC568" s="8">
        <v>62.994342609217092</v>
      </c>
      <c r="BD568" s="8">
        <v>58.455218566407517</v>
      </c>
      <c r="BE568" s="8">
        <v>36.819598393868283</v>
      </c>
      <c r="BF568" s="8">
        <v>26.105885700039661</v>
      </c>
      <c r="BG568" s="8">
        <v>0.67784465782331715</v>
      </c>
      <c r="BH568" s="8">
        <v>64.594544916387093</v>
      </c>
      <c r="BI568" s="8">
        <v>58.006057042350591</v>
      </c>
    </row>
    <row r="569" spans="1:61" x14ac:dyDescent="0.15">
      <c r="A569" s="7">
        <v>2019</v>
      </c>
      <c r="B569" s="7">
        <v>144</v>
      </c>
      <c r="C569" s="7">
        <v>19.865963013020838</v>
      </c>
      <c r="D569" s="7">
        <v>13.171707124153059</v>
      </c>
      <c r="E569" s="8">
        <v>38.971301108664377</v>
      </c>
      <c r="F569" s="8">
        <v>24.020571167795978</v>
      </c>
      <c r="G569" s="8">
        <v>0.77189367750349591</v>
      </c>
      <c r="H569" s="8">
        <v>76.899154140417338</v>
      </c>
      <c r="I569" s="8">
        <v>67.920107909356233</v>
      </c>
      <c r="J569" s="8">
        <v>51.306418771393517</v>
      </c>
      <c r="K569" s="8">
        <v>32.774032516202041</v>
      </c>
      <c r="L569" s="8">
        <v>0.98871366421457363</v>
      </c>
      <c r="M569" s="8">
        <v>68.888268191776959</v>
      </c>
      <c r="N569" s="8">
        <v>90.263500870978916</v>
      </c>
      <c r="O569" s="8">
        <v>286.95800000000003</v>
      </c>
      <c r="P569" s="8">
        <v>277.11900000000003</v>
      </c>
      <c r="Q569" s="8">
        <v>94.035899999999998</v>
      </c>
      <c r="R569" s="8">
        <v>-0.34524700000000003</v>
      </c>
      <c r="S569" s="8">
        <v>4.5867900000000003E-2</v>
      </c>
      <c r="T569" s="7">
        <f>C569-D569</f>
        <v>6.6942558888677794</v>
      </c>
      <c r="U569" s="8">
        <f>D569/C569</f>
        <v>0.66302887584759251</v>
      </c>
      <c r="V569" s="8">
        <v>44.465594226029687</v>
      </c>
      <c r="W569" s="8">
        <v>28.993937381940739</v>
      </c>
      <c r="X569" s="8">
        <v>0.86038484064432119</v>
      </c>
      <c r="Y569" s="8">
        <v>67.374626025236083</v>
      </c>
      <c r="Z569" s="8">
        <v>73.776572597702156</v>
      </c>
      <c r="AA569" s="7">
        <v>47.886006498711602</v>
      </c>
      <c r="AB569" s="7">
        <v>30.88398494907139</v>
      </c>
      <c r="AC569" s="7">
        <v>0.92454925242944741</v>
      </c>
      <c r="AD569" s="7">
        <v>68.131447108506521</v>
      </c>
      <c r="AE569" s="7">
        <v>82.020036734340536</v>
      </c>
      <c r="AF569" s="8">
        <v>51.215525656912021</v>
      </c>
      <c r="AG569" s="8">
        <v>33.427169069716967</v>
      </c>
      <c r="AH569" s="8">
        <v>0.92641995531962895</v>
      </c>
      <c r="AI569" s="8">
        <v>67.221871357942248</v>
      </c>
      <c r="AJ569" s="8">
        <v>90.020263252853965</v>
      </c>
      <c r="AK569" s="8">
        <v>51.32259650335066</v>
      </c>
      <c r="AL569" s="8">
        <v>32.657783137418598</v>
      </c>
      <c r="AM569" s="8">
        <v>0.9998010929033857</v>
      </c>
      <c r="AN569" s="8">
        <v>69.184864050173587</v>
      </c>
      <c r="AO569" s="8">
        <v>90.306793842183183</v>
      </c>
      <c r="AP569" s="8">
        <v>50.392909178543377</v>
      </c>
      <c r="AQ569" s="8">
        <v>32.781184542155287</v>
      </c>
      <c r="AR569" s="8">
        <v>0.9574847299483622</v>
      </c>
      <c r="AS569" s="8">
        <v>65.095254109183188</v>
      </c>
      <c r="AT569" s="8">
        <v>85.301190363648161</v>
      </c>
      <c r="AU569" s="8">
        <v>38.386416418607887</v>
      </c>
      <c r="AV569" s="8">
        <v>29.434599600678698</v>
      </c>
      <c r="AW569" s="8">
        <v>0.89122588133994329</v>
      </c>
      <c r="AX569" s="8">
        <v>67.913910353667504</v>
      </c>
      <c r="AY569" s="8">
        <v>66.269121931598519</v>
      </c>
      <c r="AZ569" s="8">
        <v>51.250864194706757</v>
      </c>
      <c r="BA569" s="8">
        <v>33.051015870165401</v>
      </c>
      <c r="BB569" s="8">
        <v>1.034226956064334</v>
      </c>
      <c r="BC569" s="8">
        <v>69.953122928568504</v>
      </c>
      <c r="BD569" s="8">
        <v>92.737290390823773</v>
      </c>
      <c r="BE569" s="8">
        <v>51.15080591753447</v>
      </c>
      <c r="BF569" s="8">
        <v>36.472581798991833</v>
      </c>
      <c r="BG569" s="8">
        <v>0.83343423916004367</v>
      </c>
      <c r="BH569" s="8">
        <v>63.021234620544597</v>
      </c>
      <c r="BI569" s="8">
        <v>89.140527054552322</v>
      </c>
    </row>
    <row r="570" spans="1:61" x14ac:dyDescent="0.15">
      <c r="A570" s="7">
        <v>2020</v>
      </c>
      <c r="B570" s="7">
        <v>135</v>
      </c>
      <c r="C570" s="7">
        <v>58.871042563750144</v>
      </c>
      <c r="D570" s="7">
        <v>46.029916196378103</v>
      </c>
      <c r="E570" s="8">
        <v>46.061789485094707</v>
      </c>
      <c r="F570" s="8">
        <v>26.352487960354591</v>
      </c>
      <c r="G570" s="8">
        <v>0.77256352113397297</v>
      </c>
      <c r="H570" s="8">
        <v>76.125966864617496</v>
      </c>
      <c r="I570" s="8">
        <v>75.176213123488864</v>
      </c>
      <c r="J570" s="8">
        <v>51.47377890349275</v>
      </c>
      <c r="K570" s="8">
        <v>32.961739565513817</v>
      </c>
      <c r="L570" s="8">
        <v>0.91901526978251724</v>
      </c>
      <c r="M570" s="8">
        <v>70.12315295587284</v>
      </c>
      <c r="N570" s="8">
        <v>90.583944695078145</v>
      </c>
      <c r="O570" s="8">
        <v>288.10300000000001</v>
      </c>
      <c r="P570" s="8">
        <v>279.19</v>
      </c>
      <c r="Q570" s="8">
        <v>98.805499999999995</v>
      </c>
      <c r="R570" s="8">
        <v>7.9833299999999996E-2</v>
      </c>
      <c r="S570" s="8">
        <v>8.5309899999999994E-2</v>
      </c>
      <c r="T570" s="7">
        <f>C570-D570</f>
        <v>12.841126367372041</v>
      </c>
      <c r="U570" s="8">
        <f>D570/C570</f>
        <v>0.78187703481781101</v>
      </c>
      <c r="V570" s="8">
        <v>50.921702801476449</v>
      </c>
      <c r="W570" s="8">
        <v>38.661339880470685</v>
      </c>
      <c r="X570" s="8">
        <v>0.86349323094715535</v>
      </c>
      <c r="Y570" s="8">
        <v>69.395114178967859</v>
      </c>
      <c r="Z570" s="8">
        <v>81.097936064044518</v>
      </c>
      <c r="AA570" s="7">
        <v>51.1977408524846</v>
      </c>
      <c r="AB570" s="7">
        <v>35.811539722992251</v>
      </c>
      <c r="AC570" s="7">
        <v>0.8912542503648363</v>
      </c>
      <c r="AD570" s="7">
        <v>69.759133567420349</v>
      </c>
      <c r="AE570" s="7">
        <v>85.840940379561331</v>
      </c>
      <c r="AF570" s="8">
        <v>51.339884490601449</v>
      </c>
      <c r="AG570" s="8">
        <v>31.717668617118711</v>
      </c>
      <c r="AH570" s="8">
        <v>0.87110696884438432</v>
      </c>
      <c r="AI570" s="8">
        <v>70.561604932642553</v>
      </c>
      <c r="AJ570" s="8">
        <v>88.519729009949017</v>
      </c>
      <c r="AK570" s="8">
        <v>51.484052553592271</v>
      </c>
      <c r="AL570" s="8">
        <v>33.057196495693447</v>
      </c>
      <c r="AM570" s="8">
        <v>0.92269124931051405</v>
      </c>
      <c r="AN570" s="8">
        <v>70.089510759028983</v>
      </c>
      <c r="AO570" s="8">
        <v>90.742330913151363</v>
      </c>
      <c r="AP570" s="8">
        <v>52.655240574370538</v>
      </c>
      <c r="AQ570" s="8">
        <v>38.351640708891523</v>
      </c>
      <c r="AR570" s="8">
        <v>0.8974584328674321</v>
      </c>
      <c r="AS570" s="8">
        <v>68.846973108796931</v>
      </c>
      <c r="AT570" s="8">
        <v>86.796843625740081</v>
      </c>
      <c r="AU570" s="8">
        <v>40.923808773503701</v>
      </c>
      <c r="AV570" s="8">
        <v>30.6373030889144</v>
      </c>
      <c r="AW570" s="8">
        <v>0.84756826392373685</v>
      </c>
      <c r="AX570" s="8">
        <v>69.083056829074138</v>
      </c>
      <c r="AY570" s="8">
        <v>74.192002168304057</v>
      </c>
      <c r="AZ570" s="8">
        <v>51.61905872583305</v>
      </c>
      <c r="BA570" s="8">
        <v>33.314102588483102</v>
      </c>
      <c r="BB570" s="8">
        <v>0.94682446067163117</v>
      </c>
      <c r="BC570" s="8">
        <v>69.752249090491958</v>
      </c>
      <c r="BD570" s="8">
        <v>91.557482662606816</v>
      </c>
      <c r="BE570" s="8">
        <v>52.656569898605241</v>
      </c>
      <c r="BF570" s="8">
        <v>33.013090381176639</v>
      </c>
      <c r="BG570" s="8">
        <v>1.0813067326384529</v>
      </c>
      <c r="BH570" s="8">
        <v>68.144530204636709</v>
      </c>
      <c r="BI570" s="8">
        <v>102.6530342445795</v>
      </c>
    </row>
    <row r="571" spans="1:61" x14ac:dyDescent="0.15">
      <c r="A571" s="7">
        <v>2017</v>
      </c>
      <c r="B571" s="7">
        <v>86</v>
      </c>
      <c r="C571" s="7">
        <v>65.396015144630766</v>
      </c>
      <c r="D571" s="7">
        <v>64.102713084584451</v>
      </c>
      <c r="E571" s="8">
        <v>31.016076536249319</v>
      </c>
      <c r="F571" s="8">
        <v>20.651401761893489</v>
      </c>
      <c r="G571" s="8">
        <v>0.77433495000180252</v>
      </c>
      <c r="H571" s="8">
        <v>74.833583659573506</v>
      </c>
      <c r="I571" s="8">
        <v>52.477583785404747</v>
      </c>
      <c r="J571" s="8">
        <v>41.541929420473018</v>
      </c>
      <c r="K571" s="8">
        <v>28.994040788089698</v>
      </c>
      <c r="L571" s="8">
        <v>0.76350560046238913</v>
      </c>
      <c r="M571" s="8">
        <v>61.735823561864052</v>
      </c>
      <c r="N571" s="8">
        <v>68.893251299604302</v>
      </c>
      <c r="O571" s="8">
        <v>285.38799999999998</v>
      </c>
      <c r="P571" s="8">
        <v>280.98599999999999</v>
      </c>
      <c r="Q571" s="8">
        <v>85.590199999999996</v>
      </c>
      <c r="R571" s="8">
        <v>-0.29766100000000001</v>
      </c>
      <c r="S571" s="8">
        <v>-0.14052300000000001</v>
      </c>
      <c r="T571" s="7">
        <f>C571-D571</f>
        <v>1.2933020600463152</v>
      </c>
      <c r="U571" s="8">
        <f>D571/C571</f>
        <v>0.980223534152868</v>
      </c>
      <c r="V571" s="8">
        <v>30.067879259715177</v>
      </c>
      <c r="W571" s="8">
        <v>18.635010510943324</v>
      </c>
      <c r="X571" s="8">
        <v>0.79612496836900271</v>
      </c>
      <c r="Y571" s="8">
        <v>76.679142122472328</v>
      </c>
      <c r="Z571" s="8">
        <v>48.769953528239796</v>
      </c>
      <c r="AA571" s="7">
        <v>35.804904340094097</v>
      </c>
      <c r="AB571" s="7">
        <v>23.814525649516511</v>
      </c>
      <c r="AC571" s="7">
        <v>0.77981528441569592</v>
      </c>
      <c r="AD571" s="7">
        <v>69.20748284216819</v>
      </c>
      <c r="AE571" s="7">
        <v>58.831602413922049</v>
      </c>
      <c r="AF571" s="8">
        <v>42.013783910810368</v>
      </c>
      <c r="AG571" s="8">
        <v>30.571697720205439</v>
      </c>
      <c r="AH571" s="8">
        <v>0.75332673661257965</v>
      </c>
      <c r="AI571" s="8">
        <v>59.431383296086373</v>
      </c>
      <c r="AJ571" s="8">
        <v>69.528540601807023</v>
      </c>
      <c r="AK571" s="8">
        <v>41.486136362734953</v>
      </c>
      <c r="AL571" s="8">
        <v>28.80749534641874</v>
      </c>
      <c r="AM571" s="8">
        <v>0.76470917052500398</v>
      </c>
      <c r="AN571" s="8">
        <v>62.008305378685478</v>
      </c>
      <c r="AO571" s="8">
        <v>68.818133369301592</v>
      </c>
      <c r="AP571" s="8">
        <v>41.339890523621982</v>
      </c>
      <c r="AQ571" s="8">
        <v>27.37397142663599</v>
      </c>
      <c r="AR571" s="8">
        <v>0.78002873913701165</v>
      </c>
      <c r="AS571" s="8">
        <v>63.503522363300377</v>
      </c>
      <c r="AT571" s="8">
        <v>65.830686176089969</v>
      </c>
      <c r="AU571" s="8">
        <v>34.243876755501887</v>
      </c>
      <c r="AV571" s="8">
        <v>20.591374623525759</v>
      </c>
      <c r="AW571" s="8">
        <v>0.84154812372856624</v>
      </c>
      <c r="AX571" s="8">
        <v>64.294662898354318</v>
      </c>
      <c r="AY571" s="8">
        <v>59.008187326420817</v>
      </c>
      <c r="AZ571" s="8">
        <v>45.433733808078763</v>
      </c>
      <c r="BA571" s="8">
        <v>33.020913501880933</v>
      </c>
      <c r="BB571" s="8">
        <v>0.78118921581601874</v>
      </c>
      <c r="BC571" s="8">
        <v>57.650554260950003</v>
      </c>
      <c r="BD571" s="8">
        <v>76.001975725864071</v>
      </c>
      <c r="BE571" s="8">
        <v>33.070831723448777</v>
      </c>
      <c r="BF571" s="8">
        <v>20.48419783834262</v>
      </c>
      <c r="BG571" s="8">
        <v>1.0279858345688211</v>
      </c>
      <c r="BH571" s="8">
        <v>57.071996533449102</v>
      </c>
      <c r="BI571" s="8">
        <v>50.383642038317682</v>
      </c>
    </row>
    <row r="572" spans="1:61" x14ac:dyDescent="0.15">
      <c r="A572" s="7">
        <v>2020</v>
      </c>
      <c r="B572" s="7">
        <v>131</v>
      </c>
      <c r="C572" s="7">
        <v>51.058903009120847</v>
      </c>
      <c r="D572" s="7">
        <v>47.759222005465467</v>
      </c>
      <c r="E572" s="8">
        <v>43.417972741357708</v>
      </c>
      <c r="F572" s="8">
        <v>30.65236792476567</v>
      </c>
      <c r="G572" s="8">
        <v>0.77494190740267277</v>
      </c>
      <c r="H572" s="8">
        <v>73.33707202121775</v>
      </c>
      <c r="I572" s="8">
        <v>75.581023480638876</v>
      </c>
      <c r="J572" s="8">
        <v>48.367841136407193</v>
      </c>
      <c r="K572" s="8">
        <v>34.189668783278812</v>
      </c>
      <c r="L572" s="8">
        <v>0.84940680982174099</v>
      </c>
      <c r="M572" s="8">
        <v>70.024537621131728</v>
      </c>
      <c r="N572" s="8">
        <v>84.273447267994058</v>
      </c>
      <c r="O572" s="8">
        <v>286.57299999999998</v>
      </c>
      <c r="P572" s="8">
        <v>278.09199999999998</v>
      </c>
      <c r="Q572" s="8">
        <v>98.058899999999994</v>
      </c>
      <c r="R572" s="8">
        <v>0.13241</v>
      </c>
      <c r="S572" s="8">
        <v>0.21405199999999999</v>
      </c>
      <c r="T572" s="7">
        <f>C572-D572</f>
        <v>3.2996810036553796</v>
      </c>
      <c r="U572" s="8">
        <f>D572/C572</f>
        <v>0.9353750118159424</v>
      </c>
      <c r="V572" s="8">
        <v>46.163561522626381</v>
      </c>
      <c r="W572" s="8">
        <v>38.244531231024744</v>
      </c>
      <c r="X572" s="8">
        <v>0.82307981125814134</v>
      </c>
      <c r="Y572" s="8">
        <v>65.674598056714913</v>
      </c>
      <c r="Z572" s="8">
        <v>75.601550067262778</v>
      </c>
      <c r="AA572" s="7">
        <v>47.265701329516787</v>
      </c>
      <c r="AB572" s="7">
        <v>36.217100007151778</v>
      </c>
      <c r="AC572" s="7">
        <v>0.83624331053994116</v>
      </c>
      <c r="AD572" s="7">
        <v>67.849567838923321</v>
      </c>
      <c r="AE572" s="7">
        <v>79.937498667628418</v>
      </c>
      <c r="AF572" s="8">
        <v>48.769972173825323</v>
      </c>
      <c r="AG572" s="8">
        <v>32.558348978977747</v>
      </c>
      <c r="AH572" s="8">
        <v>0.86948771912802369</v>
      </c>
      <c r="AI572" s="8">
        <v>71.040363566027921</v>
      </c>
      <c r="AJ572" s="8">
        <v>86.997640835778114</v>
      </c>
      <c r="AK572" s="8">
        <v>48.325223508927792</v>
      </c>
      <c r="AL572" s="8">
        <v>34.362555164210349</v>
      </c>
      <c r="AM572" s="8">
        <v>0.84727864603274983</v>
      </c>
      <c r="AN572" s="8">
        <v>69.916880942897052</v>
      </c>
      <c r="AO572" s="8">
        <v>83.984738723140111</v>
      </c>
      <c r="AP572" s="8">
        <v>48.775090799948991</v>
      </c>
      <c r="AQ572" s="8">
        <v>37.727176518902397</v>
      </c>
      <c r="AR572" s="8">
        <v>0.83803695072840456</v>
      </c>
      <c r="AS572" s="8">
        <v>66.567098465489792</v>
      </c>
      <c r="AT572" s="8">
        <v>80.459719450819449</v>
      </c>
      <c r="AU572" s="8">
        <v>37.871257737420898</v>
      </c>
      <c r="AV572" s="8">
        <v>34.5874450398574</v>
      </c>
      <c r="AW572" s="8">
        <v>0.86000070304022092</v>
      </c>
      <c r="AX572" s="8">
        <v>65.745721610298077</v>
      </c>
      <c r="AY572" s="8">
        <v>73.732913242123331</v>
      </c>
      <c r="AZ572" s="8">
        <v>46.910139054849182</v>
      </c>
      <c r="BA572" s="8">
        <v>34.663793958451123</v>
      </c>
      <c r="BB572" s="8">
        <v>0.85154514974588613</v>
      </c>
      <c r="BC572" s="8">
        <v>69.772745736628991</v>
      </c>
      <c r="BD572" s="8">
        <v>81.873550996555409</v>
      </c>
      <c r="BE572" s="8">
        <v>47.845244318753807</v>
      </c>
      <c r="BF572" s="8">
        <v>34.568810350689127</v>
      </c>
      <c r="BG572" s="8">
        <v>0.99624182450385201</v>
      </c>
      <c r="BH572" s="8">
        <v>67.145866070903068</v>
      </c>
      <c r="BI572" s="8">
        <v>92.39126155427968</v>
      </c>
    </row>
    <row r="573" spans="1:61" x14ac:dyDescent="0.15">
      <c r="A573" s="7">
        <v>2020</v>
      </c>
      <c r="B573" s="7">
        <v>103</v>
      </c>
      <c r="C573" s="7">
        <v>57.900668112168034</v>
      </c>
      <c r="D573" s="7">
        <v>25.912367342708812</v>
      </c>
      <c r="E573" s="8">
        <v>40.155892081295768</v>
      </c>
      <c r="F573" s="8">
        <v>26.102373696605639</v>
      </c>
      <c r="G573" s="8">
        <v>0.77755523600081644</v>
      </c>
      <c r="H573" s="8">
        <v>70.710041850983174</v>
      </c>
      <c r="I573" s="8">
        <v>55.975589348269928</v>
      </c>
      <c r="J573" s="8">
        <v>40.897266075050062</v>
      </c>
      <c r="K573" s="8">
        <v>22.382713040911771</v>
      </c>
      <c r="L573" s="8">
        <v>0.73201816372056161</v>
      </c>
      <c r="M573" s="8">
        <v>72.480031434687717</v>
      </c>
      <c r="N573" s="8">
        <v>59.27034320214716</v>
      </c>
      <c r="O573" s="8">
        <v>289.67</v>
      </c>
      <c r="P573" s="8">
        <v>283.81799999999998</v>
      </c>
      <c r="Q573" s="8">
        <v>101.304</v>
      </c>
      <c r="R573" s="8">
        <v>-0.604881</v>
      </c>
      <c r="S573" s="8">
        <v>-0.107544</v>
      </c>
      <c r="T573" s="7">
        <f>C573-D573</f>
        <v>31.988300769459222</v>
      </c>
      <c r="U573" s="8">
        <f>D573/C573</f>
        <v>0.4475314048623773</v>
      </c>
      <c r="V573" s="8">
        <v>35.281667532025402</v>
      </c>
      <c r="W573" s="8">
        <v>28.473481502779148</v>
      </c>
      <c r="X573" s="8">
        <v>0.88854909022522088</v>
      </c>
      <c r="Y573" s="8">
        <v>64.652361167677881</v>
      </c>
      <c r="Z573" s="8">
        <v>50.394341421824478</v>
      </c>
      <c r="AA573" s="7">
        <v>38.089466803537732</v>
      </c>
      <c r="AB573" s="7">
        <v>25.428097271845459</v>
      </c>
      <c r="AC573" s="7">
        <v>0.81028362697289125</v>
      </c>
      <c r="AD573" s="7">
        <v>68.566196301182799</v>
      </c>
      <c r="AE573" s="7">
        <v>54.832342311985819</v>
      </c>
      <c r="AF573" s="8">
        <v>40.989583254971549</v>
      </c>
      <c r="AG573" s="8">
        <v>21.621223625645339</v>
      </c>
      <c r="AH573" s="8">
        <v>0.66628884467969662</v>
      </c>
      <c r="AI573" s="8">
        <v>74.67946002861396</v>
      </c>
      <c r="AJ573" s="8">
        <v>59.355730655256679</v>
      </c>
      <c r="AK573" s="8">
        <v>40.891990563332747</v>
      </c>
      <c r="AL573" s="8">
        <v>22.42622873686614</v>
      </c>
      <c r="AM573" s="8">
        <v>0.7357742987440139</v>
      </c>
      <c r="AN573" s="8">
        <v>72.354343980538204</v>
      </c>
      <c r="AO573" s="8">
        <v>59.265463693156832</v>
      </c>
      <c r="AP573" s="8">
        <v>37.54762203173491</v>
      </c>
      <c r="AQ573" s="8">
        <v>25.980071610903131</v>
      </c>
      <c r="AR573" s="8">
        <v>0.82610013165911511</v>
      </c>
      <c r="AS573" s="8">
        <v>67.831534056898676</v>
      </c>
      <c r="AT573" s="8">
        <v>53.807249378840687</v>
      </c>
      <c r="AU573" s="8">
        <v>44.842803873464042</v>
      </c>
      <c r="AV573" s="8">
        <v>31.13835256625887</v>
      </c>
      <c r="AW573" s="8">
        <v>0.88986640034008602</v>
      </c>
      <c r="AX573" s="8">
        <v>70.780578782058441</v>
      </c>
      <c r="AY573" s="8">
        <v>77.905033858288462</v>
      </c>
      <c r="AZ573" s="8">
        <v>39.767444979932058</v>
      </c>
      <c r="BA573" s="8">
        <v>22.197504117136528</v>
      </c>
      <c r="BB573" s="8">
        <v>0.73139155465594574</v>
      </c>
      <c r="BC573" s="8">
        <v>71.963460826776199</v>
      </c>
      <c r="BD573" s="8">
        <v>58.328615344704069</v>
      </c>
      <c r="BE573" s="8"/>
      <c r="BF573" s="8"/>
      <c r="BG573" s="8"/>
      <c r="BH573" s="8"/>
      <c r="BI573" s="8"/>
    </row>
    <row r="574" spans="1:61" x14ac:dyDescent="0.15">
      <c r="A574" s="7">
        <v>2020</v>
      </c>
      <c r="B574" s="7">
        <v>102</v>
      </c>
      <c r="C574" s="7">
        <v>86.969209067179108</v>
      </c>
      <c r="D574" s="7">
        <v>10.903876887090126</v>
      </c>
      <c r="E574" s="8">
        <v>36.874947759360417</v>
      </c>
      <c r="F574" s="8">
        <v>19.683453634693869</v>
      </c>
      <c r="G574" s="8">
        <v>0.77787934717272367</v>
      </c>
      <c r="H574" s="8">
        <v>70.568340005657745</v>
      </c>
      <c r="I574" s="8">
        <v>49.196625944113663</v>
      </c>
      <c r="J574" s="8">
        <v>40.938060742387712</v>
      </c>
      <c r="K574" s="8">
        <v>22.190636041858699</v>
      </c>
      <c r="L574" s="8">
        <v>0.78704595588816173</v>
      </c>
      <c r="M574" s="8">
        <v>71.529793308455396</v>
      </c>
      <c r="N574" s="8">
        <v>58.578169873538613</v>
      </c>
      <c r="O574" s="8">
        <v>289.48700000000002</v>
      </c>
      <c r="P574" s="8">
        <v>283.39499999999998</v>
      </c>
      <c r="Q574" s="8">
        <v>100.42700000000001</v>
      </c>
      <c r="R574" s="8">
        <v>-0.33444099999999999</v>
      </c>
      <c r="S574" s="8">
        <v>-0.201292</v>
      </c>
      <c r="T574" s="7">
        <f>C574-D574</f>
        <v>76.065332180088987</v>
      </c>
      <c r="U574" s="8">
        <f>D574/C574</f>
        <v>0.12537629126496319</v>
      </c>
      <c r="V574" s="8">
        <v>33.362975329299765</v>
      </c>
      <c r="W574" s="8">
        <v>30.513417117521858</v>
      </c>
      <c r="X574" s="8">
        <v>1.0859523389296566</v>
      </c>
      <c r="Y574" s="8">
        <v>62.79566271666161</v>
      </c>
      <c r="Z574" s="8">
        <v>46.553352184685011</v>
      </c>
      <c r="AA574" s="7">
        <v>37.150518035843739</v>
      </c>
      <c r="AB574" s="7">
        <v>26.352026579690278</v>
      </c>
      <c r="AC574" s="7">
        <v>0.93649914740890916</v>
      </c>
      <c r="AD574" s="7">
        <v>67.162728012558503</v>
      </c>
      <c r="AE574" s="7">
        <v>52.565761029111812</v>
      </c>
      <c r="AF574" s="8">
        <v>39.97161004130178</v>
      </c>
      <c r="AG574" s="8">
        <v>20.125656781978339</v>
      </c>
      <c r="AH574" s="8">
        <v>0.70071584895438599</v>
      </c>
      <c r="AI574" s="8">
        <v>74.012899817627869</v>
      </c>
      <c r="AJ574" s="8">
        <v>55.681177049540267</v>
      </c>
      <c r="AK574" s="8">
        <v>41.105026978454958</v>
      </c>
      <c r="AL574" s="8">
        <v>22.547386587118531</v>
      </c>
      <c r="AM574" s="8">
        <v>0.80196054283793494</v>
      </c>
      <c r="AN574" s="8">
        <v>71.100806142193562</v>
      </c>
      <c r="AO574" s="8">
        <v>59.078660987253272</v>
      </c>
      <c r="AP574" s="8">
        <v>36.692902877275692</v>
      </c>
      <c r="AQ574" s="8">
        <v>27.567674508876419</v>
      </c>
      <c r="AR574" s="8">
        <v>0.97135380390405446</v>
      </c>
      <c r="AS574" s="8">
        <v>66.305228892314474</v>
      </c>
      <c r="AT574" s="8">
        <v>52.050784874893317</v>
      </c>
      <c r="AU574" s="8">
        <v>31.275908018710538</v>
      </c>
      <c r="AV574" s="8">
        <v>17.661392088108389</v>
      </c>
      <c r="AW574" s="8">
        <v>0.66783155400086502</v>
      </c>
      <c r="AX574" s="8">
        <v>70.191200600556272</v>
      </c>
      <c r="AY574" s="8">
        <v>46.484321850473947</v>
      </c>
      <c r="AZ574" s="8">
        <v>39.35519135595225</v>
      </c>
      <c r="BA574" s="8">
        <v>22.049271989602971</v>
      </c>
      <c r="BB574" s="8">
        <v>0.79762807706792005</v>
      </c>
      <c r="BC574" s="8">
        <v>70.919147468555067</v>
      </c>
      <c r="BD574" s="8">
        <v>56.503631321903363</v>
      </c>
      <c r="BE574" s="8">
        <v>43.888659007793159</v>
      </c>
      <c r="BF574" s="8">
        <v>27.986033947003019</v>
      </c>
      <c r="BG574" s="8">
        <v>0.87335912461055187</v>
      </c>
      <c r="BH574" s="8">
        <v>70.05695253088011</v>
      </c>
      <c r="BI574" s="8">
        <v>75.886020258731975</v>
      </c>
    </row>
    <row r="575" spans="1:61" x14ac:dyDescent="0.15">
      <c r="A575" s="7">
        <v>2018</v>
      </c>
      <c r="B575" s="7">
        <v>143</v>
      </c>
      <c r="C575" s="7">
        <v>10.182226175325694</v>
      </c>
      <c r="D575" s="7">
        <v>1.7281001292626683</v>
      </c>
      <c r="E575" s="8">
        <v>33.40604044488687</v>
      </c>
      <c r="F575" s="8">
        <v>17.391329025243909</v>
      </c>
      <c r="G575" s="8">
        <v>0.78881292599884245</v>
      </c>
      <c r="H575" s="8">
        <v>74.308851244612185</v>
      </c>
      <c r="I575" s="8">
        <v>57.363229086589961</v>
      </c>
      <c r="J575" s="8">
        <v>38.585308948981478</v>
      </c>
      <c r="K575" s="8">
        <v>22.72450846651456</v>
      </c>
      <c r="L575" s="8">
        <v>0.85062701916517425</v>
      </c>
      <c r="M575" s="8">
        <v>62.819614322164277</v>
      </c>
      <c r="N575" s="8">
        <v>63.562874447193948</v>
      </c>
      <c r="O575" s="8">
        <v>286.96600000000001</v>
      </c>
      <c r="P575" s="8">
        <v>281.64100000000002</v>
      </c>
      <c r="Q575" s="8">
        <v>92.444999999999993</v>
      </c>
      <c r="R575" s="8">
        <v>-0.395262</v>
      </c>
      <c r="S575" s="8">
        <v>-0.157828</v>
      </c>
      <c r="T575" s="7">
        <f>C575-D575</f>
        <v>8.4541260460630259</v>
      </c>
      <c r="U575" s="8">
        <f>D575/C575</f>
        <v>0.16971731913108801</v>
      </c>
      <c r="V575" s="8">
        <v>30.142234947536039</v>
      </c>
      <c r="W575" s="8">
        <v>14.381722058449757</v>
      </c>
      <c r="X575" s="8">
        <v>0.7493287466333739</v>
      </c>
      <c r="Y575" s="8">
        <v>80.433841342216056</v>
      </c>
      <c r="Z575" s="8">
        <v>52.293298523676285</v>
      </c>
      <c r="AA575" s="7">
        <v>34.363771948258758</v>
      </c>
      <c r="AB575" s="7">
        <v>18.553115262482159</v>
      </c>
      <c r="AC575" s="7">
        <v>0.79997788289927407</v>
      </c>
      <c r="AD575" s="7">
        <v>71.62672783219017</v>
      </c>
      <c r="AE575" s="7">
        <v>57.928086485435117</v>
      </c>
      <c r="AF575" s="8">
        <v>37.922045004654279</v>
      </c>
      <c r="AG575" s="8">
        <v>22.71748987970609</v>
      </c>
      <c r="AH575" s="8">
        <v>0.84670464084727426</v>
      </c>
      <c r="AI575" s="8">
        <v>61.456339387604118</v>
      </c>
      <c r="AJ575" s="8">
        <v>62.191479125772958</v>
      </c>
      <c r="AK575" s="8">
        <v>38.715655752418797</v>
      </c>
      <c r="AL575" s="8">
        <v>22.725887782189641</v>
      </c>
      <c r="AM575" s="8">
        <v>0.85139785780337096</v>
      </c>
      <c r="AN575" s="8">
        <v>63.087529578897232</v>
      </c>
      <c r="AO575" s="8">
        <v>63.832385548958179</v>
      </c>
      <c r="AP575" s="8">
        <v>36.753754804692022</v>
      </c>
      <c r="AQ575" s="8">
        <v>23.186701750947361</v>
      </c>
      <c r="AR575" s="8">
        <v>0.83634319012844427</v>
      </c>
      <c r="AS575" s="8">
        <v>59.24740354160776</v>
      </c>
      <c r="AT575" s="8">
        <v>58.448308119872337</v>
      </c>
      <c r="AU575" s="8">
        <v>35.136684029363828</v>
      </c>
      <c r="AV575" s="8">
        <v>22.989421931295269</v>
      </c>
      <c r="AW575" s="8">
        <v>0.88067820685239195</v>
      </c>
      <c r="AX575" s="8">
        <v>63.008227162246918</v>
      </c>
      <c r="AY575" s="8">
        <v>56.122524303966593</v>
      </c>
      <c r="AZ575" s="8">
        <v>43.015501160780254</v>
      </c>
      <c r="BA575" s="8">
        <v>26.707545843030459</v>
      </c>
      <c r="BB575" s="8">
        <v>0.91760938103361678</v>
      </c>
      <c r="BC575" s="8">
        <v>59.946941660112607</v>
      </c>
      <c r="BD575" s="8">
        <v>72.589509381923662</v>
      </c>
      <c r="BE575" s="8">
        <v>44.765146779494799</v>
      </c>
      <c r="BF575" s="8">
        <v>33.167199131096773</v>
      </c>
      <c r="BG575" s="8">
        <v>0.74221538941356546</v>
      </c>
      <c r="BH575" s="8">
        <v>66.095224904704395</v>
      </c>
      <c r="BI575" s="8">
        <v>82.754673043419743</v>
      </c>
    </row>
    <row r="576" spans="1:61" x14ac:dyDescent="0.15">
      <c r="A576" s="7">
        <v>2022</v>
      </c>
      <c r="B576" s="7">
        <v>32</v>
      </c>
      <c r="C576" s="7">
        <v>81.682981258962897</v>
      </c>
      <c r="D576" s="7">
        <v>66.83645754156457</v>
      </c>
      <c r="E576" s="8">
        <v>26.579321204717459</v>
      </c>
      <c r="F576" s="8">
        <v>18.603898436320272</v>
      </c>
      <c r="G576" s="8">
        <v>0.78909660673154247</v>
      </c>
      <c r="H576" s="8">
        <v>55.604235075004979</v>
      </c>
      <c r="I576" s="8">
        <v>35.986764959394051</v>
      </c>
      <c r="J576" s="8">
        <v>34.091326350772661</v>
      </c>
      <c r="K576" s="8">
        <v>27.636861515800771</v>
      </c>
      <c r="L576" s="8">
        <v>0.77201092736261578</v>
      </c>
      <c r="M576" s="8">
        <v>60.566127532667707</v>
      </c>
      <c r="N576" s="8">
        <v>46.066566994562123</v>
      </c>
      <c r="O576" s="8">
        <v>281.916</v>
      </c>
      <c r="P576" s="8">
        <v>274.03300000000002</v>
      </c>
      <c r="Q576" s="8">
        <v>100.58499999999999</v>
      </c>
      <c r="R576" s="8">
        <v>1.1561699999999999</v>
      </c>
      <c r="S576" s="8">
        <v>0.52568400000000004</v>
      </c>
      <c r="T576" s="7">
        <f>C576-D576</f>
        <v>14.846523717398327</v>
      </c>
      <c r="U576" s="8">
        <f>D576/C576</f>
        <v>0.81824214189330591</v>
      </c>
      <c r="V576" s="8">
        <v>31.543211236195461</v>
      </c>
      <c r="W576" s="8">
        <v>25.15612196158445</v>
      </c>
      <c r="X576" s="8">
        <v>0.63748884371412429</v>
      </c>
      <c r="Y576" s="8">
        <v>58.687772561489666</v>
      </c>
      <c r="Z576" s="8">
        <v>45.278147630480035</v>
      </c>
      <c r="AA576" s="7">
        <v>32.817268793484061</v>
      </c>
      <c r="AB576" s="7">
        <v>26.39649173869261</v>
      </c>
      <c r="AC576" s="7">
        <v>0.70474988553837004</v>
      </c>
      <c r="AD576" s="7">
        <v>59.626950047078687</v>
      </c>
      <c r="AE576" s="7">
        <v>45.672357312521079</v>
      </c>
      <c r="AF576" s="8">
        <v>34.804803157739812</v>
      </c>
      <c r="AG576" s="8">
        <v>27.83013180083827</v>
      </c>
      <c r="AH576" s="8">
        <v>0.823038850844658</v>
      </c>
      <c r="AI576" s="8">
        <v>60.115221905546512</v>
      </c>
      <c r="AJ576" s="8">
        <v>44.78887086409518</v>
      </c>
      <c r="AK576" s="8">
        <v>34.003744736538671</v>
      </c>
      <c r="AL576" s="8">
        <v>27.613136955476229</v>
      </c>
      <c r="AM576" s="8">
        <v>0.76574708267148472</v>
      </c>
      <c r="AN576" s="8">
        <v>60.621477674823488</v>
      </c>
      <c r="AO576" s="8">
        <v>46.223408378212007</v>
      </c>
      <c r="AP576" s="8">
        <v>32.764599478633222</v>
      </c>
      <c r="AQ576" s="8">
        <v>26.33849191200515</v>
      </c>
      <c r="AR576" s="8">
        <v>0.69467784348111961</v>
      </c>
      <c r="AS576" s="8">
        <v>59.652097202632653</v>
      </c>
      <c r="AT576" s="8">
        <v>45.292929739413353</v>
      </c>
      <c r="AU576" s="8">
        <v>32.294216195886349</v>
      </c>
      <c r="AV576" s="8">
        <v>24.57397356198592</v>
      </c>
      <c r="AW576" s="8">
        <v>0.68890628198546577</v>
      </c>
      <c r="AX576" s="8">
        <v>58.765176373233643</v>
      </c>
      <c r="AY576" s="8">
        <v>49.143246115570072</v>
      </c>
      <c r="AZ576" s="8">
        <v>34.008346622251914</v>
      </c>
      <c r="BA576" s="8">
        <v>27.404715277831031</v>
      </c>
      <c r="BB576" s="8">
        <v>0.73211126318432751</v>
      </c>
      <c r="BC576" s="8">
        <v>60.412054142354982</v>
      </c>
      <c r="BD576" s="8">
        <v>48.442779672107967</v>
      </c>
      <c r="BE576" s="8">
        <v>34.366998331154832</v>
      </c>
      <c r="BF576" s="8">
        <v>26.33643382392696</v>
      </c>
      <c r="BG576" s="8">
        <v>0.70412321282449242</v>
      </c>
      <c r="BH576" s="8">
        <v>57.929905235105601</v>
      </c>
      <c r="BI576" s="8">
        <v>67.57481472520486</v>
      </c>
    </row>
    <row r="577" spans="1:61" x14ac:dyDescent="0.15">
      <c r="A577" s="7">
        <v>2017</v>
      </c>
      <c r="B577" s="7">
        <v>65</v>
      </c>
      <c r="C577" s="7">
        <v>13.364873062653157</v>
      </c>
      <c r="D577" s="7">
        <v>12.943034771758464</v>
      </c>
      <c r="E577" s="8">
        <v>29.868970619372689</v>
      </c>
      <c r="F577" s="8">
        <v>19.20324194757535</v>
      </c>
      <c r="G577" s="8">
        <v>0.78958539944149753</v>
      </c>
      <c r="H577" s="8">
        <v>62.780845770605808</v>
      </c>
      <c r="I577" s="8">
        <v>47.4218200588098</v>
      </c>
      <c r="J577" s="8">
        <v>32.498884233043498</v>
      </c>
      <c r="K577" s="8">
        <v>22.733500249594879</v>
      </c>
      <c r="L577" s="8">
        <v>0.81934183570019736</v>
      </c>
      <c r="M577" s="8">
        <v>52.06977935999965</v>
      </c>
      <c r="N577" s="8">
        <v>53.495377156078753</v>
      </c>
      <c r="O577" s="8">
        <v>289.24599999999998</v>
      </c>
      <c r="P577" s="8">
        <v>285.58800000000002</v>
      </c>
      <c r="Q577" s="8">
        <v>91.486199999999997</v>
      </c>
      <c r="R577" s="8">
        <v>-0.42419200000000001</v>
      </c>
      <c r="S577" s="8">
        <v>0.15326500000000001</v>
      </c>
      <c r="T577" s="7">
        <f>C577-D577</f>
        <v>0.42183829089469249</v>
      </c>
      <c r="U577" s="8">
        <f>D577/C577</f>
        <v>0.96843679031464358</v>
      </c>
      <c r="V577" s="8">
        <v>29.085703391392443</v>
      </c>
      <c r="W577" s="8">
        <v>16.735881376702903</v>
      </c>
      <c r="X577" s="8">
        <v>0.75048105569298573</v>
      </c>
      <c r="Y577" s="8">
        <v>66.583375353379978</v>
      </c>
      <c r="Z577" s="8">
        <v>44.156644269004225</v>
      </c>
      <c r="AA577" s="7">
        <v>30.79229381221797</v>
      </c>
      <c r="AB577" s="7">
        <v>19.734690813148891</v>
      </c>
      <c r="AC577" s="7">
        <v>0.78491144569659155</v>
      </c>
      <c r="AD577" s="7">
        <v>59.32657735668981</v>
      </c>
      <c r="AE577" s="7">
        <v>48.826010712541489</v>
      </c>
      <c r="AF577" s="8">
        <v>32.317296021610659</v>
      </c>
      <c r="AG577" s="8">
        <v>23.64637702861819</v>
      </c>
      <c r="AH577" s="8">
        <v>0.82046580287604154</v>
      </c>
      <c r="AI577" s="8">
        <v>51.858238134586387</v>
      </c>
      <c r="AJ577" s="8">
        <v>53.858685339583502</v>
      </c>
      <c r="AK577" s="8">
        <v>32.544344345459898</v>
      </c>
      <c r="AL577" s="8">
        <v>22.50496404303577</v>
      </c>
      <c r="AM577" s="8">
        <v>0.81906045358974511</v>
      </c>
      <c r="AN577" s="8">
        <v>52.122738127598652</v>
      </c>
      <c r="AO577" s="8">
        <v>53.404423945330102</v>
      </c>
      <c r="AP577" s="8">
        <v>32.148678415540353</v>
      </c>
      <c r="AQ577" s="8">
        <v>20.508599066706239</v>
      </c>
      <c r="AR577" s="8">
        <v>0.77845547147942218</v>
      </c>
      <c r="AS577" s="8">
        <v>54.111597216103839</v>
      </c>
      <c r="AT577" s="8">
        <v>50.932630621917333</v>
      </c>
      <c r="AU577" s="8">
        <v>31.296475706874631</v>
      </c>
      <c r="AV577" s="8">
        <v>21.9794876407577</v>
      </c>
      <c r="AW577" s="8">
        <v>0.82346605771575276</v>
      </c>
      <c r="AX577" s="8">
        <v>55.032998688194581</v>
      </c>
      <c r="AY577" s="8">
        <v>52.751282547370288</v>
      </c>
      <c r="AZ577" s="8">
        <v>33.327225713114032</v>
      </c>
      <c r="BA577" s="8">
        <v>25.51088512667457</v>
      </c>
      <c r="BB577" s="8">
        <v>0.82436084328443182</v>
      </c>
      <c r="BC577" s="8">
        <v>50.686602012404222</v>
      </c>
      <c r="BD577" s="8">
        <v>56.14150408907566</v>
      </c>
      <c r="BE577" s="8">
        <v>32.284579190122322</v>
      </c>
      <c r="BF577" s="8">
        <v>27.341864230535439</v>
      </c>
      <c r="BG577" s="8">
        <v>0.79429567202251494</v>
      </c>
      <c r="BH577" s="8">
        <v>59.812215860992559</v>
      </c>
      <c r="BI577" s="8">
        <v>61.606720742556753</v>
      </c>
    </row>
    <row r="578" spans="1:61" x14ac:dyDescent="0.15">
      <c r="A578" s="7">
        <v>2019</v>
      </c>
      <c r="B578" s="7">
        <v>66</v>
      </c>
      <c r="C578" s="7">
        <v>38.232553030851705</v>
      </c>
      <c r="D578" s="7">
        <v>19.315303345954398</v>
      </c>
      <c r="E578" s="8">
        <v>40.453540706844393</v>
      </c>
      <c r="F578" s="8">
        <v>31.801291843292908</v>
      </c>
      <c r="G578" s="8">
        <v>0.790460888666769</v>
      </c>
      <c r="H578" s="8">
        <v>70.339740770199356</v>
      </c>
      <c r="I578" s="8">
        <v>68.595999859998386</v>
      </c>
      <c r="J578" s="8">
        <v>53.429207376782927</v>
      </c>
      <c r="K578" s="8">
        <v>35.184698790220459</v>
      </c>
      <c r="L578" s="8">
        <v>0.85063388566300213</v>
      </c>
      <c r="M578" s="8">
        <v>72.000849550395799</v>
      </c>
      <c r="N578" s="8">
        <v>90.91814961465397</v>
      </c>
      <c r="O578" s="8">
        <v>287.68299999999999</v>
      </c>
      <c r="P578" s="8">
        <v>277.488</v>
      </c>
      <c r="Q578" s="8">
        <v>101.568</v>
      </c>
      <c r="R578" s="8">
        <v>-5.2916299999999999E-2</v>
      </c>
      <c r="S578" s="8">
        <v>0.479823</v>
      </c>
      <c r="T578" s="7">
        <f>C578-D578</f>
        <v>18.917249684897307</v>
      </c>
      <c r="U578" s="8">
        <f>D578/C578</f>
        <v>0.5052056903018729</v>
      </c>
      <c r="V578" s="8">
        <v>54.941537286672769</v>
      </c>
      <c r="W578" s="8">
        <v>37.839901653017897</v>
      </c>
      <c r="X578" s="8">
        <v>0.84198111647659168</v>
      </c>
      <c r="Y578" s="8">
        <v>69.228823867734832</v>
      </c>
      <c r="Z578" s="8">
        <v>88.250737542530999</v>
      </c>
      <c r="AA578" s="7">
        <v>54.185372331727848</v>
      </c>
      <c r="AB578" s="7">
        <v>36.512300221619178</v>
      </c>
      <c r="AC578" s="7">
        <v>0.84630750106979691</v>
      </c>
      <c r="AD578" s="7">
        <v>70.614836709065315</v>
      </c>
      <c r="AE578" s="7">
        <v>89.584443578592484</v>
      </c>
      <c r="AF578" s="8">
        <v>51.638726351394737</v>
      </c>
      <c r="AG578" s="8">
        <v>34.019511153361613</v>
      </c>
      <c r="AH578" s="8">
        <v>0.88636431986242969</v>
      </c>
      <c r="AI578" s="8">
        <v>73.602189966537438</v>
      </c>
      <c r="AJ578" s="8">
        <v>87.140716223963722</v>
      </c>
      <c r="AK578" s="8">
        <v>53.626903222145337</v>
      </c>
      <c r="AL578" s="8">
        <v>35.313352906968028</v>
      </c>
      <c r="AM578" s="8">
        <v>0.84668871210681262</v>
      </c>
      <c r="AN578" s="8">
        <v>71.824037653037976</v>
      </c>
      <c r="AO578" s="8">
        <v>91.335234675530643</v>
      </c>
      <c r="AP578" s="8">
        <v>55.269989107253139</v>
      </c>
      <c r="AQ578" s="8">
        <v>36.896749294955981</v>
      </c>
      <c r="AR578" s="8">
        <v>0.84271390073220065</v>
      </c>
      <c r="AS578" s="8">
        <v>70.215341773453972</v>
      </c>
      <c r="AT578" s="8">
        <v>90.567870797617033</v>
      </c>
      <c r="AU578" s="8">
        <v>47.880697550418702</v>
      </c>
      <c r="AV578" s="8">
        <v>37.868226664831496</v>
      </c>
      <c r="AW578" s="8">
        <v>0.96487873043159</v>
      </c>
      <c r="AX578" s="8">
        <v>71.162349490673535</v>
      </c>
      <c r="AY578" s="8">
        <v>78.492902133217129</v>
      </c>
      <c r="AZ578" s="8">
        <v>52.646589377940977</v>
      </c>
      <c r="BA578" s="8">
        <v>35.557680846452968</v>
      </c>
      <c r="BB578" s="8">
        <v>0.84536890237660089</v>
      </c>
      <c r="BC578" s="8">
        <v>71.593031071519761</v>
      </c>
      <c r="BD578" s="8">
        <v>90.163145170076177</v>
      </c>
      <c r="BE578" s="8">
        <v>47.794581638085511</v>
      </c>
      <c r="BF578" s="8">
        <v>39.164789729074968</v>
      </c>
      <c r="BG578" s="8">
        <v>0.93535910973592917</v>
      </c>
      <c r="BH578" s="8">
        <v>70.06959127320826</v>
      </c>
      <c r="BI578" s="8">
        <v>78.372135553894694</v>
      </c>
    </row>
    <row r="579" spans="1:61" x14ac:dyDescent="0.15">
      <c r="A579" s="7">
        <v>2019</v>
      </c>
      <c r="B579" s="7">
        <v>55</v>
      </c>
      <c r="C579" s="7">
        <v>39.395567543218071</v>
      </c>
      <c r="D579" s="7">
        <v>15.720574279881689</v>
      </c>
      <c r="E579" s="8">
        <v>46.659573673266607</v>
      </c>
      <c r="F579" s="8">
        <v>27.228136524735</v>
      </c>
      <c r="G579" s="8">
        <v>0.79056446967684224</v>
      </c>
      <c r="H579" s="8">
        <v>75.554410129638697</v>
      </c>
      <c r="I579" s="8">
        <v>78.421155522077399</v>
      </c>
      <c r="J579" s="8">
        <v>55.194004365553823</v>
      </c>
      <c r="K579" s="8">
        <v>31.522948521793669</v>
      </c>
      <c r="L579" s="8">
        <v>0.82157369760448362</v>
      </c>
      <c r="M579" s="8">
        <v>73.299594386413958</v>
      </c>
      <c r="N579" s="8">
        <v>100.3844456185401</v>
      </c>
      <c r="O579" s="8">
        <v>288.81700000000001</v>
      </c>
      <c r="P579" s="8">
        <v>280.62799999999999</v>
      </c>
      <c r="Q579" s="8">
        <v>100.896</v>
      </c>
      <c r="R579" s="8">
        <v>-0.51728300000000005</v>
      </c>
      <c r="S579" s="8">
        <v>0.44483</v>
      </c>
      <c r="T579" s="7">
        <f>C579-D579</f>
        <v>23.674993263336383</v>
      </c>
      <c r="U579" s="8">
        <f>D579/C579</f>
        <v>0.3990442392443202</v>
      </c>
      <c r="V579" s="8">
        <v>53.229177672759477</v>
      </c>
      <c r="W579" s="8">
        <v>32.838761969939071</v>
      </c>
      <c r="X579" s="8">
        <v>0.83909922833084005</v>
      </c>
      <c r="Y579" s="8">
        <v>72.141319905556315</v>
      </c>
      <c r="Z579" s="8">
        <v>95.867146552795987</v>
      </c>
      <c r="AA579" s="7">
        <v>54.21159101915665</v>
      </c>
      <c r="AB579" s="7">
        <v>32.180855245866368</v>
      </c>
      <c r="AC579" s="7">
        <v>0.83033646296766184</v>
      </c>
      <c r="AD579" s="7">
        <v>72.720457145985137</v>
      </c>
      <c r="AE579" s="7">
        <v>98.125796085668043</v>
      </c>
      <c r="AF579" s="8">
        <v>54.163184510390209</v>
      </c>
      <c r="AG579" s="8">
        <v>30.280084457247469</v>
      </c>
      <c r="AH579" s="8">
        <v>0.8031590898212958</v>
      </c>
      <c r="AI579" s="8">
        <v>73.981682846905315</v>
      </c>
      <c r="AJ579" s="8">
        <v>96.43180713818812</v>
      </c>
      <c r="AK579" s="8">
        <v>55.261186569708933</v>
      </c>
      <c r="AL579" s="8">
        <v>31.603950402872261</v>
      </c>
      <c r="AM579" s="8">
        <v>0.82277384322966685</v>
      </c>
      <c r="AN579" s="8">
        <v>73.255140250247436</v>
      </c>
      <c r="AO579" s="8">
        <v>100.6420531568584</v>
      </c>
      <c r="AP579" s="8">
        <v>54.486349655181513</v>
      </c>
      <c r="AQ579" s="8">
        <v>32.539229969186707</v>
      </c>
      <c r="AR579" s="8">
        <v>0.84234874806161442</v>
      </c>
      <c r="AS579" s="8">
        <v>72.185224160919191</v>
      </c>
      <c r="AT579" s="8">
        <v>99.356758396687923</v>
      </c>
      <c r="AU579" s="8">
        <v>40.556484752963328</v>
      </c>
      <c r="AV579" s="8">
        <v>27.086197154667921</v>
      </c>
      <c r="AW579" s="8">
        <v>0.69618905316742896</v>
      </c>
      <c r="AX579" s="8">
        <v>74.502106492699539</v>
      </c>
      <c r="AY579" s="8">
        <v>81.563709738317712</v>
      </c>
      <c r="AZ579" s="8">
        <v>55.000076053274903</v>
      </c>
      <c r="BA579" s="8">
        <v>31.75964961646082</v>
      </c>
      <c r="BB579" s="8">
        <v>0.81515152168204608</v>
      </c>
      <c r="BC579" s="8">
        <v>73.39756101842201</v>
      </c>
      <c r="BD579" s="8">
        <v>100.8938606241415</v>
      </c>
      <c r="BE579" s="8">
        <v>55.748966129737767</v>
      </c>
      <c r="BF579" s="8">
        <v>35.918815668800342</v>
      </c>
      <c r="BG579" s="8">
        <v>0.95575850147424934</v>
      </c>
      <c r="BH579" s="8">
        <v>72.861041828104902</v>
      </c>
      <c r="BI579" s="8">
        <v>105.68197199605559</v>
      </c>
    </row>
    <row r="580" spans="1:61" x14ac:dyDescent="0.15">
      <c r="A580" s="7">
        <v>2017</v>
      </c>
      <c r="B580" s="7">
        <v>41</v>
      </c>
      <c r="C580" s="7">
        <v>43.367489265233971</v>
      </c>
      <c r="D580" s="7">
        <v>4.6814477110092749</v>
      </c>
      <c r="E580" s="8">
        <v>36.174898303956432</v>
      </c>
      <c r="F580" s="8">
        <v>37.924314873314529</v>
      </c>
      <c r="G580" s="8">
        <v>0.7906187436129527</v>
      </c>
      <c r="H580" s="8">
        <v>61.533146230164029</v>
      </c>
      <c r="I580" s="8">
        <v>55.319868685534423</v>
      </c>
      <c r="J580" s="8">
        <v>41.542120404198343</v>
      </c>
      <c r="K580" s="8">
        <v>37.622734373549399</v>
      </c>
      <c r="L580" s="8">
        <v>0.84506368423703826</v>
      </c>
      <c r="M580" s="8">
        <v>69.350517281042968</v>
      </c>
      <c r="N580" s="8">
        <v>64.396022559449548</v>
      </c>
      <c r="O580" s="8">
        <v>291.01799999999997</v>
      </c>
      <c r="P580" s="8">
        <v>286.18599999999998</v>
      </c>
      <c r="Q580" s="8">
        <v>101.578</v>
      </c>
      <c r="R580" s="8">
        <v>-0.86987099999999995</v>
      </c>
      <c r="S580" s="8">
        <v>-0.34260800000000002</v>
      </c>
      <c r="T580" s="7">
        <f>C580-D580</f>
        <v>38.686041554224694</v>
      </c>
      <c r="U580" s="8">
        <f>D580/C580</f>
        <v>0.10794832235681694</v>
      </c>
      <c r="V580" s="8">
        <v>41.539504644562811</v>
      </c>
      <c r="W580" s="8">
        <v>34.885927607362099</v>
      </c>
      <c r="X580" s="8">
        <v>0.92648572393923279</v>
      </c>
      <c r="Y580" s="8">
        <v>69.381187003003916</v>
      </c>
      <c r="Z580" s="8">
        <v>59.359453141124234</v>
      </c>
      <c r="AA580" s="7">
        <v>41.540812524380577</v>
      </c>
      <c r="AB580" s="7">
        <v>36.254330990455749</v>
      </c>
      <c r="AC580" s="7">
        <v>0.88577470408813552</v>
      </c>
      <c r="AD580" s="7">
        <v>69.365852142023442</v>
      </c>
      <c r="AE580" s="7">
        <v>61.877737850286891</v>
      </c>
      <c r="AF580" s="8">
        <v>41.33549010834291</v>
      </c>
      <c r="AG580" s="8">
        <v>38.936793760384063</v>
      </c>
      <c r="AH580" s="8">
        <v>0.85749047873545037</v>
      </c>
      <c r="AI580" s="8">
        <v>68.396672235891614</v>
      </c>
      <c r="AJ580" s="8">
        <v>63.96546490178487</v>
      </c>
      <c r="AK580" s="8">
        <v>41.574307188404482</v>
      </c>
      <c r="AL580" s="8">
        <v>37.418043450841331</v>
      </c>
      <c r="AM580" s="8">
        <v>0.84312796347915786</v>
      </c>
      <c r="AN580" s="8">
        <v>69.49909764534668</v>
      </c>
      <c r="AO580" s="8">
        <v>64.463090490404113</v>
      </c>
      <c r="AP580" s="8">
        <v>41.512178078183531</v>
      </c>
      <c r="AQ580" s="8">
        <v>36.923046909850903</v>
      </c>
      <c r="AR580" s="8">
        <v>0.87869605597457157</v>
      </c>
      <c r="AS580" s="8">
        <v>67.856641359108536</v>
      </c>
      <c r="AT580" s="8">
        <v>62.981399394894197</v>
      </c>
      <c r="AU580" s="8">
        <v>42.694728289994721</v>
      </c>
      <c r="AV580" s="8">
        <v>37.652911353858677</v>
      </c>
      <c r="AW580" s="8">
        <v>0.84305921782048621</v>
      </c>
      <c r="AX580" s="8">
        <v>68.168220105325062</v>
      </c>
      <c r="AY580" s="8">
        <v>68.621730429177248</v>
      </c>
      <c r="AZ580" s="8">
        <v>41.349682282643592</v>
      </c>
      <c r="BA580" s="8">
        <v>37.356648472223988</v>
      </c>
      <c r="BB580" s="8">
        <v>0.84061915197085135</v>
      </c>
      <c r="BC580" s="8">
        <v>68.800242591464496</v>
      </c>
      <c r="BD580" s="8">
        <v>66.390406532681396</v>
      </c>
      <c r="BE580" s="8">
        <v>48.659186535231228</v>
      </c>
      <c r="BF580" s="8">
        <v>39.398178765292208</v>
      </c>
      <c r="BG580" s="8">
        <v>0.82785385477379625</v>
      </c>
      <c r="BH580" s="8">
        <v>70.73349722243276</v>
      </c>
      <c r="BI580" s="8">
        <v>70.913356264244356</v>
      </c>
    </row>
    <row r="581" spans="1:61" x14ac:dyDescent="0.15">
      <c r="A581" s="7">
        <v>2022</v>
      </c>
      <c r="B581" s="7">
        <v>104</v>
      </c>
      <c r="C581" s="7">
        <v>15.486857488159322</v>
      </c>
      <c r="D581" s="7">
        <v>8.7290987654381329</v>
      </c>
      <c r="E581" s="8">
        <v>34.608117818643088</v>
      </c>
      <c r="F581" s="8">
        <v>25.04339648435824</v>
      </c>
      <c r="G581" s="8">
        <v>0.7909577153244014</v>
      </c>
      <c r="H581" s="8">
        <v>65.66166428199196</v>
      </c>
      <c r="I581" s="8">
        <v>49.066115305558817</v>
      </c>
      <c r="J581" s="8">
        <v>39.36428382166779</v>
      </c>
      <c r="K581" s="8">
        <v>25.32190464454596</v>
      </c>
      <c r="L581" s="8">
        <v>0.69767087031587138</v>
      </c>
      <c r="M581" s="8">
        <v>72.448340516364382</v>
      </c>
      <c r="N581" s="8">
        <v>70.38456370729817</v>
      </c>
      <c r="O581" s="8">
        <v>287.488</v>
      </c>
      <c r="P581" s="8">
        <v>279.85599999999999</v>
      </c>
      <c r="Q581" s="8">
        <v>99.727399999999989</v>
      </c>
      <c r="R581" s="8">
        <v>-0.33795700000000001</v>
      </c>
      <c r="S581" s="8">
        <v>0.47138999999999998</v>
      </c>
      <c r="T581" s="7">
        <f>C581-D581</f>
        <v>6.7577587227211886</v>
      </c>
      <c r="U581" s="8">
        <f>D581/C581</f>
        <v>0.56364557962208139</v>
      </c>
      <c r="V581" s="8">
        <v>36.537222343341604</v>
      </c>
      <c r="W581" s="8">
        <v>25.537694539137441</v>
      </c>
      <c r="X581" s="8">
        <v>0.68098115746793142</v>
      </c>
      <c r="Y581" s="8">
        <v>66.214713450507062</v>
      </c>
      <c r="Z581" s="8">
        <v>66.211750198081702</v>
      </c>
      <c r="AA581" s="7">
        <v>37.950753082504697</v>
      </c>
      <c r="AB581" s="7">
        <v>25.4297995918417</v>
      </c>
      <c r="AC581" s="7">
        <v>0.6893260138919014</v>
      </c>
      <c r="AD581" s="7">
        <v>69.331526983435722</v>
      </c>
      <c r="AE581" s="7">
        <v>68.298156952689936</v>
      </c>
      <c r="AF581" s="8">
        <v>38.247379647773037</v>
      </c>
      <c r="AG581" s="8">
        <v>23.424300196572108</v>
      </c>
      <c r="AH581" s="8">
        <v>0.69424556640099255</v>
      </c>
      <c r="AI581" s="8">
        <v>74.109406899601254</v>
      </c>
      <c r="AJ581" s="8">
        <v>62.688779733792487</v>
      </c>
      <c r="AK581" s="8">
        <v>39.512110676180278</v>
      </c>
      <c r="AL581" s="8">
        <v>25.573060386649331</v>
      </c>
      <c r="AM581" s="8">
        <v>0.69812422335664304</v>
      </c>
      <c r="AN581" s="8">
        <v>72.228491558584878</v>
      </c>
      <c r="AO581" s="8">
        <v>71.403132322584085</v>
      </c>
      <c r="AP581" s="8">
        <v>38.03457390695057</v>
      </c>
      <c r="AQ581" s="8">
        <v>25.032496386562421</v>
      </c>
      <c r="AR581" s="8">
        <v>0.67443476665613367</v>
      </c>
      <c r="AS581" s="8">
        <v>68.887907388041327</v>
      </c>
      <c r="AT581" s="8">
        <v>69.140243401360195</v>
      </c>
      <c r="AU581" s="8">
        <v>35.095132197372699</v>
      </c>
      <c r="AV581" s="8">
        <v>24.87450383934857</v>
      </c>
      <c r="AW581" s="8">
        <v>0.68242791208431608</v>
      </c>
      <c r="AX581" s="8">
        <v>68.585157590397031</v>
      </c>
      <c r="AY581" s="8">
        <v>65.668453850503781</v>
      </c>
      <c r="AZ581" s="8">
        <v>39.033261624676911</v>
      </c>
      <c r="BA581" s="8">
        <v>26.024482865999168</v>
      </c>
      <c r="BB581" s="8">
        <v>0.68842927702514378</v>
      </c>
      <c r="BC581" s="8">
        <v>72.861904401121265</v>
      </c>
      <c r="BD581" s="8">
        <v>74.132070699378943</v>
      </c>
      <c r="BE581" s="8">
        <v>39.839372830191273</v>
      </c>
      <c r="BF581" s="8">
        <v>32.255734127734748</v>
      </c>
      <c r="BG581" s="8">
        <v>0.69984880098554403</v>
      </c>
      <c r="BH581" s="8">
        <v>71.87596985877336</v>
      </c>
      <c r="BI581" s="8">
        <v>87.954819756296345</v>
      </c>
    </row>
    <row r="582" spans="1:61" x14ac:dyDescent="0.15">
      <c r="A582" s="7">
        <v>2018</v>
      </c>
      <c r="B582" s="7">
        <v>122</v>
      </c>
      <c r="C582" s="7">
        <v>41.482980500581377</v>
      </c>
      <c r="D582" s="7">
        <v>9.4738230357746893</v>
      </c>
      <c r="E582" s="8">
        <v>27.286488696148769</v>
      </c>
      <c r="F582" s="8">
        <v>15.275075186936879</v>
      </c>
      <c r="G582" s="8">
        <v>0.79098850382976771</v>
      </c>
      <c r="H582" s="8">
        <v>68.387195288162957</v>
      </c>
      <c r="I582" s="8">
        <v>42.831817262805266</v>
      </c>
      <c r="J582" s="8">
        <v>35.25639813691734</v>
      </c>
      <c r="K582" s="8">
        <v>19.537213085474399</v>
      </c>
      <c r="L582" s="8">
        <v>0.9233111804239692</v>
      </c>
      <c r="M582" s="8">
        <v>66.507987216405297</v>
      </c>
      <c r="N582" s="8">
        <v>55.663789426964293</v>
      </c>
      <c r="O582" s="8">
        <v>292.06599999999997</v>
      </c>
      <c r="P582" s="8">
        <v>287.60700000000003</v>
      </c>
      <c r="Q582" s="8">
        <v>98.231300000000005</v>
      </c>
      <c r="R582" s="8">
        <v>-0.32641100000000001</v>
      </c>
      <c r="S582" s="8">
        <v>-0.45977000000000001</v>
      </c>
      <c r="T582" s="7">
        <f>C582-D582</f>
        <v>32.009157464806691</v>
      </c>
      <c r="U582" s="8">
        <f>D582/C582</f>
        <v>0.22837855239552798</v>
      </c>
      <c r="V582" s="8">
        <v>23.745059769388419</v>
      </c>
      <c r="W582" s="8">
        <v>13.063868386171883</v>
      </c>
      <c r="X582" s="8">
        <v>0.73619162596166798</v>
      </c>
      <c r="Y582" s="8">
        <v>68.951235264801539</v>
      </c>
      <c r="Z582" s="8">
        <v>36.733018272762173</v>
      </c>
      <c r="AA582" s="7">
        <v>29.50072895315288</v>
      </c>
      <c r="AB582" s="7">
        <v>16.300540735823141</v>
      </c>
      <c r="AC582" s="7">
        <v>0.82975140319281859</v>
      </c>
      <c r="AD582" s="7">
        <v>67.729611240603418</v>
      </c>
      <c r="AE582" s="7">
        <v>46.198403849863233</v>
      </c>
      <c r="AF582" s="8">
        <v>34.53505963664886</v>
      </c>
      <c r="AG582" s="8">
        <v>18.800209818761392</v>
      </c>
      <c r="AH582" s="8">
        <v>0.90798328027433972</v>
      </c>
      <c r="AI582" s="8">
        <v>67.125569081019819</v>
      </c>
      <c r="AJ582" s="8">
        <v>52.94163468458531</v>
      </c>
      <c r="AK582" s="8">
        <v>35.407133200341057</v>
      </c>
      <c r="AL582" s="8">
        <v>19.691221549059978</v>
      </c>
      <c r="AM582" s="8">
        <v>0.92651418705725852</v>
      </c>
      <c r="AN582" s="8">
        <v>66.37893373943524</v>
      </c>
      <c r="AO582" s="8">
        <v>56.232626620028228</v>
      </c>
      <c r="AP582" s="8">
        <v>33.63120400624841</v>
      </c>
      <c r="AQ582" s="8">
        <v>17.99122579533762</v>
      </c>
      <c r="AR582" s="8">
        <v>0.90854383963512964</v>
      </c>
      <c r="AS582" s="8">
        <v>66.849398752529211</v>
      </c>
      <c r="AT582" s="8">
        <v>52.236539104238062</v>
      </c>
      <c r="AU582" s="8">
        <v>28.099732023580199</v>
      </c>
      <c r="AV582" s="8">
        <v>14.977101653571131</v>
      </c>
      <c r="AW582" s="8">
        <v>0.71963796720272832</v>
      </c>
      <c r="AX582" s="8">
        <v>65.931807968725494</v>
      </c>
      <c r="AY582" s="8">
        <v>44.131292025814624</v>
      </c>
      <c r="AZ582" s="8">
        <v>38.17843816367936</v>
      </c>
      <c r="BA582" s="8">
        <v>20.463806773209459</v>
      </c>
      <c r="BB582" s="8">
        <v>0.97035593113198892</v>
      </c>
      <c r="BC582" s="8">
        <v>65.058917597577505</v>
      </c>
      <c r="BD582" s="8">
        <v>59.617440009683918</v>
      </c>
      <c r="BE582" s="8">
        <v>39.968909126410317</v>
      </c>
      <c r="BF582" s="8">
        <v>25.873513601075722</v>
      </c>
      <c r="BG582" s="8">
        <v>0.74746538018845976</v>
      </c>
      <c r="BH582" s="8">
        <v>63.542326522867157</v>
      </c>
      <c r="BI582" s="8">
        <v>62.192365926685113</v>
      </c>
    </row>
    <row r="583" spans="1:61" x14ac:dyDescent="0.15">
      <c r="A583" s="7">
        <v>2021</v>
      </c>
      <c r="B583" s="7">
        <v>128</v>
      </c>
      <c r="C583" s="7">
        <v>59.064811445100254</v>
      </c>
      <c r="D583" s="7">
        <v>58.123947110852605</v>
      </c>
      <c r="E583" s="8">
        <v>40.565741050399737</v>
      </c>
      <c r="F583" s="8">
        <v>21.036323141476199</v>
      </c>
      <c r="G583" s="8">
        <v>0.79219448687824845</v>
      </c>
      <c r="H583" s="8">
        <v>74.140208404830389</v>
      </c>
      <c r="I583" s="8">
        <v>51.519836201097817</v>
      </c>
      <c r="J583" s="8">
        <v>40.226728453794237</v>
      </c>
      <c r="K583" s="8">
        <v>25.470999262117392</v>
      </c>
      <c r="L583" s="8">
        <v>0.74707962783935378</v>
      </c>
      <c r="M583" s="8">
        <v>71.305250103040379</v>
      </c>
      <c r="N583" s="8">
        <v>72.453310662231459</v>
      </c>
      <c r="O583" s="8">
        <v>289.75799999999998</v>
      </c>
      <c r="P583" s="8">
        <v>281.48200000000003</v>
      </c>
      <c r="Q583" s="8">
        <v>100.761</v>
      </c>
      <c r="R583" s="8">
        <v>-0.11132499999999999</v>
      </c>
      <c r="S583" s="8">
        <v>-7.6971899999999996E-2</v>
      </c>
      <c r="T583" s="7">
        <f>C583-D583</f>
        <v>0.94086433424764948</v>
      </c>
      <c r="U583" s="8">
        <f>D583/C583</f>
        <v>0.98407064525851962</v>
      </c>
      <c r="V583" s="8">
        <v>33.863982928888348</v>
      </c>
      <c r="W583" s="8">
        <v>26.157355378368226</v>
      </c>
      <c r="X583" s="8">
        <v>0.69121886593142257</v>
      </c>
      <c r="Y583" s="8">
        <v>64.068338984149676</v>
      </c>
      <c r="Z583" s="8">
        <v>65.784627133280551</v>
      </c>
      <c r="AA583" s="7">
        <v>37.045355691341292</v>
      </c>
      <c r="AB583" s="7">
        <v>25.814177320242809</v>
      </c>
      <c r="AC583" s="7">
        <v>0.71914924688538817</v>
      </c>
      <c r="AD583" s="7">
        <v>67.686794543595028</v>
      </c>
      <c r="AE583" s="7">
        <v>69.118968897756005</v>
      </c>
      <c r="AF583" s="8">
        <v>38.765960519872493</v>
      </c>
      <c r="AG583" s="8">
        <v>23.775679828378401</v>
      </c>
      <c r="AH583" s="8">
        <v>0.73285843990662547</v>
      </c>
      <c r="AI583" s="8">
        <v>71.914388542701644</v>
      </c>
      <c r="AJ583" s="8">
        <v>64.228676494390882</v>
      </c>
      <c r="AK583" s="8">
        <v>40.48607687813071</v>
      </c>
      <c r="AL583" s="8">
        <v>25.771990551477629</v>
      </c>
      <c r="AM583" s="8">
        <v>0.74960449342333735</v>
      </c>
      <c r="AN583" s="8">
        <v>71.197102127677326</v>
      </c>
      <c r="AO583" s="8">
        <v>73.913532962187574</v>
      </c>
      <c r="AP583" s="8">
        <v>36.126251402059452</v>
      </c>
      <c r="AQ583" s="8">
        <v>25.817861170155421</v>
      </c>
      <c r="AR583" s="8">
        <v>0.70990595266324519</v>
      </c>
      <c r="AS583" s="8">
        <v>66.751083884892168</v>
      </c>
      <c r="AT583" s="8">
        <v>67.787269929011799</v>
      </c>
      <c r="AU583" s="8">
        <v>43.121388371617677</v>
      </c>
      <c r="AV583" s="8">
        <v>31.616863450696918</v>
      </c>
      <c r="AW583" s="8">
        <v>0.92305651514783593</v>
      </c>
      <c r="AX583" s="8">
        <v>66.871418620860382</v>
      </c>
      <c r="AY583" s="8">
        <v>76.574697847701145</v>
      </c>
      <c r="AZ583" s="8">
        <v>40.200745494300683</v>
      </c>
      <c r="BA583" s="8">
        <v>25.596722377617361</v>
      </c>
      <c r="BB583" s="8">
        <v>0.74949127343816402</v>
      </c>
      <c r="BC583" s="8">
        <v>71.377624149892313</v>
      </c>
      <c r="BD583" s="8">
        <v>74.237647187564292</v>
      </c>
      <c r="BE583" s="8">
        <v>49.962698016451</v>
      </c>
      <c r="BF583" s="8">
        <v>31.032340293539651</v>
      </c>
      <c r="BG583" s="8">
        <v>0.81636065221489462</v>
      </c>
      <c r="BH583" s="8">
        <v>68.065447830849394</v>
      </c>
      <c r="BI583" s="8">
        <v>83.857885968913976</v>
      </c>
    </row>
    <row r="584" spans="1:61" x14ac:dyDescent="0.15">
      <c r="A584" s="7">
        <v>2017</v>
      </c>
      <c r="B584" s="7">
        <v>6</v>
      </c>
      <c r="C584" s="7">
        <v>47.363832600457329</v>
      </c>
      <c r="D584" s="7">
        <v>44.058940650746848</v>
      </c>
      <c r="E584" s="8">
        <v>40.569985026875678</v>
      </c>
      <c r="F584" s="8">
        <v>37.428385965128037</v>
      </c>
      <c r="G584" s="8">
        <v>0.79319582082077411</v>
      </c>
      <c r="H584" s="8">
        <v>66.281870261009914</v>
      </c>
      <c r="I584" s="8">
        <v>62.895544272472499</v>
      </c>
      <c r="J584" s="8">
        <v>43.391542223953763</v>
      </c>
      <c r="K584" s="8">
        <v>42.419220815495777</v>
      </c>
      <c r="L584" s="8">
        <v>0.85004286530103879</v>
      </c>
      <c r="M584" s="8">
        <v>72.976522837121422</v>
      </c>
      <c r="N584" s="8">
        <v>66.929776509562018</v>
      </c>
      <c r="O584" s="8">
        <v>290.63200000000001</v>
      </c>
      <c r="P584" s="8">
        <v>285.58999999999997</v>
      </c>
      <c r="Q584" s="8">
        <v>101.60299999999999</v>
      </c>
      <c r="R584" s="8">
        <v>-0.88472499999999998</v>
      </c>
      <c r="S584" s="8">
        <v>-0.13482</v>
      </c>
      <c r="T584" s="7">
        <f>C584-D584</f>
        <v>3.3048919497104805</v>
      </c>
      <c r="U584" s="8">
        <f>D584/C584</f>
        <v>0.93022329975723772</v>
      </c>
      <c r="V584" s="8">
        <v>47.268533096898196</v>
      </c>
      <c r="W584" s="8">
        <v>34.816845340393257</v>
      </c>
      <c r="X584" s="8">
        <v>0.987182073763607</v>
      </c>
      <c r="Y584" s="8">
        <v>68.590425244734263</v>
      </c>
      <c r="Z584" s="8">
        <v>66.110886017288365</v>
      </c>
      <c r="AA584" s="7">
        <v>45.33003766042598</v>
      </c>
      <c r="AB584" s="7">
        <v>38.618033077944517</v>
      </c>
      <c r="AC584" s="7">
        <v>0.9186124695323229</v>
      </c>
      <c r="AD584" s="7">
        <v>70.783474040927842</v>
      </c>
      <c r="AE584" s="7">
        <v>66.520331263425192</v>
      </c>
      <c r="AF584" s="8">
        <v>42.410685131318338</v>
      </c>
      <c r="AG584" s="8">
        <v>43.751944303810383</v>
      </c>
      <c r="AH584" s="8">
        <v>0.87774356237282125</v>
      </c>
      <c r="AI584" s="8">
        <v>72.10471119213058</v>
      </c>
      <c r="AJ584" s="8">
        <v>65.952000749876248</v>
      </c>
      <c r="AK584" s="8">
        <v>43.45357292791698</v>
      </c>
      <c r="AL584" s="8">
        <v>42.334937613805003</v>
      </c>
      <c r="AM584" s="8">
        <v>0.84829103646426363</v>
      </c>
      <c r="AN584" s="8">
        <v>73.031657362291412</v>
      </c>
      <c r="AO584" s="8">
        <v>66.991612345941078</v>
      </c>
      <c r="AP584" s="8">
        <v>44.081346412837483</v>
      </c>
      <c r="AQ584" s="8">
        <v>39.257221387557813</v>
      </c>
      <c r="AR584" s="8">
        <v>0.8824799128258346</v>
      </c>
      <c r="AS584" s="8">
        <v>72.024371350600674</v>
      </c>
      <c r="AT584" s="8">
        <v>66.236543534680493</v>
      </c>
      <c r="AU584" s="8">
        <v>42.509647921204589</v>
      </c>
      <c r="AV584" s="8">
        <v>35.773781528406161</v>
      </c>
      <c r="AW584" s="8">
        <v>0.83330902886853897</v>
      </c>
      <c r="AX584" s="8">
        <v>68.891472630395612</v>
      </c>
      <c r="AY584" s="8">
        <v>69.095986807016402</v>
      </c>
      <c r="AZ584" s="8">
        <v>43.86167557826171</v>
      </c>
      <c r="BA584" s="8">
        <v>41.055659007808792</v>
      </c>
      <c r="BB584" s="8">
        <v>0.83675038181656991</v>
      </c>
      <c r="BC584" s="8">
        <v>72.556608203144805</v>
      </c>
      <c r="BD584" s="8">
        <v>67.603916478036652</v>
      </c>
      <c r="BE584" s="8">
        <v>48.227878705538807</v>
      </c>
      <c r="BF584" s="8">
        <v>36.631781375432809</v>
      </c>
      <c r="BG584" s="8">
        <v>0.8351354770614301</v>
      </c>
      <c r="BH584" s="8">
        <v>69.04771354344642</v>
      </c>
      <c r="BI584" s="8">
        <v>75.213882738391831</v>
      </c>
    </row>
    <row r="585" spans="1:61" x14ac:dyDescent="0.15">
      <c r="A585" s="7">
        <v>2018</v>
      </c>
      <c r="B585" s="7">
        <v>133</v>
      </c>
      <c r="C585" s="7">
        <v>1.9740210929314097</v>
      </c>
      <c r="D585" s="7">
        <v>0.34047789528049749</v>
      </c>
      <c r="E585" s="8">
        <v>42.347999237741121</v>
      </c>
      <c r="F585" s="8">
        <v>31.659392929216491</v>
      </c>
      <c r="G585" s="8">
        <v>0.79353367516171969</v>
      </c>
      <c r="H585" s="8">
        <v>70.91174816747106</v>
      </c>
      <c r="I585" s="8">
        <v>66.101031634848752</v>
      </c>
      <c r="J585" s="8">
        <v>45.870776686478592</v>
      </c>
      <c r="K585" s="8">
        <v>37.223559373011518</v>
      </c>
      <c r="L585" s="8">
        <v>0.84524786105962035</v>
      </c>
      <c r="M585" s="8">
        <v>70.263894273679981</v>
      </c>
      <c r="N585" s="8">
        <v>74.006138289282134</v>
      </c>
      <c r="O585" s="8">
        <v>290.04700000000003</v>
      </c>
      <c r="P585" s="8">
        <v>285.608</v>
      </c>
      <c r="Q585" s="8">
        <v>101.28400000000001</v>
      </c>
      <c r="R585" s="8">
        <v>-1.0043200000000001</v>
      </c>
      <c r="S585" s="8">
        <v>-0.39250800000000002</v>
      </c>
      <c r="T585" s="7">
        <f>C585-D585</f>
        <v>1.6335431976509123</v>
      </c>
      <c r="U585" s="8">
        <f>D585/C585</f>
        <v>0.17247936027618116</v>
      </c>
      <c r="V585" s="8">
        <v>43.192067056746652</v>
      </c>
      <c r="W585" s="8">
        <v>31.741534856792008</v>
      </c>
      <c r="X585" s="8">
        <v>0.79957845774251513</v>
      </c>
      <c r="Y585" s="8">
        <v>72.686901433325559</v>
      </c>
      <c r="Z585" s="8">
        <v>65.617335679561549</v>
      </c>
      <c r="AA585" s="7">
        <v>44.531421871612622</v>
      </c>
      <c r="AB585" s="7">
        <v>34.482547114901763</v>
      </c>
      <c r="AC585" s="7">
        <v>0.82241315940106774</v>
      </c>
      <c r="AD585" s="7">
        <v>71.47539785350277</v>
      </c>
      <c r="AE585" s="7">
        <v>69.811736984421842</v>
      </c>
      <c r="AF585" s="8">
        <v>46.348820454972348</v>
      </c>
      <c r="AG585" s="8">
        <v>37.074107448007503</v>
      </c>
      <c r="AH585" s="8">
        <v>0.85366375424599361</v>
      </c>
      <c r="AI585" s="8">
        <v>70.655853543687627</v>
      </c>
      <c r="AJ585" s="8">
        <v>73.691840608335426</v>
      </c>
      <c r="AK585" s="8">
        <v>45.812517638503721</v>
      </c>
      <c r="AL585" s="8">
        <v>37.241773033438847</v>
      </c>
      <c r="AM585" s="8">
        <v>0.84422221872891701</v>
      </c>
      <c r="AN585" s="8">
        <v>70.216126317227946</v>
      </c>
      <c r="AO585" s="8">
        <v>74.044441651608892</v>
      </c>
      <c r="AP585" s="8">
        <v>43.976271455692277</v>
      </c>
      <c r="AQ585" s="8">
        <v>34.505233342962299</v>
      </c>
      <c r="AR585" s="8">
        <v>0.80736017211393896</v>
      </c>
      <c r="AS585" s="8">
        <v>72.25968811109928</v>
      </c>
      <c r="AT585" s="8">
        <v>69.791791002536371</v>
      </c>
      <c r="AU585" s="8">
        <v>44.194572222630129</v>
      </c>
      <c r="AV585" s="8">
        <v>35.980381627636227</v>
      </c>
      <c r="AW585" s="8">
        <v>0.86644831763374119</v>
      </c>
      <c r="AX585" s="8">
        <v>69.985984064118426</v>
      </c>
      <c r="AY585" s="8">
        <v>71.689443606493896</v>
      </c>
      <c r="AZ585" s="8">
        <v>46.25510308059625</v>
      </c>
      <c r="BA585" s="8">
        <v>37.562283707901642</v>
      </c>
      <c r="BB585" s="8">
        <v>0.86799702846882021</v>
      </c>
      <c r="BC585" s="8">
        <v>69.183761649060486</v>
      </c>
      <c r="BD585" s="8">
        <v>75.321258902990436</v>
      </c>
      <c r="BE585" s="8">
        <v>43.433284431369742</v>
      </c>
      <c r="BF585" s="8">
        <v>39.712717752244053</v>
      </c>
      <c r="BG585" s="8">
        <v>0.80324897065741063</v>
      </c>
      <c r="BH585" s="8">
        <v>66.61449439457985</v>
      </c>
      <c r="BI585" s="8">
        <v>79.65046415874022</v>
      </c>
    </row>
    <row r="586" spans="1:61" x14ac:dyDescent="0.15">
      <c r="A586" s="7">
        <v>2021</v>
      </c>
      <c r="B586" s="7">
        <v>104</v>
      </c>
      <c r="C586" s="7">
        <v>10.544395947918957</v>
      </c>
      <c r="D586" s="7">
        <v>2.1598347083933125</v>
      </c>
      <c r="E586" s="8">
        <v>39.695858703307067</v>
      </c>
      <c r="F586" s="8">
        <v>26.721837471966541</v>
      </c>
      <c r="G586" s="8">
        <v>0.79409900134814893</v>
      </c>
      <c r="H586" s="8">
        <v>69.084952539343007</v>
      </c>
      <c r="I586" s="8">
        <v>58.991041123976942</v>
      </c>
      <c r="J586" s="8">
        <v>43.109206748611712</v>
      </c>
      <c r="K586" s="8">
        <v>28.741940217746201</v>
      </c>
      <c r="L586" s="8">
        <v>0.74919904427634332</v>
      </c>
      <c r="M586" s="8">
        <v>72.624346223912823</v>
      </c>
      <c r="N586" s="8">
        <v>77.739910941282787</v>
      </c>
      <c r="O586" s="8">
        <v>287.536</v>
      </c>
      <c r="P586" s="8">
        <v>280.56</v>
      </c>
      <c r="Q586" s="8">
        <v>99.666499999999999</v>
      </c>
      <c r="R586" s="8">
        <v>-0.39192300000000002</v>
      </c>
      <c r="S586" s="8">
        <v>0.40896500000000002</v>
      </c>
      <c r="T586" s="7">
        <f>C586-D586</f>
        <v>8.3845612395256452</v>
      </c>
      <c r="U586" s="8">
        <f>D586/C586</f>
        <v>0.20483247395689627</v>
      </c>
      <c r="V586" s="8">
        <v>39.96003283053885</v>
      </c>
      <c r="W586" s="8">
        <v>26.763862792842577</v>
      </c>
      <c r="X586" s="8">
        <v>0.7327510112878467</v>
      </c>
      <c r="Y586" s="8">
        <v>69.803940981694296</v>
      </c>
      <c r="Z586" s="8">
        <v>74.411848010428898</v>
      </c>
      <c r="AA586" s="7">
        <v>41.534619789575281</v>
      </c>
      <c r="AB586" s="7">
        <v>27.752901505294389</v>
      </c>
      <c r="AC586" s="7">
        <v>0.74097502778209501</v>
      </c>
      <c r="AD586" s="7">
        <v>71.21414360280356</v>
      </c>
      <c r="AE586" s="7">
        <v>76.075879475855842</v>
      </c>
      <c r="AF586" s="8">
        <v>42.046760430487012</v>
      </c>
      <c r="AG586" s="8">
        <v>26.362025795416798</v>
      </c>
      <c r="AH586" s="8">
        <v>0.74898110194481482</v>
      </c>
      <c r="AI586" s="8">
        <v>74.784676289530353</v>
      </c>
      <c r="AJ586" s="8">
        <v>72.905694245181436</v>
      </c>
      <c r="AK586" s="8">
        <v>43.260896985489218</v>
      </c>
      <c r="AL586" s="8">
        <v>29.08173129830503</v>
      </c>
      <c r="AM586" s="8">
        <v>0.74923016088273675</v>
      </c>
      <c r="AN586" s="8">
        <v>72.315906189064265</v>
      </c>
      <c r="AO586" s="8">
        <v>78.430113790348258</v>
      </c>
      <c r="AP586" s="8">
        <v>41.431944632470568</v>
      </c>
      <c r="AQ586" s="8">
        <v>27.24288505674625</v>
      </c>
      <c r="AR586" s="8">
        <v>0.73529728066291133</v>
      </c>
      <c r="AS586" s="8">
        <v>71.094452309907325</v>
      </c>
      <c r="AT586" s="8">
        <v>77.693339280239343</v>
      </c>
      <c r="AU586" s="8">
        <v>36.995434594200539</v>
      </c>
      <c r="AV586" s="8">
        <v>26.008713486055061</v>
      </c>
      <c r="AW586" s="8">
        <v>0.72341363852204266</v>
      </c>
      <c r="AX586" s="8">
        <v>71.485914163797077</v>
      </c>
      <c r="AY586" s="8">
        <v>72.050371388347827</v>
      </c>
      <c r="AZ586" s="8">
        <v>42.5607277333703</v>
      </c>
      <c r="BA586" s="8">
        <v>29.28497255874225</v>
      </c>
      <c r="BB586" s="8">
        <v>0.74326044085530274</v>
      </c>
      <c r="BC586" s="8">
        <v>72.702669850904797</v>
      </c>
      <c r="BD586" s="8">
        <v>78.741086887088244</v>
      </c>
      <c r="BE586" s="8">
        <v>45.615674339243917</v>
      </c>
      <c r="BF586" s="8">
        <v>32.798931149570883</v>
      </c>
      <c r="BG586" s="8">
        <v>0.83121132324177105</v>
      </c>
      <c r="BH586" s="8">
        <v>69.676105772178445</v>
      </c>
      <c r="BI586" s="8">
        <v>90.266550930872839</v>
      </c>
    </row>
    <row r="587" spans="1:61" s="5" customFormat="1" x14ac:dyDescent="0.15">
      <c r="A587" s="7">
        <v>2020</v>
      </c>
      <c r="B587" s="7">
        <v>134</v>
      </c>
      <c r="C587" s="7">
        <v>3.8911133784683263</v>
      </c>
      <c r="D587" s="7">
        <v>1.0646612402464215</v>
      </c>
      <c r="E587" s="8">
        <v>21.904697572311171</v>
      </c>
      <c r="F587" s="8">
        <v>14.31829857452399</v>
      </c>
      <c r="G587" s="8">
        <v>0.7971827557487785</v>
      </c>
      <c r="H587" s="8">
        <v>57.45641176578485</v>
      </c>
      <c r="I587" s="8">
        <v>35.935948460420938</v>
      </c>
      <c r="J587" s="8">
        <v>26.209720009684979</v>
      </c>
      <c r="K587" s="8">
        <v>15.54174681916502</v>
      </c>
      <c r="L587" s="8">
        <v>0.70842696409238648</v>
      </c>
      <c r="M587" s="8">
        <v>55.194872220742063</v>
      </c>
      <c r="N587" s="8">
        <v>41.726378065433749</v>
      </c>
      <c r="O587" s="8">
        <v>291.541</v>
      </c>
      <c r="P587" s="8">
        <v>284.69400000000002</v>
      </c>
      <c r="Q587" s="8">
        <v>82.815399999999997</v>
      </c>
      <c r="R587" s="8">
        <v>0.56508899999999995</v>
      </c>
      <c r="S587" s="8">
        <v>1.3128299999999999</v>
      </c>
      <c r="T587" s="7">
        <f>C587-D587</f>
        <v>2.8264521382219048</v>
      </c>
      <c r="U587" s="8">
        <f>D587/C587</f>
        <v>0.27361352309541498</v>
      </c>
      <c r="V587" s="8">
        <v>21.127288263264262</v>
      </c>
      <c r="W587" s="8">
        <v>13.069819438796038</v>
      </c>
      <c r="X587" s="8">
        <v>0.773772452044173</v>
      </c>
      <c r="Y587" s="8">
        <v>57.022022961078271</v>
      </c>
      <c r="Z587" s="8">
        <v>35.281043826476036</v>
      </c>
      <c r="AA587" s="7">
        <v>23.66850413647462</v>
      </c>
      <c r="AB587" s="7">
        <v>14.305783128980529</v>
      </c>
      <c r="AC587" s="7">
        <v>0.74109970806827974</v>
      </c>
      <c r="AD587" s="7">
        <v>56.108447590910167</v>
      </c>
      <c r="AE587" s="7">
        <v>38.503710945954893</v>
      </c>
      <c r="AF587" s="8">
        <v>26.874150310044161</v>
      </c>
      <c r="AG587" s="8">
        <v>15.359128005959599</v>
      </c>
      <c r="AH587" s="8">
        <v>0.71154756837042887</v>
      </c>
      <c r="AI587" s="8">
        <v>56.971383036361871</v>
      </c>
      <c r="AJ587" s="8">
        <v>41.409861808976643</v>
      </c>
      <c r="AK587" s="8">
        <v>26.124883092602659</v>
      </c>
      <c r="AL587" s="8">
        <v>15.5650642643586</v>
      </c>
      <c r="AM587" s="8">
        <v>0.7080285138016037</v>
      </c>
      <c r="AN587" s="8">
        <v>54.968040752220688</v>
      </c>
      <c r="AO587" s="8">
        <v>41.766792031187173</v>
      </c>
      <c r="AP587" s="8">
        <v>26.937028307651911</v>
      </c>
      <c r="AQ587" s="8">
        <v>13.930433793600731</v>
      </c>
      <c r="AR587" s="8">
        <v>0.65016930888900704</v>
      </c>
      <c r="AS587" s="8">
        <v>53.588719568538806</v>
      </c>
      <c r="AT587" s="8">
        <v>43.117586105877614</v>
      </c>
      <c r="AU587" s="8">
        <v>24.708945518767269</v>
      </c>
      <c r="AV587" s="8">
        <v>14.669116286461421</v>
      </c>
      <c r="AW587" s="8">
        <v>0.59357307886174382</v>
      </c>
      <c r="AX587" s="8">
        <v>55.194225909837343</v>
      </c>
      <c r="AY587" s="8">
        <v>40.805902650192401</v>
      </c>
      <c r="AZ587" s="8">
        <v>27.465557374036969</v>
      </c>
      <c r="BA587" s="8">
        <v>19.511796834011161</v>
      </c>
      <c r="BB587" s="8">
        <v>0.71943218144222076</v>
      </c>
      <c r="BC587" s="8">
        <v>55.415041463446919</v>
      </c>
      <c r="BD587" s="8">
        <v>43.200990369724529</v>
      </c>
      <c r="BE587" s="8">
        <v>21.861688440638709</v>
      </c>
      <c r="BF587" s="8">
        <v>24.226321732274361</v>
      </c>
      <c r="BG587" s="8">
        <v>0.69435298672569012</v>
      </c>
      <c r="BH587" s="8">
        <v>55.194001470761172</v>
      </c>
      <c r="BI587" s="8">
        <v>43.17082667475853</v>
      </c>
    </row>
    <row r="588" spans="1:61" s="5" customFormat="1" x14ac:dyDescent="0.15">
      <c r="A588" s="7">
        <v>2017</v>
      </c>
      <c r="B588" s="7">
        <v>79</v>
      </c>
      <c r="C588" s="7">
        <v>47.683427687739027</v>
      </c>
      <c r="D588" s="7">
        <v>18.790900379410779</v>
      </c>
      <c r="E588" s="8">
        <v>27.22588471257799</v>
      </c>
      <c r="F588" s="8">
        <v>19.103211328117979</v>
      </c>
      <c r="G588" s="8">
        <v>0.79753981339729829</v>
      </c>
      <c r="H588" s="8">
        <v>66.242319920037005</v>
      </c>
      <c r="I588" s="8">
        <v>42.23817362813633</v>
      </c>
      <c r="J588" s="8">
        <v>26.60480961447816</v>
      </c>
      <c r="K588" s="8">
        <v>19.753214055292069</v>
      </c>
      <c r="L588" s="8">
        <v>0.79595698314504315</v>
      </c>
      <c r="M588" s="8">
        <v>61.147486086770698</v>
      </c>
      <c r="N588" s="8">
        <v>44.74851640310267</v>
      </c>
      <c r="O588" s="8">
        <v>287.834</v>
      </c>
      <c r="P588" s="8">
        <v>282.60599999999999</v>
      </c>
      <c r="Q588" s="8">
        <v>79.836500000000001</v>
      </c>
      <c r="R588" s="8">
        <v>0.100643</v>
      </c>
      <c r="S588" s="8">
        <v>0.97954200000000002</v>
      </c>
      <c r="T588" s="7">
        <f>C588-D588</f>
        <v>28.892527308328248</v>
      </c>
      <c r="U588" s="8">
        <f>D588/C588</f>
        <v>0.39407612436055084</v>
      </c>
      <c r="V588" s="8">
        <v>26.871770783301262</v>
      </c>
      <c r="W588" s="8">
        <v>15.92425636573207</v>
      </c>
      <c r="X588" s="8">
        <v>0.75845632241387639</v>
      </c>
      <c r="Y588" s="8">
        <v>65.289673134115077</v>
      </c>
      <c r="Z588" s="8">
        <v>41.183585511270905</v>
      </c>
      <c r="AA588" s="7">
        <v>26.738290198889711</v>
      </c>
      <c r="AB588" s="7">
        <v>17.83873521051207</v>
      </c>
      <c r="AC588" s="7">
        <v>0.77720665277945977</v>
      </c>
      <c r="AD588" s="7">
        <v>63.218579610442887</v>
      </c>
      <c r="AE588" s="7">
        <v>42.966050957186788</v>
      </c>
      <c r="AF588" s="8">
        <v>28.45207580913824</v>
      </c>
      <c r="AG588" s="8">
        <v>22.78960178205222</v>
      </c>
      <c r="AH588" s="8">
        <v>0.85307367783714738</v>
      </c>
      <c r="AI588" s="8">
        <v>60.178384942624298</v>
      </c>
      <c r="AJ588" s="8">
        <v>47.254239358698072</v>
      </c>
      <c r="AK588" s="8">
        <v>26.383163519060119</v>
      </c>
      <c r="AL588" s="8">
        <v>19.388890014849419</v>
      </c>
      <c r="AM588" s="8">
        <v>0.78910377898947204</v>
      </c>
      <c r="AN588" s="8">
        <v>61.263764663884338</v>
      </c>
      <c r="AO588" s="8">
        <v>44.447864709853192</v>
      </c>
      <c r="AP588" s="8">
        <v>26.332481217192701</v>
      </c>
      <c r="AQ588" s="8">
        <v>16.591474797573849</v>
      </c>
      <c r="AR588" s="8">
        <v>0.76426818212029068</v>
      </c>
      <c r="AS588" s="8">
        <v>60.468204607262628</v>
      </c>
      <c r="AT588" s="8">
        <v>44.144946718400867</v>
      </c>
      <c r="AU588" s="8">
        <v>25.737888489848519</v>
      </c>
      <c r="AV588" s="8">
        <v>16.966338264983658</v>
      </c>
      <c r="AW588" s="8">
        <v>0.73264830046134555</v>
      </c>
      <c r="AX588" s="8">
        <v>61.319412662749777</v>
      </c>
      <c r="AY588" s="8">
        <v>40.908691637119013</v>
      </c>
      <c r="AZ588" s="8">
        <v>27.699031863048031</v>
      </c>
      <c r="BA588" s="8">
        <v>25.772091400940379</v>
      </c>
      <c r="BB588" s="8">
        <v>0.88511931297958979</v>
      </c>
      <c r="BC588" s="8">
        <v>57.678443788268623</v>
      </c>
      <c r="BD588" s="8">
        <v>49.904707229817262</v>
      </c>
      <c r="BE588" s="8">
        <v>23.785642783469559</v>
      </c>
      <c r="BF588" s="8">
        <v>23.04080600978606</v>
      </c>
      <c r="BG588" s="8">
        <v>0.71248765953056015</v>
      </c>
      <c r="BH588" s="8">
        <v>60.188172685026082</v>
      </c>
      <c r="BI588" s="8">
        <v>44.540806336934033</v>
      </c>
    </row>
    <row r="589" spans="1:61" s="5" customFormat="1" x14ac:dyDescent="0.15">
      <c r="A589" s="7">
        <v>2017</v>
      </c>
      <c r="B589" s="7">
        <v>56</v>
      </c>
      <c r="C589" s="7">
        <v>160.29347222300035</v>
      </c>
      <c r="D589" s="7">
        <v>85.288607465611676</v>
      </c>
      <c r="E589" s="8">
        <v>31.584692355622551</v>
      </c>
      <c r="F589" s="8">
        <v>15.978705260936691</v>
      </c>
      <c r="G589" s="8">
        <v>0.79776329727772222</v>
      </c>
      <c r="H589" s="8">
        <v>55.760320575037191</v>
      </c>
      <c r="I589" s="8">
        <v>47.861258563293042</v>
      </c>
      <c r="J589" s="8">
        <v>34.83597694886722</v>
      </c>
      <c r="K589" s="8">
        <v>18.871375717925929</v>
      </c>
      <c r="L589" s="8">
        <v>0.84080569916811809</v>
      </c>
      <c r="M589" s="8">
        <v>58.448149815355173</v>
      </c>
      <c r="N589" s="8">
        <v>54.071804199794059</v>
      </c>
      <c r="O589" s="8">
        <v>294.89999999999998</v>
      </c>
      <c r="P589" s="8">
        <v>290.98500000000001</v>
      </c>
      <c r="Q589" s="8">
        <v>98.402699999999996</v>
      </c>
      <c r="R589" s="8">
        <v>-0.71642899999999998</v>
      </c>
      <c r="S589" s="8">
        <v>-0.235014</v>
      </c>
      <c r="T589" s="7">
        <f>C589-D589</f>
        <v>75.004864757388674</v>
      </c>
      <c r="U589" s="8">
        <f>D589/C589</f>
        <v>0.53207785871004232</v>
      </c>
      <c r="V589" s="8">
        <v>31.537414219845367</v>
      </c>
      <c r="W589" s="8">
        <v>14.549694171721768</v>
      </c>
      <c r="X589" s="8">
        <v>0.78181209144640684</v>
      </c>
      <c r="Y589" s="8">
        <v>56.16954972175251</v>
      </c>
      <c r="Z589" s="8">
        <v>47.646973332945436</v>
      </c>
      <c r="AA589" s="7">
        <v>33.186695584356293</v>
      </c>
      <c r="AB589" s="7">
        <v>16.710534944823848</v>
      </c>
      <c r="AC589" s="7">
        <v>0.81130889530726247</v>
      </c>
      <c r="AD589" s="7">
        <v>57.308849768553841</v>
      </c>
      <c r="AE589" s="7">
        <v>50.859388766369747</v>
      </c>
      <c r="AF589" s="8">
        <v>34.890029045668413</v>
      </c>
      <c r="AG589" s="8">
        <v>18.239575807275081</v>
      </c>
      <c r="AH589" s="8">
        <v>0.84320507396861122</v>
      </c>
      <c r="AI589" s="8">
        <v>58.687923688869702</v>
      </c>
      <c r="AJ589" s="8">
        <v>53.963907004960909</v>
      </c>
      <c r="AK589" s="8">
        <v>34.82549677209601</v>
      </c>
      <c r="AL589" s="8">
        <v>18.993875586377008</v>
      </c>
      <c r="AM589" s="8">
        <v>0.84034048369013159</v>
      </c>
      <c r="AN589" s="8">
        <v>58.401659989275103</v>
      </c>
      <c r="AO589" s="8">
        <v>54.092724418284881</v>
      </c>
      <c r="AP589" s="8">
        <v>34.847156202985978</v>
      </c>
      <c r="AQ589" s="8">
        <v>17.32641369930294</v>
      </c>
      <c r="AR589" s="8">
        <v>0.82926900356038924</v>
      </c>
      <c r="AS589" s="8">
        <v>59.530452630150663</v>
      </c>
      <c r="AT589" s="8">
        <v>54.086530525252577</v>
      </c>
      <c r="AU589" s="8">
        <v>32.073722523663683</v>
      </c>
      <c r="AV589" s="8">
        <v>18.809470408159601</v>
      </c>
      <c r="AW589" s="8">
        <v>0.81452828206901307</v>
      </c>
      <c r="AX589" s="8">
        <v>57.643061136460837</v>
      </c>
      <c r="AY589" s="8">
        <v>50.601495300141451</v>
      </c>
      <c r="AZ589" s="8">
        <v>35.346444192137042</v>
      </c>
      <c r="BA589" s="8">
        <v>20.472998563079891</v>
      </c>
      <c r="BB589" s="8">
        <v>0.83846130952793774</v>
      </c>
      <c r="BC589" s="8">
        <v>57.18707540997859</v>
      </c>
      <c r="BD589" s="8">
        <v>54.777069334738243</v>
      </c>
      <c r="BE589" s="8">
        <v>29.399231219773839</v>
      </c>
      <c r="BF589" s="8">
        <v>18.308220213854419</v>
      </c>
      <c r="BG589" s="8">
        <v>0.76934603821424574</v>
      </c>
      <c r="BH589" s="8">
        <v>55.776784706743634</v>
      </c>
      <c r="BI589" s="8">
        <v>48.76836987993584</v>
      </c>
    </row>
    <row r="590" spans="1:61" s="5" customFormat="1" x14ac:dyDescent="0.15">
      <c r="A590" s="7">
        <v>2019</v>
      </c>
      <c r="B590" s="7">
        <v>148</v>
      </c>
      <c r="C590" s="7">
        <v>37.668501924976695</v>
      </c>
      <c r="D590" s="7">
        <v>8.8421807833896295</v>
      </c>
      <c r="E590" s="8">
        <v>38.455656935738823</v>
      </c>
      <c r="F590" s="8">
        <v>26.61838754701132</v>
      </c>
      <c r="G590" s="8">
        <v>0.79809185557477114</v>
      </c>
      <c r="H590" s="8">
        <v>80.500992314873713</v>
      </c>
      <c r="I590" s="8">
        <v>72.119815189963944</v>
      </c>
      <c r="J590" s="8">
        <v>45.491762857984007</v>
      </c>
      <c r="K590" s="8">
        <v>34.018882124893352</v>
      </c>
      <c r="L590" s="8">
        <v>1.0444760494251439</v>
      </c>
      <c r="M590" s="8">
        <v>69.501432904650457</v>
      </c>
      <c r="N590" s="8">
        <v>84.36532623085597</v>
      </c>
      <c r="O590" s="8">
        <v>284.59899999999999</v>
      </c>
      <c r="P590" s="8">
        <v>274.08300000000003</v>
      </c>
      <c r="Q590" s="8">
        <v>89.790199999999999</v>
      </c>
      <c r="R590" s="8">
        <v>0.17372899999999999</v>
      </c>
      <c r="S590" s="8">
        <v>7.2216799999999998E-2</v>
      </c>
      <c r="T590" s="7">
        <f>C590-D590</f>
        <v>28.826321141587066</v>
      </c>
      <c r="U590" s="8">
        <f>D590/C590</f>
        <v>0.23473672515568456</v>
      </c>
      <c r="V590" s="8">
        <v>34.482968221444018</v>
      </c>
      <c r="W590" s="8">
        <v>28.229048885064771</v>
      </c>
      <c r="X590" s="8">
        <v>0.83285089409669122</v>
      </c>
      <c r="Y590" s="8">
        <v>74.744159505588627</v>
      </c>
      <c r="Z590" s="8">
        <v>64.41852604453959</v>
      </c>
      <c r="AA590" s="7">
        <v>39.987365539714013</v>
      </c>
      <c r="AB590" s="7">
        <v>31.123965504979061</v>
      </c>
      <c r="AC590" s="7">
        <v>0.93866347176091758</v>
      </c>
      <c r="AD590" s="7">
        <v>72.122796205119542</v>
      </c>
      <c r="AE590" s="7">
        <v>74.39192613769778</v>
      </c>
      <c r="AF590" s="8">
        <v>46.630541837064172</v>
      </c>
      <c r="AG590" s="8">
        <v>34.114379018870622</v>
      </c>
      <c r="AH590" s="8">
        <v>1.0027025721472591</v>
      </c>
      <c r="AI590" s="8">
        <v>68.340040089372494</v>
      </c>
      <c r="AJ590" s="8">
        <v>85.382162039852048</v>
      </c>
      <c r="AK590" s="8">
        <v>45.318148128706483</v>
      </c>
      <c r="AL590" s="8">
        <v>34.004322963107541</v>
      </c>
      <c r="AM590" s="8">
        <v>1.0508447048726131</v>
      </c>
      <c r="AN590" s="8">
        <v>69.678495269616306</v>
      </c>
      <c r="AO590" s="8">
        <v>84.210302581015554</v>
      </c>
      <c r="AP590" s="8">
        <v>44.120998196612803</v>
      </c>
      <c r="AQ590" s="8">
        <v>33.756633496218313</v>
      </c>
      <c r="AR590" s="8">
        <v>1.0111051585779689</v>
      </c>
      <c r="AS590" s="8">
        <v>68.768988339872053</v>
      </c>
      <c r="AT590" s="8">
        <v>79.013323521662329</v>
      </c>
      <c r="AU590" s="8">
        <v>33.713189932418587</v>
      </c>
      <c r="AV590" s="8">
        <v>31.960107196190251</v>
      </c>
      <c r="AW590" s="8">
        <v>0.96473220222925715</v>
      </c>
      <c r="AX590" s="8">
        <v>66.749431060150044</v>
      </c>
      <c r="AY590" s="8">
        <v>66.550735527842164</v>
      </c>
      <c r="AZ590" s="8">
        <v>50.60460553377807</v>
      </c>
      <c r="BA590" s="8">
        <v>35.463776796582863</v>
      </c>
      <c r="BB590" s="8">
        <v>1.149125961281984</v>
      </c>
      <c r="BC590" s="8">
        <v>72.015135460671218</v>
      </c>
      <c r="BD590" s="8">
        <v>93.681441931862551</v>
      </c>
      <c r="BE590" s="8">
        <v>44.466113091225168</v>
      </c>
      <c r="BF590" s="8">
        <v>37.555749995337827</v>
      </c>
      <c r="BG590" s="8">
        <v>0.86472773649734103</v>
      </c>
      <c r="BH590" s="8">
        <v>61.954809156563321</v>
      </c>
      <c r="BI590" s="8">
        <v>91.50347733036601</v>
      </c>
    </row>
    <row r="591" spans="1:61" s="5" customFormat="1" x14ac:dyDescent="0.15">
      <c r="A591" s="7">
        <v>2017</v>
      </c>
      <c r="B591" s="7">
        <v>14</v>
      </c>
      <c r="C591" s="7">
        <v>22.159208883604506</v>
      </c>
      <c r="D591" s="7">
        <v>9.4171828682003529</v>
      </c>
      <c r="E591" s="8">
        <v>39.6349547474139</v>
      </c>
      <c r="F591" s="8">
        <v>34.264490604123779</v>
      </c>
      <c r="G591" s="8">
        <v>0.79855290299307813</v>
      </c>
      <c r="H591" s="8">
        <v>67.945616290016687</v>
      </c>
      <c r="I591" s="8">
        <v>61.185607660842983</v>
      </c>
      <c r="J591" s="8">
        <v>45.92831588721053</v>
      </c>
      <c r="K591" s="8">
        <v>41.580801426184138</v>
      </c>
      <c r="L591" s="8">
        <v>0.8908411697514379</v>
      </c>
      <c r="M591" s="8">
        <v>71.952330120705881</v>
      </c>
      <c r="N591" s="8">
        <v>70.733017204023412</v>
      </c>
      <c r="O591" s="8">
        <v>290.39699999999999</v>
      </c>
      <c r="P591" s="8">
        <v>285.488</v>
      </c>
      <c r="Q591" s="8">
        <v>101.503</v>
      </c>
      <c r="R591" s="8">
        <v>-0.93911199999999995</v>
      </c>
      <c r="S591" s="8">
        <v>-2.0546399999999999E-2</v>
      </c>
      <c r="T591" s="7">
        <f>C591-D591</f>
        <v>12.742026015404154</v>
      </c>
      <c r="U591" s="8">
        <f>D591/C591</f>
        <v>0.42497829763083655</v>
      </c>
      <c r="V591" s="8">
        <v>46.059281883630675</v>
      </c>
      <c r="W591" s="8">
        <v>34.093365992396741</v>
      </c>
      <c r="X591" s="8">
        <v>0.95024620246095759</v>
      </c>
      <c r="Y591" s="8">
        <v>70.445410530547377</v>
      </c>
      <c r="Z591" s="8">
        <v>68.515423545270465</v>
      </c>
      <c r="AA591" s="7">
        <v>45.993798885420603</v>
      </c>
      <c r="AB591" s="7">
        <v>37.83708370929044</v>
      </c>
      <c r="AC591" s="7">
        <v>0.92054368610619774</v>
      </c>
      <c r="AD591" s="7">
        <v>71.198870325626629</v>
      </c>
      <c r="AE591" s="7">
        <v>69.624220374646939</v>
      </c>
      <c r="AF591" s="8">
        <v>44.797711552197391</v>
      </c>
      <c r="AG591" s="8">
        <v>41.877256913859291</v>
      </c>
      <c r="AH591" s="8">
        <v>0.88094896274916079</v>
      </c>
      <c r="AI591" s="8">
        <v>71.254930381167682</v>
      </c>
      <c r="AJ591" s="8">
        <v>68.362148751234187</v>
      </c>
      <c r="AK591" s="8">
        <v>46.000432461437207</v>
      </c>
      <c r="AL591" s="8">
        <v>41.56189175679782</v>
      </c>
      <c r="AM591" s="8">
        <v>0.89147215272085745</v>
      </c>
      <c r="AN591" s="8">
        <v>71.996814365569023</v>
      </c>
      <c r="AO591" s="8">
        <v>70.884245096454308</v>
      </c>
      <c r="AP591" s="8">
        <v>45.662007668089871</v>
      </c>
      <c r="AQ591" s="8">
        <v>37.758451134030743</v>
      </c>
      <c r="AR591" s="8">
        <v>0.92667381134551541</v>
      </c>
      <c r="AS591" s="8">
        <v>71.787564691584095</v>
      </c>
      <c r="AT591" s="8">
        <v>68.700178656549909</v>
      </c>
      <c r="AU591" s="8">
        <v>46.361529983679787</v>
      </c>
      <c r="AV591" s="8">
        <v>36.427551096531097</v>
      </c>
      <c r="AW591" s="8">
        <v>0.85812161475292781</v>
      </c>
      <c r="AX591" s="8">
        <v>70.016159414736734</v>
      </c>
      <c r="AY591" s="8">
        <v>73.655349650893641</v>
      </c>
      <c r="AZ591" s="8">
        <v>45.976720581203729</v>
      </c>
      <c r="BA591" s="8">
        <v>41.309726084099857</v>
      </c>
      <c r="BB591" s="8">
        <v>0.87924873328459785</v>
      </c>
      <c r="BC591" s="8">
        <v>71.856544251481836</v>
      </c>
      <c r="BD591" s="8">
        <v>70.986556923098121</v>
      </c>
      <c r="BE591" s="8">
        <v>54.360133697458487</v>
      </c>
      <c r="BF591" s="8">
        <v>36.828060462031473</v>
      </c>
      <c r="BG591" s="8">
        <v>0.94882147000164041</v>
      </c>
      <c r="BH591" s="8">
        <v>69.648619359432388</v>
      </c>
      <c r="BI591" s="8">
        <v>88.961640287271905</v>
      </c>
    </row>
    <row r="592" spans="1:61" s="5" customFormat="1" x14ac:dyDescent="0.15">
      <c r="A592" s="7">
        <v>2020</v>
      </c>
      <c r="B592" s="7">
        <v>55</v>
      </c>
      <c r="C592" s="7">
        <v>161.11999713591865</v>
      </c>
      <c r="D592" s="7">
        <v>57.833783610962115</v>
      </c>
      <c r="E592" s="8">
        <v>43.684344665341747</v>
      </c>
      <c r="F592" s="8">
        <v>27.656262489943181</v>
      </c>
      <c r="G592" s="8">
        <v>0.79924079178962715</v>
      </c>
      <c r="H592" s="8">
        <v>73.686444886529117</v>
      </c>
      <c r="I592" s="8">
        <v>70.143383549433395</v>
      </c>
      <c r="J592" s="8">
        <v>50.424929492868131</v>
      </c>
      <c r="K592" s="8">
        <v>30.224840304369121</v>
      </c>
      <c r="L592" s="8">
        <v>0.81879992362135112</v>
      </c>
      <c r="M592" s="8">
        <v>71.515855530548961</v>
      </c>
      <c r="N592" s="8">
        <v>86.640143676189382</v>
      </c>
      <c r="O592" s="8">
        <v>288.43299999999999</v>
      </c>
      <c r="P592" s="8">
        <v>281.43700000000001</v>
      </c>
      <c r="Q592" s="8">
        <v>100.941</v>
      </c>
      <c r="R592" s="8">
        <v>-0.47066000000000002</v>
      </c>
      <c r="S592" s="8">
        <v>0.30042799999999997</v>
      </c>
      <c r="T592" s="7">
        <f>C592-D592</f>
        <v>103.28621352495654</v>
      </c>
      <c r="U592" s="8">
        <f>D592/C592</f>
        <v>0.35894851439312225</v>
      </c>
      <c r="V592" s="8">
        <v>48.289485608187803</v>
      </c>
      <c r="W592" s="8">
        <v>34.479516666778721</v>
      </c>
      <c r="X592" s="8">
        <v>0.80503173849044474</v>
      </c>
      <c r="Y592" s="8">
        <v>68.036174301923737</v>
      </c>
      <c r="Z592" s="8">
        <v>78.36993253808339</v>
      </c>
      <c r="AA592" s="7">
        <v>49.357207550527967</v>
      </c>
      <c r="AB592" s="7">
        <v>32.352178485573923</v>
      </c>
      <c r="AC592" s="7">
        <v>0.81191583105589793</v>
      </c>
      <c r="AD592" s="7">
        <v>69.776014916236349</v>
      </c>
      <c r="AE592" s="7">
        <v>82.505038107136386</v>
      </c>
      <c r="AF592" s="8">
        <v>49.923084532940138</v>
      </c>
      <c r="AG592" s="8">
        <v>29.63354698704428</v>
      </c>
      <c r="AH592" s="8">
        <v>0.81023550283596024</v>
      </c>
      <c r="AI592" s="8">
        <v>72.670979629611637</v>
      </c>
      <c r="AJ592" s="8">
        <v>84.568358718514062</v>
      </c>
      <c r="AK592" s="8">
        <v>50.466739323329641</v>
      </c>
      <c r="AL592" s="8">
        <v>30.274102278333981</v>
      </c>
      <c r="AM592" s="8">
        <v>0.81951344474765564</v>
      </c>
      <c r="AN592" s="8">
        <v>71.419619548123762</v>
      </c>
      <c r="AO592" s="8">
        <v>86.812748733029125</v>
      </c>
      <c r="AP592" s="8">
        <v>49.562099504402148</v>
      </c>
      <c r="AQ592" s="8">
        <v>32.854664356361589</v>
      </c>
      <c r="AR592" s="8">
        <v>0.81532580623891737</v>
      </c>
      <c r="AS592" s="8">
        <v>69.315718267666384</v>
      </c>
      <c r="AT592" s="8">
        <v>82.166580809404593</v>
      </c>
      <c r="AU592" s="8">
        <v>38.416721514809751</v>
      </c>
      <c r="AV592" s="8">
        <v>25.868192614444041</v>
      </c>
      <c r="AW592" s="8">
        <v>0.73602151484620637</v>
      </c>
      <c r="AX592" s="8">
        <v>73.455307352654188</v>
      </c>
      <c r="AY592" s="8">
        <v>75.565264600553192</v>
      </c>
      <c r="AZ592" s="8">
        <v>50.691632221932338</v>
      </c>
      <c r="BA592" s="8">
        <v>30.7548650301921</v>
      </c>
      <c r="BB592" s="8">
        <v>0.82712160463486351</v>
      </c>
      <c r="BC592" s="8">
        <v>71.202846117832777</v>
      </c>
      <c r="BD592" s="8">
        <v>88.242306239864476</v>
      </c>
      <c r="BE592" s="8">
        <v>50.154706957471163</v>
      </c>
      <c r="BF592" s="8">
        <v>32.115751000005901</v>
      </c>
      <c r="BG592" s="8">
        <v>0.87904586380269778</v>
      </c>
      <c r="BH592" s="8">
        <v>70.403619436558316</v>
      </c>
      <c r="BI592" s="8">
        <v>89.630107487771042</v>
      </c>
    </row>
    <row r="593" spans="1:61" s="5" customFormat="1" x14ac:dyDescent="0.15">
      <c r="A593" s="7">
        <v>2018</v>
      </c>
      <c r="B593" s="7">
        <v>110</v>
      </c>
      <c r="C593" s="7">
        <v>28.327483648377076</v>
      </c>
      <c r="D593" s="7">
        <v>8.0818525765508937</v>
      </c>
      <c r="E593" s="8">
        <v>36.981048645298181</v>
      </c>
      <c r="F593" s="8">
        <v>17.925803001391081</v>
      </c>
      <c r="G593" s="8">
        <v>0.79977527856285646</v>
      </c>
      <c r="H593" s="8">
        <v>68.357669492714166</v>
      </c>
      <c r="I593" s="8">
        <v>57.937465274513187</v>
      </c>
      <c r="J593" s="8">
        <v>44.30954785582815</v>
      </c>
      <c r="K593" s="8">
        <v>22.224366826140479</v>
      </c>
      <c r="L593" s="8">
        <v>0.97711393407942237</v>
      </c>
      <c r="M593" s="8">
        <v>67.262492738125644</v>
      </c>
      <c r="N593" s="8">
        <v>66.732158105714177</v>
      </c>
      <c r="O593" s="8">
        <v>290.88</v>
      </c>
      <c r="P593" s="8">
        <v>286.15600000000001</v>
      </c>
      <c r="Q593" s="8">
        <v>100.596</v>
      </c>
      <c r="R593" s="8">
        <v>-0.43532900000000002</v>
      </c>
      <c r="S593" s="8">
        <v>-0.76617500000000005</v>
      </c>
      <c r="T593" s="7">
        <f>C593-D593</f>
        <v>20.245631071826182</v>
      </c>
      <c r="U593" s="8">
        <f>D593/C593</f>
        <v>0.28530075868612903</v>
      </c>
      <c r="V593" s="8">
        <v>45.451724410073972</v>
      </c>
      <c r="W593" s="8">
        <v>23.609672226501782</v>
      </c>
      <c r="X593" s="8">
        <v>0.82191060666714666</v>
      </c>
      <c r="Y593" s="8">
        <v>64.606969949401616</v>
      </c>
      <c r="Z593" s="8">
        <v>64.890674119432674</v>
      </c>
      <c r="AA593" s="7">
        <v>44.880636132951061</v>
      </c>
      <c r="AB593" s="7">
        <v>22.91701952632113</v>
      </c>
      <c r="AC593" s="7">
        <v>0.89951227037328452</v>
      </c>
      <c r="AD593" s="7">
        <v>65.93473134376363</v>
      </c>
      <c r="AE593" s="7">
        <v>65.811416112573426</v>
      </c>
      <c r="AF593" s="8">
        <v>44.869585652689679</v>
      </c>
      <c r="AG593" s="8">
        <v>22.039074870789811</v>
      </c>
      <c r="AH593" s="8">
        <v>0.97439850230592884</v>
      </c>
      <c r="AI593" s="8">
        <v>68.439736418741049</v>
      </c>
      <c r="AJ593" s="8">
        <v>67.569572628408679</v>
      </c>
      <c r="AK593" s="8">
        <v>44.206063141337928</v>
      </c>
      <c r="AL593" s="8">
        <v>22.258605381474169</v>
      </c>
      <c r="AM593" s="8">
        <v>0.97761569607365306</v>
      </c>
      <c r="AN593" s="8">
        <v>67.044959695076315</v>
      </c>
      <c r="AO593" s="8">
        <v>66.577419259020871</v>
      </c>
      <c r="AP593" s="8">
        <v>44.619245732503238</v>
      </c>
      <c r="AQ593" s="8">
        <v>22.587723067668389</v>
      </c>
      <c r="AR593" s="8">
        <v>0.88999622724250804</v>
      </c>
      <c r="AS593" s="8">
        <v>66.496415443898528</v>
      </c>
      <c r="AT593" s="8">
        <v>65.616215378691919</v>
      </c>
      <c r="AU593" s="8">
        <v>39.604118444191052</v>
      </c>
      <c r="AV593" s="8">
        <v>28.56536276928097</v>
      </c>
      <c r="AW593" s="8">
        <v>0.9281106296706304</v>
      </c>
      <c r="AX593" s="8">
        <v>60.321096133768087</v>
      </c>
      <c r="AY593" s="8">
        <v>72.199588456793734</v>
      </c>
      <c r="AZ593" s="8">
        <v>44.810315172587238</v>
      </c>
      <c r="BA593" s="8">
        <v>24.32305672823157</v>
      </c>
      <c r="BB593" s="8">
        <v>1.0230221543121929</v>
      </c>
      <c r="BC593" s="8">
        <v>65.756342961528489</v>
      </c>
      <c r="BD593" s="8">
        <v>68.296294804922496</v>
      </c>
      <c r="BE593" s="8">
        <v>34.161902447364589</v>
      </c>
      <c r="BF593" s="8">
        <v>25.38933192642034</v>
      </c>
      <c r="BG593" s="8">
        <v>0.55000870239715982</v>
      </c>
      <c r="BH593" s="8">
        <v>63.895950571651483</v>
      </c>
      <c r="BI593" s="8">
        <v>63.703726490077749</v>
      </c>
    </row>
    <row r="594" spans="1:61" s="5" customFormat="1" x14ac:dyDescent="0.15">
      <c r="A594" s="7">
        <v>2018</v>
      </c>
      <c r="B594" s="7">
        <v>68</v>
      </c>
      <c r="C594" s="7">
        <v>33.446430136049763</v>
      </c>
      <c r="D594" s="7">
        <v>15.223857908707489</v>
      </c>
      <c r="E594" s="8">
        <v>32.256931836664847</v>
      </c>
      <c r="F594" s="8">
        <v>16.029252504894551</v>
      </c>
      <c r="G594" s="8">
        <v>0.80034836093714612</v>
      </c>
      <c r="H594" s="8">
        <v>68.014042047257121</v>
      </c>
      <c r="I594" s="8">
        <v>51.241693466214493</v>
      </c>
      <c r="J594" s="8">
        <v>39.713759232571377</v>
      </c>
      <c r="K594" s="8">
        <v>18.82944505589851</v>
      </c>
      <c r="L594" s="8">
        <v>0.92804852516209835</v>
      </c>
      <c r="M594" s="8">
        <v>62.964023540159381</v>
      </c>
      <c r="N594" s="8">
        <v>57.754442689221399</v>
      </c>
      <c r="O594" s="8">
        <v>289.82799999999997</v>
      </c>
      <c r="P594" s="8">
        <v>285.76400000000001</v>
      </c>
      <c r="Q594" s="8">
        <v>97.619699999999995</v>
      </c>
      <c r="R594" s="8">
        <v>-0.368807</v>
      </c>
      <c r="S594" s="8">
        <v>-0.68906000000000001</v>
      </c>
      <c r="T594" s="7">
        <f>C594-D594</f>
        <v>18.222572227342276</v>
      </c>
      <c r="U594" s="8">
        <f>D594/C594</f>
        <v>0.4551713844132701</v>
      </c>
      <c r="V594" s="8">
        <v>34.91039484650274</v>
      </c>
      <c r="W594" s="8">
        <v>17.049589098292607</v>
      </c>
      <c r="X594" s="8">
        <v>0.73982524076343548</v>
      </c>
      <c r="Y594" s="8">
        <v>66.051877732573473</v>
      </c>
      <c r="Z594" s="8">
        <v>53.299201081954301</v>
      </c>
      <c r="AA594" s="7">
        <v>37.312077039537058</v>
      </c>
      <c r="AB594" s="7">
        <v>17.939517077095559</v>
      </c>
      <c r="AC594" s="7">
        <v>0.83393688296276691</v>
      </c>
      <c r="AD594" s="7">
        <v>64.507950636366431</v>
      </c>
      <c r="AE594" s="7">
        <v>55.52682188558785</v>
      </c>
      <c r="AF594" s="8">
        <v>39.770567748485512</v>
      </c>
      <c r="AG594" s="8">
        <v>18.717961168356091</v>
      </c>
      <c r="AH594" s="8">
        <v>0.941673502597835</v>
      </c>
      <c r="AI594" s="8">
        <v>64.54486026102326</v>
      </c>
      <c r="AJ594" s="8">
        <v>58.580376884280959</v>
      </c>
      <c r="AK594" s="8">
        <v>39.708019994532911</v>
      </c>
      <c r="AL594" s="8">
        <v>18.840708025151741</v>
      </c>
      <c r="AM594" s="8">
        <v>0.92667202398944137</v>
      </c>
      <c r="AN594" s="8">
        <v>62.804315121535453</v>
      </c>
      <c r="AO594" s="8">
        <v>57.671000394113094</v>
      </c>
      <c r="AP594" s="8">
        <v>40.378122194198752</v>
      </c>
      <c r="AQ594" s="8">
        <v>18.900712308135969</v>
      </c>
      <c r="AR594" s="8">
        <v>0.84864791182951416</v>
      </c>
      <c r="AS594" s="8">
        <v>61.771377549516252</v>
      </c>
      <c r="AT594" s="8">
        <v>57.641209004707349</v>
      </c>
      <c r="AU594" s="8">
        <v>39.892808959901608</v>
      </c>
      <c r="AV594" s="8">
        <v>23.924026069910209</v>
      </c>
      <c r="AW594" s="8">
        <v>0.88019628912145942</v>
      </c>
      <c r="AX594" s="8">
        <v>59.779028250677293</v>
      </c>
      <c r="AY594" s="8">
        <v>67.729312625241079</v>
      </c>
      <c r="AZ594" s="8">
        <v>42.151336784453598</v>
      </c>
      <c r="BA594" s="8">
        <v>20.68325842825579</v>
      </c>
      <c r="BB594" s="8">
        <v>1.019878701507837</v>
      </c>
      <c r="BC594" s="8">
        <v>64.088962331977854</v>
      </c>
      <c r="BD594" s="8">
        <v>61.214109385668138</v>
      </c>
      <c r="BE594" s="8">
        <v>35.299972542982061</v>
      </c>
      <c r="BF594" s="8">
        <v>30.380178043737839</v>
      </c>
      <c r="BG594" s="8">
        <v>0.65944016068123368</v>
      </c>
      <c r="BH594" s="8">
        <v>53.764816019352082</v>
      </c>
      <c r="BI594" s="8">
        <v>62.652805053537463</v>
      </c>
    </row>
    <row r="595" spans="1:61" s="5" customFormat="1" x14ac:dyDescent="0.15">
      <c r="A595" s="7">
        <v>2019</v>
      </c>
      <c r="B595" s="7">
        <v>116</v>
      </c>
      <c r="C595" s="7">
        <v>9.5852939593677728</v>
      </c>
      <c r="D595" s="7">
        <v>9.2304692949719929</v>
      </c>
      <c r="E595" s="8">
        <v>42.68317263204478</v>
      </c>
      <c r="F595" s="8">
        <v>20.259178471335009</v>
      </c>
      <c r="G595" s="8">
        <v>0.80134160302042245</v>
      </c>
      <c r="H595" s="8">
        <v>75.710190944858155</v>
      </c>
      <c r="I595" s="8">
        <v>63.09970600467792</v>
      </c>
      <c r="J595" s="8">
        <v>52.446172546099639</v>
      </c>
      <c r="K595" s="8">
        <v>28.046519318756651</v>
      </c>
      <c r="L595" s="8">
        <v>0.86905793043993163</v>
      </c>
      <c r="M595" s="8">
        <v>75.105659362614588</v>
      </c>
      <c r="N595" s="8">
        <v>86.494855042990523</v>
      </c>
      <c r="O595" s="8">
        <v>288.58699999999999</v>
      </c>
      <c r="P595" s="8">
        <v>280.49599999999998</v>
      </c>
      <c r="Q595" s="8">
        <v>97.769000000000005</v>
      </c>
      <c r="R595" s="8">
        <v>-2.1863400000000002E-2</v>
      </c>
      <c r="S595" s="8">
        <v>-0.134607</v>
      </c>
      <c r="T595" s="7">
        <f>C595-D595</f>
        <v>0.35482466439577998</v>
      </c>
      <c r="U595" s="8">
        <f>D595/C595</f>
        <v>0.96298239095223492</v>
      </c>
      <c r="V595" s="8">
        <v>42.876764402590148</v>
      </c>
      <c r="W595" s="8">
        <v>25.341643720846008</v>
      </c>
      <c r="X595" s="8">
        <v>0.87307957824867477</v>
      </c>
      <c r="Y595" s="8">
        <v>68.543980628438661</v>
      </c>
      <c r="Z595" s="8">
        <v>67.705030770557855</v>
      </c>
      <c r="AA595" s="7">
        <v>47.661468474344893</v>
      </c>
      <c r="AB595" s="7">
        <v>26.69408151980133</v>
      </c>
      <c r="AC595" s="7">
        <v>0.8710687543443032</v>
      </c>
      <c r="AD595" s="7">
        <v>71.824819995526624</v>
      </c>
      <c r="AE595" s="7">
        <v>77.099942906774189</v>
      </c>
      <c r="AF595" s="8">
        <v>49.772259426786377</v>
      </c>
      <c r="AG595" s="8">
        <v>26.373224429239269</v>
      </c>
      <c r="AH595" s="8">
        <v>0.83549814284296664</v>
      </c>
      <c r="AI595" s="8">
        <v>75.987725197062204</v>
      </c>
      <c r="AJ595" s="8">
        <v>81.118789558486128</v>
      </c>
      <c r="AK595" s="8">
        <v>52.981961016031143</v>
      </c>
      <c r="AL595" s="8">
        <v>28.381807740105579</v>
      </c>
      <c r="AM595" s="8">
        <v>0.87578251214676817</v>
      </c>
      <c r="AN595" s="8">
        <v>74.928914388963776</v>
      </c>
      <c r="AO595" s="8">
        <v>87.572090454788025</v>
      </c>
      <c r="AP595" s="8">
        <v>48.126593328666509</v>
      </c>
      <c r="AQ595" s="8">
        <v>28.231546123617949</v>
      </c>
      <c r="AR595" s="8">
        <v>0.88937106155977153</v>
      </c>
      <c r="AS595" s="8">
        <v>69.914167792228369</v>
      </c>
      <c r="AT595" s="8">
        <v>79.475004454158608</v>
      </c>
      <c r="AU595" s="8">
        <v>38.331763341853787</v>
      </c>
      <c r="AV595" s="8">
        <v>23.600103144603668</v>
      </c>
      <c r="AW595" s="8">
        <v>0.80967868152451539</v>
      </c>
      <c r="AX595" s="8">
        <v>72.93318244385722</v>
      </c>
      <c r="AY595" s="8">
        <v>60.497939262703717</v>
      </c>
      <c r="AZ595" s="8">
        <v>52.150215696632273</v>
      </c>
      <c r="BA595" s="8">
        <v>28.28875060972889</v>
      </c>
      <c r="BB595" s="8">
        <v>0.89821785500105111</v>
      </c>
      <c r="BC595" s="8">
        <v>74.673693341787953</v>
      </c>
      <c r="BD595" s="8">
        <v>85.757800778643144</v>
      </c>
      <c r="BE595" s="8">
        <v>39.427800545993691</v>
      </c>
      <c r="BF595" s="8">
        <v>32.067391179646982</v>
      </c>
      <c r="BG595" s="8">
        <v>0.73278405166850935</v>
      </c>
      <c r="BH595" s="8">
        <v>64.970352768289359</v>
      </c>
      <c r="BI595" s="8">
        <v>83.758240537873874</v>
      </c>
    </row>
    <row r="596" spans="1:61" s="5" customFormat="1" x14ac:dyDescent="0.15">
      <c r="A596" s="7">
        <v>2017</v>
      </c>
      <c r="B596" s="7">
        <v>5</v>
      </c>
      <c r="C596" s="7">
        <v>7.9376374289229901</v>
      </c>
      <c r="D596" s="7">
        <v>1.6039757593344639</v>
      </c>
      <c r="E596" s="8">
        <v>34.167434851367872</v>
      </c>
      <c r="F596" s="8">
        <v>35.624164012958538</v>
      </c>
      <c r="G596" s="8">
        <v>0.80154870423609392</v>
      </c>
      <c r="H596" s="8">
        <v>55.130131358171163</v>
      </c>
      <c r="I596" s="8">
        <v>49.631738056905483</v>
      </c>
      <c r="J596" s="8">
        <v>35.492307087729714</v>
      </c>
      <c r="K596" s="8">
        <v>38.198645347544762</v>
      </c>
      <c r="L596" s="8">
        <v>0.86692988164972662</v>
      </c>
      <c r="M596" s="8">
        <v>55.960935785609962</v>
      </c>
      <c r="N596" s="8">
        <v>53.985537060673053</v>
      </c>
      <c r="O596" s="8">
        <v>295.84300000000002</v>
      </c>
      <c r="P596" s="8">
        <v>291.50599999999997</v>
      </c>
      <c r="Q596" s="8">
        <v>100.18899999999999</v>
      </c>
      <c r="R596" s="8">
        <v>-0.67365600000000003</v>
      </c>
      <c r="S596" s="8">
        <v>-0.54054899999999995</v>
      </c>
      <c r="T596" s="7">
        <f>C596-D596</f>
        <v>6.3336616695885262</v>
      </c>
      <c r="U596" s="8">
        <f>D596/C596</f>
        <v>0.20207218756174627</v>
      </c>
      <c r="V596" s="8">
        <v>34.004615229486873</v>
      </c>
      <c r="W596" s="8">
        <v>31.927057749841843</v>
      </c>
      <c r="X596" s="8">
        <v>0.81405739417766254</v>
      </c>
      <c r="Y596" s="8">
        <v>56.711711771403102</v>
      </c>
      <c r="Z596" s="8">
        <v>47.344616019503363</v>
      </c>
      <c r="AA596" s="7">
        <v>34.748461158608293</v>
      </c>
      <c r="AB596" s="7">
        <v>35.062851548693303</v>
      </c>
      <c r="AC596" s="7">
        <v>0.84049363791369458</v>
      </c>
      <c r="AD596" s="7">
        <v>56.336323778506532</v>
      </c>
      <c r="AE596" s="7">
        <v>50.665076540088208</v>
      </c>
      <c r="AF596" s="8">
        <v>35.606228581888033</v>
      </c>
      <c r="AG596" s="8">
        <v>37.322576245492122</v>
      </c>
      <c r="AH596" s="8">
        <v>0.87381211199685493</v>
      </c>
      <c r="AI596" s="8">
        <v>56.057825318510282</v>
      </c>
      <c r="AJ596" s="8">
        <v>54.23661931394642</v>
      </c>
      <c r="AK596" s="8">
        <v>35.468578272510221</v>
      </c>
      <c r="AL596" s="8">
        <v>38.381122605200957</v>
      </c>
      <c r="AM596" s="8">
        <v>0.86549637541447688</v>
      </c>
      <c r="AN596" s="8">
        <v>55.940754573628148</v>
      </c>
      <c r="AO596" s="8">
        <v>53.933238901867867</v>
      </c>
      <c r="AP596" s="8">
        <v>33.772215333159892</v>
      </c>
      <c r="AQ596" s="8">
        <v>33.290298984457444</v>
      </c>
      <c r="AR596" s="8">
        <v>0.82562730484151481</v>
      </c>
      <c r="AS596" s="8">
        <v>57.684975862456731</v>
      </c>
      <c r="AT596" s="8">
        <v>51.359494672643493</v>
      </c>
      <c r="AU596" s="8">
        <v>31.121108318568321</v>
      </c>
      <c r="AV596" s="8">
        <v>30.215882059436758</v>
      </c>
      <c r="AW596" s="8">
        <v>0.79356603663728786</v>
      </c>
      <c r="AX596" s="8">
        <v>57.969569265695611</v>
      </c>
      <c r="AY596" s="8">
        <v>46.670056920929063</v>
      </c>
      <c r="AZ596" s="8">
        <v>36.434874717360728</v>
      </c>
      <c r="BA596" s="8">
        <v>39.336813315691423</v>
      </c>
      <c r="BB596" s="8">
        <v>0.87403323362155505</v>
      </c>
      <c r="BC596" s="8">
        <v>55.889628072062017</v>
      </c>
      <c r="BD596" s="8">
        <v>55.413572512431273</v>
      </c>
      <c r="BE596" s="8">
        <v>28.638177915975149</v>
      </c>
      <c r="BF596" s="8">
        <v>27.07697844284786</v>
      </c>
      <c r="BG596" s="8">
        <v>0.77138172811701089</v>
      </c>
      <c r="BH596" s="8">
        <v>55.871985536094279</v>
      </c>
      <c r="BI596" s="8">
        <v>45.486087619560131</v>
      </c>
    </row>
    <row r="597" spans="1:61" s="5" customFormat="1" x14ac:dyDescent="0.15">
      <c r="A597" s="7">
        <v>2020</v>
      </c>
      <c r="B597" s="7">
        <v>32</v>
      </c>
      <c r="C597" s="7">
        <v>39.260657800019523</v>
      </c>
      <c r="D597" s="7">
        <v>3.0651852779393005</v>
      </c>
      <c r="E597" s="8">
        <v>29.59260145712501</v>
      </c>
      <c r="F597" s="8">
        <v>19.879522660242991</v>
      </c>
      <c r="G597" s="8">
        <v>0.80183656862271413</v>
      </c>
      <c r="H597" s="8">
        <v>56.816708842621111</v>
      </c>
      <c r="I597" s="8">
        <v>45.752251596579903</v>
      </c>
      <c r="J597" s="8">
        <v>38.811156532838993</v>
      </c>
      <c r="K597" s="8">
        <v>29.11605896240923</v>
      </c>
      <c r="L597" s="8">
        <v>0.85120303220988458</v>
      </c>
      <c r="M597" s="8">
        <v>61.635161185291111</v>
      </c>
      <c r="N597" s="8">
        <v>61.682515452871648</v>
      </c>
      <c r="O597" s="8">
        <v>282.37799999999999</v>
      </c>
      <c r="P597" s="8">
        <v>274.03399999999999</v>
      </c>
      <c r="Q597" s="8">
        <v>100.595</v>
      </c>
      <c r="R597" s="8">
        <v>1.0895600000000001</v>
      </c>
      <c r="S597" s="8">
        <v>0.37167600000000001</v>
      </c>
      <c r="T597" s="7">
        <f>C597-D597</f>
        <v>36.195472522080223</v>
      </c>
      <c r="U597" s="8">
        <f>D597/C597</f>
        <v>7.8072692860937654E-2</v>
      </c>
      <c r="V597" s="8">
        <v>36.855009384655332</v>
      </c>
      <c r="W597" s="8">
        <v>26.231797699512267</v>
      </c>
      <c r="X597" s="8">
        <v>0.87624334957573591</v>
      </c>
      <c r="Y597" s="8">
        <v>56.56971833030245</v>
      </c>
      <c r="Z597" s="8">
        <v>55.780701928069227</v>
      </c>
      <c r="AA597" s="7">
        <v>37.833082958747163</v>
      </c>
      <c r="AB597" s="7">
        <v>27.673928330960749</v>
      </c>
      <c r="AC597" s="7">
        <v>0.86372319089281024</v>
      </c>
      <c r="AD597" s="7">
        <v>59.10243975779678</v>
      </c>
      <c r="AE597" s="7">
        <v>58.731608690470438</v>
      </c>
      <c r="AF597" s="8">
        <v>38.799385864787943</v>
      </c>
      <c r="AG597" s="8">
        <v>29.479285318111081</v>
      </c>
      <c r="AH597" s="8">
        <v>0.88357185764724355</v>
      </c>
      <c r="AI597" s="8">
        <v>61.92971778901326</v>
      </c>
      <c r="AJ597" s="8">
        <v>60.667258155539677</v>
      </c>
      <c r="AK597" s="8">
        <v>38.812656681999677</v>
      </c>
      <c r="AL597" s="8">
        <v>29.069766457150671</v>
      </c>
      <c r="AM597" s="8">
        <v>0.84707768723353583</v>
      </c>
      <c r="AN597" s="8">
        <v>61.597620508760649</v>
      </c>
      <c r="AO597" s="8">
        <v>61.811908056237961</v>
      </c>
      <c r="AP597" s="8">
        <v>37.943763701802567</v>
      </c>
      <c r="AQ597" s="8">
        <v>27.502647311100471</v>
      </c>
      <c r="AR597" s="8">
        <v>0.8720314104653395</v>
      </c>
      <c r="AS597" s="8">
        <v>58.73715124143002</v>
      </c>
      <c r="AT597" s="8">
        <v>58.196910820838077</v>
      </c>
      <c r="AU597" s="8">
        <v>38.618884872894363</v>
      </c>
      <c r="AV597" s="8">
        <v>28.4297013226888</v>
      </c>
      <c r="AW597" s="8">
        <v>0.87257656900527658</v>
      </c>
      <c r="AX597" s="8">
        <v>57.528612922308618</v>
      </c>
      <c r="AY597" s="8">
        <v>62.89993237021956</v>
      </c>
      <c r="AZ597" s="8">
        <v>38.926263862774327</v>
      </c>
      <c r="BA597" s="8">
        <v>29.022262716244001</v>
      </c>
      <c r="BB597" s="8">
        <v>0.8371214538301377</v>
      </c>
      <c r="BC597" s="8">
        <v>61.33519498100862</v>
      </c>
      <c r="BD597" s="8">
        <v>63.216362387028511</v>
      </c>
      <c r="BE597" s="8">
        <v>31.804560610420229</v>
      </c>
      <c r="BF597" s="8">
        <v>29.42972155541997</v>
      </c>
      <c r="BG597" s="8">
        <v>0.77527341179386267</v>
      </c>
      <c r="BH597" s="8">
        <v>60.349801801069788</v>
      </c>
      <c r="BI597" s="8">
        <v>56.954943645568967</v>
      </c>
    </row>
    <row r="598" spans="1:61" s="5" customFormat="1" x14ac:dyDescent="0.15">
      <c r="A598" s="7">
        <v>2021</v>
      </c>
      <c r="B598" s="7">
        <v>88</v>
      </c>
      <c r="C598" s="7">
        <v>77.891239890950729</v>
      </c>
      <c r="D598" s="7">
        <v>54.995506698610633</v>
      </c>
      <c r="E598" s="8">
        <v>43.03116861436115</v>
      </c>
      <c r="F598" s="8">
        <v>33.527820669689568</v>
      </c>
      <c r="G598" s="8">
        <v>0.80226511842106474</v>
      </c>
      <c r="H598" s="8">
        <v>64.313840586042517</v>
      </c>
      <c r="I598" s="8">
        <v>64.152383112345447</v>
      </c>
      <c r="J598" s="8">
        <v>36.745473338115332</v>
      </c>
      <c r="K598" s="8">
        <v>22.838794846451599</v>
      </c>
      <c r="L598" s="8">
        <v>0.72612432268507698</v>
      </c>
      <c r="M598" s="8">
        <v>72.054933252129956</v>
      </c>
      <c r="N598" s="8">
        <v>59.361131376939213</v>
      </c>
      <c r="O598" s="8">
        <v>289.81799999999998</v>
      </c>
      <c r="P598" s="8">
        <v>283.05700000000002</v>
      </c>
      <c r="Q598" s="8">
        <v>101</v>
      </c>
      <c r="R598" s="8">
        <v>-0.16598599999999999</v>
      </c>
      <c r="S598" s="8">
        <v>-9.3693700000000005E-2</v>
      </c>
      <c r="T598" s="7">
        <f>C598-D598</f>
        <v>22.895733192340096</v>
      </c>
      <c r="U598" s="8">
        <f>D598/C598</f>
        <v>0.70605509394388155</v>
      </c>
      <c r="V598" s="8">
        <v>28.816639314164604</v>
      </c>
      <c r="W598" s="8">
        <v>27.221578905484243</v>
      </c>
      <c r="X598" s="8">
        <v>0.82449675552303259</v>
      </c>
      <c r="Y598" s="8">
        <v>59.415890924478504</v>
      </c>
      <c r="Z598" s="8">
        <v>54.120733213300582</v>
      </c>
      <c r="AA598" s="7">
        <v>32.781056326139968</v>
      </c>
      <c r="AB598" s="7">
        <v>25.030186875967921</v>
      </c>
      <c r="AC598" s="7">
        <v>0.77531053910405479</v>
      </c>
      <c r="AD598" s="7">
        <v>65.73541208830423</v>
      </c>
      <c r="AE598" s="7">
        <v>56.740932295119897</v>
      </c>
      <c r="AF598" s="8">
        <v>36.86817589123023</v>
      </c>
      <c r="AG598" s="8">
        <v>20.885901689590941</v>
      </c>
      <c r="AH598" s="8">
        <v>0.7332608057724127</v>
      </c>
      <c r="AI598" s="8">
        <v>73.365779393649802</v>
      </c>
      <c r="AJ598" s="8">
        <v>54.176860885748297</v>
      </c>
      <c r="AK598" s="8">
        <v>36.730415919960549</v>
      </c>
      <c r="AL598" s="8">
        <v>23.078443721947579</v>
      </c>
      <c r="AM598" s="8">
        <v>0.72524857065488135</v>
      </c>
      <c r="AN598" s="8">
        <v>71.894073041902928</v>
      </c>
      <c r="AO598" s="8">
        <v>59.997318046504951</v>
      </c>
      <c r="AP598" s="8">
        <v>32.141618858739648</v>
      </c>
      <c r="AQ598" s="8">
        <v>25.593777664375391</v>
      </c>
      <c r="AR598" s="8">
        <v>0.79329616537357395</v>
      </c>
      <c r="AS598" s="8">
        <v>64.045459321257454</v>
      </c>
      <c r="AT598" s="8">
        <v>56.379814749507943</v>
      </c>
      <c r="AU598" s="8">
        <v>40.496526101877137</v>
      </c>
      <c r="AV598" s="8">
        <v>29.252845162851361</v>
      </c>
      <c r="AW598" s="8">
        <v>0.76141458651481841</v>
      </c>
      <c r="AX598" s="8">
        <v>65.308199087405967</v>
      </c>
      <c r="AY598" s="8">
        <v>75.4829034768524</v>
      </c>
      <c r="AZ598" s="8">
        <v>35.494341070434928</v>
      </c>
      <c r="BA598" s="8">
        <v>22.23119235014175</v>
      </c>
      <c r="BB598" s="8">
        <v>0.69288637466340131</v>
      </c>
      <c r="BC598" s="8">
        <v>73.614911047548944</v>
      </c>
      <c r="BD598" s="8">
        <v>58.133775144251032</v>
      </c>
      <c r="BE598" s="8">
        <v>37.340609678269082</v>
      </c>
      <c r="BF598" s="8">
        <v>31.421621826036152</v>
      </c>
      <c r="BG598" s="8">
        <v>0.57387623735693416</v>
      </c>
      <c r="BH598" s="8">
        <v>58.373246798467953</v>
      </c>
      <c r="BI598" s="8">
        <v>77.297256218604076</v>
      </c>
    </row>
    <row r="599" spans="1:61" s="5" customFormat="1" x14ac:dyDescent="0.15">
      <c r="A599" s="7">
        <v>2020</v>
      </c>
      <c r="B599" s="7">
        <v>71</v>
      </c>
      <c r="C599" s="7">
        <v>34.452931875829812</v>
      </c>
      <c r="D599" s="7">
        <v>31.746922045307009</v>
      </c>
      <c r="E599" s="8">
        <v>41.750238066566823</v>
      </c>
      <c r="F599" s="8">
        <v>32.553599274449837</v>
      </c>
      <c r="G599" s="8">
        <v>0.8028819116384166</v>
      </c>
      <c r="H599" s="8">
        <v>70.641937532011383</v>
      </c>
      <c r="I599" s="8">
        <v>64.795550696928757</v>
      </c>
      <c r="J599" s="8">
        <v>41.591279979551118</v>
      </c>
      <c r="K599" s="8">
        <v>25.9522759813029</v>
      </c>
      <c r="L599" s="8">
        <v>0.67778023382123798</v>
      </c>
      <c r="M599" s="8">
        <v>74.436747313230555</v>
      </c>
      <c r="N599" s="8">
        <v>66.658363996641341</v>
      </c>
      <c r="O599" s="8">
        <v>288.85199999999998</v>
      </c>
      <c r="P599" s="8">
        <v>283.40699999999998</v>
      </c>
      <c r="Q599" s="8">
        <v>101.52500000000001</v>
      </c>
      <c r="R599" s="8">
        <v>-0.66867399999999999</v>
      </c>
      <c r="S599" s="8">
        <v>-0.155949</v>
      </c>
      <c r="T599" s="7">
        <f>C599-D599</f>
        <v>2.7060098305228024</v>
      </c>
      <c r="U599" s="8">
        <f>D599/C599</f>
        <v>0.92145777780900029</v>
      </c>
      <c r="V599" s="8">
        <v>37.262559320486503</v>
      </c>
      <c r="W599" s="8">
        <v>32.392383169767655</v>
      </c>
      <c r="X599" s="8">
        <v>0.70739339884818642</v>
      </c>
      <c r="Y599" s="8">
        <v>73.018813740401455</v>
      </c>
      <c r="Z599" s="8">
        <v>53.649219751792032</v>
      </c>
      <c r="AA599" s="7">
        <v>39.42691965001881</v>
      </c>
      <c r="AB599" s="7">
        <v>29.172329575535279</v>
      </c>
      <c r="AC599" s="7">
        <v>0.6925868163347122</v>
      </c>
      <c r="AD599" s="7">
        <v>73.727780526816005</v>
      </c>
      <c r="AE599" s="7">
        <v>60.153791874216687</v>
      </c>
      <c r="AF599" s="8">
        <v>39.95682751449074</v>
      </c>
      <c r="AG599" s="8">
        <v>24.99522137481512</v>
      </c>
      <c r="AH599" s="8">
        <v>0.67916964239255639</v>
      </c>
      <c r="AI599" s="8">
        <v>75.750996885427568</v>
      </c>
      <c r="AJ599" s="8">
        <v>62.923519758820923</v>
      </c>
      <c r="AK599" s="8">
        <v>41.68941023724873</v>
      </c>
      <c r="AL599" s="8">
        <v>26.00973621166932</v>
      </c>
      <c r="AM599" s="8">
        <v>0.67769681565884698</v>
      </c>
      <c r="AN599" s="8">
        <v>74.357841592840643</v>
      </c>
      <c r="AO599" s="8">
        <v>66.882598861437003</v>
      </c>
      <c r="AP599" s="8">
        <v>38.12437492877568</v>
      </c>
      <c r="AQ599" s="8">
        <v>28.35729981512079</v>
      </c>
      <c r="AR599" s="8">
        <v>0.65809521428934215</v>
      </c>
      <c r="AS599" s="8">
        <v>74.135587439022132</v>
      </c>
      <c r="AT599" s="8">
        <v>57.768309297495612</v>
      </c>
      <c r="AU599" s="8">
        <v>33.121006236015489</v>
      </c>
      <c r="AV599" s="8">
        <v>27.736678991318922</v>
      </c>
      <c r="AW599" s="8">
        <v>0.62036061102831708</v>
      </c>
      <c r="AX599" s="8">
        <v>70.624536738887542</v>
      </c>
      <c r="AY599" s="8">
        <v>56.927243177286527</v>
      </c>
      <c r="AZ599" s="8">
        <v>41.068414221792438</v>
      </c>
      <c r="BA599" s="8">
        <v>25.877222124529531</v>
      </c>
      <c r="BB599" s="8">
        <v>0.6644109836231622</v>
      </c>
      <c r="BC599" s="8">
        <v>73.451456594096115</v>
      </c>
      <c r="BD599" s="8">
        <v>66.508776481265514</v>
      </c>
      <c r="BE599" s="8">
        <v>44.085954567567519</v>
      </c>
      <c r="BF599" s="8">
        <v>24.05295441106173</v>
      </c>
      <c r="BG599" s="8">
        <v>0.75635826335615075</v>
      </c>
      <c r="BH599" s="8">
        <v>66.413279466169996</v>
      </c>
      <c r="BI599" s="8">
        <v>74.244739570739767</v>
      </c>
    </row>
    <row r="600" spans="1:61" s="5" customFormat="1" x14ac:dyDescent="0.15">
      <c r="A600" s="7">
        <v>2019</v>
      </c>
      <c r="B600" s="7">
        <v>146</v>
      </c>
      <c r="C600" s="7">
        <v>54.628290928676975</v>
      </c>
      <c r="D600" s="7">
        <v>20.451427329108231</v>
      </c>
      <c r="E600" s="8">
        <v>48.691505163236783</v>
      </c>
      <c r="F600" s="8">
        <v>26.178255285119789</v>
      </c>
      <c r="G600" s="8">
        <v>0.80417603424537221</v>
      </c>
      <c r="H600" s="8">
        <v>77.180435265596032</v>
      </c>
      <c r="I600" s="8">
        <v>79.266057352680861</v>
      </c>
      <c r="J600" s="8">
        <v>58.136597829201818</v>
      </c>
      <c r="K600" s="8">
        <v>37.050433817206176</v>
      </c>
      <c r="L600" s="8">
        <v>1.0358329107559749</v>
      </c>
      <c r="M600" s="8">
        <v>70.988898890192047</v>
      </c>
      <c r="N600" s="8">
        <v>101.2448880655851</v>
      </c>
      <c r="O600" s="8">
        <v>287.64499999999998</v>
      </c>
      <c r="P600" s="8">
        <v>278.02800000000002</v>
      </c>
      <c r="Q600" s="8">
        <v>96.319800000000001</v>
      </c>
      <c r="R600" s="8">
        <v>-0.112356</v>
      </c>
      <c r="S600" s="8">
        <v>-0.10734200000000001</v>
      </c>
      <c r="T600" s="7">
        <f>C600-D600</f>
        <v>34.176863599568748</v>
      </c>
      <c r="U600" s="8">
        <f>D600/C600</f>
        <v>0.37437428448584886</v>
      </c>
      <c r="V600" s="8">
        <v>57.944319355575615</v>
      </c>
      <c r="W600" s="8">
        <v>34.436592880296764</v>
      </c>
      <c r="X600" s="8">
        <v>0.95124225027460385</v>
      </c>
      <c r="Y600" s="8">
        <v>71.180211174946606</v>
      </c>
      <c r="Z600" s="8">
        <v>92.970458530755209</v>
      </c>
      <c r="AA600" s="7">
        <v>58.040458592388717</v>
      </c>
      <c r="AB600" s="7">
        <v>35.74351334875147</v>
      </c>
      <c r="AC600" s="7">
        <v>0.9935375805152894</v>
      </c>
      <c r="AD600" s="7">
        <v>71.084555032569327</v>
      </c>
      <c r="AE600" s="7">
        <v>97.107673298170155</v>
      </c>
      <c r="AF600" s="8">
        <v>58.406820583304608</v>
      </c>
      <c r="AG600" s="8">
        <v>36.874497554962439</v>
      </c>
      <c r="AH600" s="8">
        <v>1.0018281385966621</v>
      </c>
      <c r="AI600" s="8">
        <v>72.106370292749844</v>
      </c>
      <c r="AJ600" s="8">
        <v>99.088733838886043</v>
      </c>
      <c r="AK600" s="8">
        <v>58.106934852328152</v>
      </c>
      <c r="AL600" s="8">
        <v>37.069746747738257</v>
      </c>
      <c r="AM600" s="8">
        <v>1.039565693265373</v>
      </c>
      <c r="AN600" s="8">
        <v>70.866231469081953</v>
      </c>
      <c r="AO600" s="8">
        <v>101.4815741032764</v>
      </c>
      <c r="AP600" s="8">
        <v>59.819948423885791</v>
      </c>
      <c r="AQ600" s="8">
        <v>36.92273801036994</v>
      </c>
      <c r="AR600" s="8">
        <v>0.9880505837420287</v>
      </c>
      <c r="AS600" s="8">
        <v>70.043656777324784</v>
      </c>
      <c r="AT600" s="8">
        <v>97.314466752100515</v>
      </c>
      <c r="AU600" s="8">
        <v>50.47468216609515</v>
      </c>
      <c r="AV600" s="8">
        <v>29.821454801095051</v>
      </c>
      <c r="AW600" s="8">
        <v>1.0242072362832111</v>
      </c>
      <c r="AX600" s="8">
        <v>77.087193739317968</v>
      </c>
      <c r="AY600" s="8">
        <v>91.751167254026242</v>
      </c>
      <c r="AZ600" s="8">
        <v>57.28060751949274</v>
      </c>
      <c r="BA600" s="8">
        <v>36.818422641346771</v>
      </c>
      <c r="BB600" s="8">
        <v>1.088179448993974</v>
      </c>
      <c r="BC600" s="8">
        <v>71.158992440655396</v>
      </c>
      <c r="BD600" s="8">
        <v>104.06093535036941</v>
      </c>
      <c r="BE600" s="8">
        <v>56.042351163045758</v>
      </c>
      <c r="BF600" s="8">
        <v>34.766302136139288</v>
      </c>
      <c r="BG600" s="8">
        <v>0.87584912573131479</v>
      </c>
      <c r="BH600" s="8">
        <v>71.689473636354649</v>
      </c>
      <c r="BI600" s="8">
        <v>99.245320215055443</v>
      </c>
    </row>
    <row r="601" spans="1:61" s="5" customFormat="1" x14ac:dyDescent="0.15">
      <c r="A601" s="7">
        <v>2019</v>
      </c>
      <c r="B601" s="7">
        <v>149</v>
      </c>
      <c r="C601" s="7">
        <v>52.433570869246253</v>
      </c>
      <c r="D601" s="7">
        <v>5.1728819566981922E-2</v>
      </c>
      <c r="E601" s="8">
        <v>43.410063551229022</v>
      </c>
      <c r="F601" s="8">
        <v>25.64850334529973</v>
      </c>
      <c r="G601" s="8">
        <v>0.80510021481430905</v>
      </c>
      <c r="H601" s="8">
        <v>74.585706537701057</v>
      </c>
      <c r="I601" s="8">
        <v>66.411571308872823</v>
      </c>
      <c r="J601" s="8">
        <v>50.843688658945993</v>
      </c>
      <c r="K601" s="8">
        <v>29.346967631024679</v>
      </c>
      <c r="L601" s="8">
        <v>0.71277051912593936</v>
      </c>
      <c r="M601" s="8">
        <v>73.214124512785261</v>
      </c>
      <c r="N601" s="8">
        <v>84.130685804028914</v>
      </c>
      <c r="O601" s="8">
        <v>289.01499999999999</v>
      </c>
      <c r="P601" s="8">
        <v>282.41800000000001</v>
      </c>
      <c r="Q601" s="8">
        <v>101.248</v>
      </c>
      <c r="R601" s="8">
        <v>-0.76697499999999996</v>
      </c>
      <c r="S601" s="8">
        <v>0.117273</v>
      </c>
      <c r="T601" s="7">
        <f>C601-D601</f>
        <v>52.381842049679271</v>
      </c>
      <c r="U601" s="8">
        <f>D601/C601</f>
        <v>9.8655915874923394E-4</v>
      </c>
      <c r="V601" s="8">
        <v>46.350770064909824</v>
      </c>
      <c r="W601" s="8">
        <v>32.513081960931444</v>
      </c>
      <c r="X601" s="8">
        <v>0.77905627903593933</v>
      </c>
      <c r="Y601" s="8">
        <v>71.792103183811847</v>
      </c>
      <c r="Z601" s="8">
        <v>73.560232657160995</v>
      </c>
      <c r="AA601" s="7">
        <v>48.597229361927909</v>
      </c>
      <c r="AB601" s="7">
        <v>30.93002479597806</v>
      </c>
      <c r="AC601" s="7">
        <v>0.74591339908093934</v>
      </c>
      <c r="AD601" s="7">
        <v>72.503113848298554</v>
      </c>
      <c r="AE601" s="7">
        <v>78.845459230594955</v>
      </c>
      <c r="AF601" s="8">
        <v>48.423296581939177</v>
      </c>
      <c r="AG601" s="8">
        <v>27.164811921476371</v>
      </c>
      <c r="AH601" s="8">
        <v>0.72484373031121052</v>
      </c>
      <c r="AI601" s="8">
        <v>75.007090034968158</v>
      </c>
      <c r="AJ601" s="8">
        <v>79.496598837096471</v>
      </c>
      <c r="AK601" s="8">
        <v>51.144887447501972</v>
      </c>
      <c r="AL601" s="8">
        <v>29.618519774332501</v>
      </c>
      <c r="AM601" s="8">
        <v>0.71126810279532515</v>
      </c>
      <c r="AN601" s="8">
        <v>72.991004032291897</v>
      </c>
      <c r="AO601" s="8">
        <v>84.707361539238391</v>
      </c>
      <c r="AP601" s="8">
        <v>48.253395157317151</v>
      </c>
      <c r="AQ601" s="8">
        <v>31.31707049059801</v>
      </c>
      <c r="AR601" s="8">
        <v>0.75399049957554753</v>
      </c>
      <c r="AS601" s="8">
        <v>72.522620548422964</v>
      </c>
      <c r="AT601" s="8">
        <v>77.911166971655575</v>
      </c>
      <c r="AU601" s="8">
        <v>42.401272467845779</v>
      </c>
      <c r="AV601" s="8">
        <v>27.279148694554159</v>
      </c>
      <c r="AW601" s="8">
        <v>0.68102760431031184</v>
      </c>
      <c r="AX601" s="8">
        <v>70.307907282778757</v>
      </c>
      <c r="AY601" s="8">
        <v>74.808425467054263</v>
      </c>
      <c r="AZ601" s="8">
        <v>50.536510193041231</v>
      </c>
      <c r="BA601" s="8">
        <v>29.26398392191804</v>
      </c>
      <c r="BB601" s="8">
        <v>0.70345741055719291</v>
      </c>
      <c r="BC601" s="8">
        <v>72.290826052612587</v>
      </c>
      <c r="BD601" s="8">
        <v>83.953222746133733</v>
      </c>
      <c r="BE601" s="8">
        <v>50.496837546027677</v>
      </c>
      <c r="BF601" s="8">
        <v>35.198387751025557</v>
      </c>
      <c r="BG601" s="8">
        <v>0.88297788205629002</v>
      </c>
      <c r="BH601" s="8">
        <v>70.971433108976328</v>
      </c>
      <c r="BI601" s="8">
        <v>97.307846624349622</v>
      </c>
    </row>
    <row r="602" spans="1:61" s="5" customFormat="1" x14ac:dyDescent="0.15">
      <c r="A602" s="7">
        <v>2022</v>
      </c>
      <c r="B602" s="7">
        <v>66</v>
      </c>
      <c r="C602" s="7">
        <v>96.766906683378835</v>
      </c>
      <c r="D602" s="7">
        <v>66.394567536642853</v>
      </c>
      <c r="E602" s="8">
        <v>37.009908555597967</v>
      </c>
      <c r="F602" s="8">
        <v>32.466506495907133</v>
      </c>
      <c r="G602" s="8">
        <v>0.80589609528399608</v>
      </c>
      <c r="H602" s="8">
        <v>60.382947716927482</v>
      </c>
      <c r="I602" s="8">
        <v>48.432389355503638</v>
      </c>
      <c r="J602" s="8">
        <v>40.13865253581114</v>
      </c>
      <c r="K602" s="8">
        <v>35.126463690364133</v>
      </c>
      <c r="L602" s="8">
        <v>0.69463816210825335</v>
      </c>
      <c r="M602" s="8">
        <v>63.606697788693708</v>
      </c>
      <c r="N602" s="8">
        <v>68.649543289890076</v>
      </c>
      <c r="O602" s="8">
        <v>287.363</v>
      </c>
      <c r="P602" s="8">
        <v>278.18599999999998</v>
      </c>
      <c r="Q602" s="8">
        <v>101.58199999999999</v>
      </c>
      <c r="R602" s="8">
        <v>1.31047E-2</v>
      </c>
      <c r="S602" s="8">
        <v>0.390324</v>
      </c>
      <c r="T602" s="7">
        <f>C602-D602</f>
        <v>30.372339146735982</v>
      </c>
      <c r="U602" s="8">
        <f>D602/C602</f>
        <v>0.68612886173871168</v>
      </c>
      <c r="V602" s="8">
        <v>40.545879416201579</v>
      </c>
      <c r="W602" s="8">
        <v>36.237280318224691</v>
      </c>
      <c r="X602" s="8">
        <v>0.65670236171321972</v>
      </c>
      <c r="Y602" s="8">
        <v>63.665115678880852</v>
      </c>
      <c r="Z602" s="8">
        <v>60.005401904020957</v>
      </c>
      <c r="AA602" s="7">
        <v>40.34226597600636</v>
      </c>
      <c r="AB602" s="7">
        <v>35.681872004294412</v>
      </c>
      <c r="AC602" s="7">
        <v>0.67567026191073654</v>
      </c>
      <c r="AD602" s="7">
        <v>63.63590673378728</v>
      </c>
      <c r="AE602" s="7">
        <v>64.327472596955516</v>
      </c>
      <c r="AF602" s="8">
        <v>38.834490092170363</v>
      </c>
      <c r="AG602" s="8">
        <v>33.801826737711004</v>
      </c>
      <c r="AH602" s="8">
        <v>0.75069333437143693</v>
      </c>
      <c r="AI602" s="8">
        <v>61.613580225913992</v>
      </c>
      <c r="AJ602" s="8">
        <v>56.808759583104766</v>
      </c>
      <c r="AK602" s="8">
        <v>40.284744277200431</v>
      </c>
      <c r="AL602" s="8">
        <v>35.274848977845238</v>
      </c>
      <c r="AM602" s="8">
        <v>0.68835888473008944</v>
      </c>
      <c r="AN602" s="8">
        <v>63.829965999613187</v>
      </c>
      <c r="AO602" s="8">
        <v>69.975943018369392</v>
      </c>
      <c r="AP602" s="8">
        <v>40.648239607502553</v>
      </c>
      <c r="AQ602" s="8">
        <v>35.786394519955508</v>
      </c>
      <c r="AR602" s="8">
        <v>0.66655351425067011</v>
      </c>
      <c r="AS602" s="8">
        <v>63.511405301680298</v>
      </c>
      <c r="AT602" s="8">
        <v>62.899801908335156</v>
      </c>
      <c r="AU602" s="8">
        <v>33.516867367867022</v>
      </c>
      <c r="AV602" s="8">
        <v>29.918069129944701</v>
      </c>
      <c r="AW602" s="8">
        <v>0.77663422519577474</v>
      </c>
      <c r="AX602" s="8">
        <v>63.362711290121958</v>
      </c>
      <c r="AY602" s="8">
        <v>57.020517385482457</v>
      </c>
      <c r="AZ602" s="8">
        <v>40.002409915189297</v>
      </c>
      <c r="BA602" s="8">
        <v>35.774487076909267</v>
      </c>
      <c r="BB602" s="8">
        <v>0.66970111065404492</v>
      </c>
      <c r="BC602" s="8">
        <v>64.586819537714774</v>
      </c>
      <c r="BD602" s="8">
        <v>71.145722990338854</v>
      </c>
      <c r="BE602" s="8">
        <v>40.295616373625172</v>
      </c>
      <c r="BF602" s="8">
        <v>34.982443613060177</v>
      </c>
      <c r="BG602" s="8">
        <v>0.79356676305520391</v>
      </c>
      <c r="BH602" s="8">
        <v>62.380655794663717</v>
      </c>
      <c r="BI602" s="8">
        <v>61.233251117754207</v>
      </c>
    </row>
    <row r="603" spans="1:61" s="5" customFormat="1" x14ac:dyDescent="0.15">
      <c r="A603" s="7">
        <v>2019</v>
      </c>
      <c r="B603" s="7">
        <v>118</v>
      </c>
      <c r="C603" s="7">
        <v>25.055042443985787</v>
      </c>
      <c r="D603" s="7">
        <v>0.55275554648436775</v>
      </c>
      <c r="E603" s="8">
        <v>45.818559039750973</v>
      </c>
      <c r="F603" s="8">
        <v>27.684010188153369</v>
      </c>
      <c r="G603" s="8">
        <v>0.80615107104817896</v>
      </c>
      <c r="H603" s="8">
        <v>81.378587596532</v>
      </c>
      <c r="I603" s="8">
        <v>77.734874597869691</v>
      </c>
      <c r="J603" s="8">
        <v>43.775801383115009</v>
      </c>
      <c r="K603" s="8">
        <v>31.149549410241349</v>
      </c>
      <c r="L603" s="8">
        <v>0.97119252354245034</v>
      </c>
      <c r="M603" s="8">
        <v>73.701142832921306</v>
      </c>
      <c r="N603" s="8">
        <v>83.005292200270844</v>
      </c>
      <c r="O603" s="8">
        <v>283.70299999999997</v>
      </c>
      <c r="P603" s="8">
        <v>273.99900000000002</v>
      </c>
      <c r="Q603" s="8">
        <v>88.816100000000006</v>
      </c>
      <c r="R603" s="8">
        <v>0.302817</v>
      </c>
      <c r="S603" s="8">
        <v>0.22631000000000001</v>
      </c>
      <c r="T603" s="7">
        <f>C603-D603</f>
        <v>24.502286897501421</v>
      </c>
      <c r="U603" s="8">
        <f>D603/C603</f>
        <v>2.2061648776693699E-2</v>
      </c>
      <c r="V603" s="8">
        <v>38.07989929400739</v>
      </c>
      <c r="W603" s="8">
        <v>30.32502235996585</v>
      </c>
      <c r="X603" s="8">
        <v>0.83164580929672827</v>
      </c>
      <c r="Y603" s="8">
        <v>75.556102317071065</v>
      </c>
      <c r="Z603" s="8">
        <v>68.965928381633631</v>
      </c>
      <c r="AA603" s="7">
        <v>40.9278503385612</v>
      </c>
      <c r="AB603" s="7">
        <v>30.737285885103599</v>
      </c>
      <c r="AC603" s="7">
        <v>0.9014191664195893</v>
      </c>
      <c r="AD603" s="7">
        <v>74.628622574996186</v>
      </c>
      <c r="AE603" s="7">
        <v>75.985610290952238</v>
      </c>
      <c r="AF603" s="8">
        <v>45.359616895047843</v>
      </c>
      <c r="AG603" s="8">
        <v>29.837150144671568</v>
      </c>
      <c r="AH603" s="8">
        <v>0.93957905739076586</v>
      </c>
      <c r="AI603" s="8">
        <v>75.049503900637134</v>
      </c>
      <c r="AJ603" s="8">
        <v>84.536813662118973</v>
      </c>
      <c r="AK603" s="8">
        <v>43.574736511693118</v>
      </c>
      <c r="AL603" s="8">
        <v>31.316158076211529</v>
      </c>
      <c r="AM603" s="8">
        <v>0.97520584293419688</v>
      </c>
      <c r="AN603" s="8">
        <v>73.529968827699108</v>
      </c>
      <c r="AO603" s="8">
        <v>82.810866041740169</v>
      </c>
      <c r="AP603" s="8">
        <v>38.334838429405998</v>
      </c>
      <c r="AQ603" s="8">
        <v>32.484614308597422</v>
      </c>
      <c r="AR603" s="8">
        <v>0.96352199274368255</v>
      </c>
      <c r="AS603" s="8">
        <v>71.380955244350616</v>
      </c>
      <c r="AT603" s="8">
        <v>74.594532652480382</v>
      </c>
      <c r="AU603" s="8">
        <v>36.794934989992427</v>
      </c>
      <c r="AV603" s="8">
        <v>31.87028837283118</v>
      </c>
      <c r="AW603" s="8">
        <v>0.90936050820640912</v>
      </c>
      <c r="AX603" s="8">
        <v>70.389162421283189</v>
      </c>
      <c r="AY603" s="8">
        <v>73.130908365146439</v>
      </c>
      <c r="AZ603" s="8">
        <v>47.401356546036197</v>
      </c>
      <c r="BA603" s="8">
        <v>32.781041825717473</v>
      </c>
      <c r="BB603" s="8">
        <v>1.067585009902206</v>
      </c>
      <c r="BC603" s="8">
        <v>73.689397261880188</v>
      </c>
      <c r="BD603" s="8">
        <v>91.015734734685338</v>
      </c>
      <c r="BE603" s="8">
        <v>43.758091296798113</v>
      </c>
      <c r="BF603" s="8">
        <v>36.431753726592618</v>
      </c>
      <c r="BG603" s="8">
        <v>0.84220338078052059</v>
      </c>
      <c r="BH603" s="8">
        <v>68.440634001485904</v>
      </c>
      <c r="BI603" s="8">
        <v>87.134663511337138</v>
      </c>
    </row>
    <row r="604" spans="1:61" s="5" customFormat="1" x14ac:dyDescent="0.15">
      <c r="A604" s="7">
        <v>2021</v>
      </c>
      <c r="B604" s="7">
        <v>119</v>
      </c>
      <c r="C604" s="7">
        <v>116.5938063468316</v>
      </c>
      <c r="D604" s="7">
        <v>66.644990882571605</v>
      </c>
      <c r="E604" s="8">
        <v>47.062403015977218</v>
      </c>
      <c r="F604" s="8">
        <v>30.89496765005007</v>
      </c>
      <c r="G604" s="8">
        <v>0.80682918013548499</v>
      </c>
      <c r="H604" s="8">
        <v>65.40999403217522</v>
      </c>
      <c r="I604" s="8">
        <v>77.473605659287088</v>
      </c>
      <c r="J604" s="8">
        <v>44.653097051931987</v>
      </c>
      <c r="K604" s="8">
        <v>31.64671421249907</v>
      </c>
      <c r="L604" s="8">
        <v>0.73649669851267974</v>
      </c>
      <c r="M604" s="8">
        <v>71.319321554110203</v>
      </c>
      <c r="N604" s="8">
        <v>86.099904287553727</v>
      </c>
      <c r="O604" s="8">
        <v>288.64</v>
      </c>
      <c r="P604" s="8">
        <v>280.44099999999997</v>
      </c>
      <c r="Q604" s="8">
        <v>101.15600000000001</v>
      </c>
      <c r="R604" s="8">
        <v>-0.223968</v>
      </c>
      <c r="S604" s="8">
        <v>0.33574300000000001</v>
      </c>
      <c r="T604" s="7">
        <f>C604-D604</f>
        <v>49.948815464259994</v>
      </c>
      <c r="U604" s="8">
        <f>D604/C604</f>
        <v>0.57159975277179609</v>
      </c>
      <c r="V604" s="8">
        <v>45.160919631259112</v>
      </c>
      <c r="W604" s="8">
        <v>31.343739268631133</v>
      </c>
      <c r="X604" s="8">
        <v>0.6623151184506082</v>
      </c>
      <c r="Y604" s="8">
        <v>68.761255666949623</v>
      </c>
      <c r="Z604" s="8">
        <v>78.252575276555376</v>
      </c>
      <c r="AA604" s="7">
        <v>44.907008341595549</v>
      </c>
      <c r="AB604" s="7">
        <v>31.495226740565101</v>
      </c>
      <c r="AC604" s="7">
        <v>0.69940590848164397</v>
      </c>
      <c r="AD604" s="7">
        <v>70.040288610529913</v>
      </c>
      <c r="AE604" s="7">
        <v>82.176239782054552</v>
      </c>
      <c r="AF604" s="8">
        <v>44.795711261170517</v>
      </c>
      <c r="AG604" s="8">
        <v>30.40679339799058</v>
      </c>
      <c r="AH604" s="8">
        <v>0.76946075358219834</v>
      </c>
      <c r="AI604" s="8">
        <v>71.447288321233685</v>
      </c>
      <c r="AJ604" s="8">
        <v>83.819221977776778</v>
      </c>
      <c r="AK604" s="8">
        <v>44.63630454672392</v>
      </c>
      <c r="AL604" s="8">
        <v>31.792712124252759</v>
      </c>
      <c r="AM604" s="8">
        <v>0.73261525451499099</v>
      </c>
      <c r="AN604" s="8">
        <v>71.304253752557628</v>
      </c>
      <c r="AO604" s="8">
        <v>86.368449545206332</v>
      </c>
      <c r="AP604" s="8">
        <v>45.218806551036018</v>
      </c>
      <c r="AQ604" s="8">
        <v>31.137041655053391</v>
      </c>
      <c r="AR604" s="8">
        <v>0.68932574030496352</v>
      </c>
      <c r="AS604" s="8">
        <v>69.883239393488495</v>
      </c>
      <c r="AT604" s="8">
        <v>81.204135091363355</v>
      </c>
      <c r="AU604" s="8">
        <v>48.208946718055053</v>
      </c>
      <c r="AV604" s="8">
        <v>33.024867206062012</v>
      </c>
      <c r="AW604" s="8">
        <v>0.95494114436037469</v>
      </c>
      <c r="AX604" s="8">
        <v>69.461503969104484</v>
      </c>
      <c r="AY604" s="8">
        <v>97.155841595236325</v>
      </c>
      <c r="AZ604" s="8">
        <v>43.797910745582882</v>
      </c>
      <c r="BA604" s="8">
        <v>32.565428256248282</v>
      </c>
      <c r="BB604" s="8">
        <v>0.72739890780019323</v>
      </c>
      <c r="BC604" s="8">
        <v>70.711840152192963</v>
      </c>
      <c r="BD604" s="8">
        <v>85.590638324720004</v>
      </c>
      <c r="BE604" s="8">
        <v>45.006769585702948</v>
      </c>
      <c r="BF604" s="8">
        <v>34.453514721243558</v>
      </c>
      <c r="BG604" s="8">
        <v>0.83210299315708414</v>
      </c>
      <c r="BH604" s="8">
        <v>68.963080195052456</v>
      </c>
      <c r="BI604" s="8">
        <v>94.473217620332335</v>
      </c>
    </row>
    <row r="605" spans="1:61" s="5" customFormat="1" x14ac:dyDescent="0.15">
      <c r="A605" s="7">
        <v>2017</v>
      </c>
      <c r="B605" s="7">
        <v>37</v>
      </c>
      <c r="C605" s="7">
        <v>6.0152384594608082</v>
      </c>
      <c r="D605" s="7">
        <v>4.3940443671610536</v>
      </c>
      <c r="E605" s="8">
        <v>48.716688632139537</v>
      </c>
      <c r="F605" s="8">
        <v>33.601544972007581</v>
      </c>
      <c r="G605" s="8">
        <v>0.808091479726323</v>
      </c>
      <c r="H605" s="8">
        <v>76.542496551308886</v>
      </c>
      <c r="I605" s="8">
        <v>77.466690743105346</v>
      </c>
      <c r="J605" s="8">
        <v>50.118253908402437</v>
      </c>
      <c r="K605" s="8">
        <v>38.451465685405303</v>
      </c>
      <c r="L605" s="8">
        <v>0.83679807984838084</v>
      </c>
      <c r="M605" s="8">
        <v>74.701518507545842</v>
      </c>
      <c r="N605" s="8">
        <v>77.971459857529496</v>
      </c>
      <c r="O605" s="8">
        <v>289.55599999999998</v>
      </c>
      <c r="P605" s="8">
        <v>284.09199999999998</v>
      </c>
      <c r="Q605" s="8">
        <v>101.614</v>
      </c>
      <c r="R605" s="8">
        <v>-0.703874</v>
      </c>
      <c r="S605" s="8">
        <v>3.3154500000000003E-2</v>
      </c>
      <c r="T605" s="7">
        <f>C605-D605</f>
        <v>1.6211940922997545</v>
      </c>
      <c r="U605" s="8">
        <f>D605/C605</f>
        <v>0.73048548229207289</v>
      </c>
      <c r="V605" s="8">
        <v>48.543158829904698</v>
      </c>
      <c r="W605" s="8">
        <v>32.385409047627071</v>
      </c>
      <c r="X605" s="8">
        <v>0.83806527536824771</v>
      </c>
      <c r="Y605" s="8">
        <v>74.63038926079696</v>
      </c>
      <c r="Z605" s="8">
        <v>75.119286253841196</v>
      </c>
      <c r="AA605" s="7">
        <v>49.330706369153567</v>
      </c>
      <c r="AB605" s="7">
        <v>35.418437366516187</v>
      </c>
      <c r="AC605" s="7">
        <v>0.83743167760831427</v>
      </c>
      <c r="AD605" s="7">
        <v>74.665953884171401</v>
      </c>
      <c r="AE605" s="7">
        <v>76.545373055685346</v>
      </c>
      <c r="AF605" s="8">
        <v>48.918928640880431</v>
      </c>
      <c r="AG605" s="8">
        <v>39.699112378378167</v>
      </c>
      <c r="AH605" s="8">
        <v>0.85958660309651991</v>
      </c>
      <c r="AI605" s="8">
        <v>73.357450245874148</v>
      </c>
      <c r="AJ605" s="8">
        <v>76.419385451175344</v>
      </c>
      <c r="AK605" s="8">
        <v>50.200101824465669</v>
      </c>
      <c r="AL605" s="8">
        <v>38.366320075145623</v>
      </c>
      <c r="AM605" s="8">
        <v>0.83524287777890971</v>
      </c>
      <c r="AN605" s="8">
        <v>74.793244404801271</v>
      </c>
      <c r="AO605" s="8">
        <v>78.077381127743067</v>
      </c>
      <c r="AP605" s="8">
        <v>48.952360797295597</v>
      </c>
      <c r="AQ605" s="8">
        <v>34.79224967626525</v>
      </c>
      <c r="AR605" s="8">
        <v>0.82232878531610154</v>
      </c>
      <c r="AS605" s="8">
        <v>74.65867552210608</v>
      </c>
      <c r="AT605" s="8">
        <v>76.603356075134869</v>
      </c>
      <c r="AU605" s="8">
        <v>50.91846907163189</v>
      </c>
      <c r="AV605" s="8">
        <v>42.351827204645637</v>
      </c>
      <c r="AW605" s="8">
        <v>0.86514528504298316</v>
      </c>
      <c r="AX605" s="8">
        <v>62.778552968925851</v>
      </c>
      <c r="AY605" s="8">
        <v>87.240061677392987</v>
      </c>
      <c r="AZ605" s="8">
        <v>50.134075221311797</v>
      </c>
      <c r="BA605" s="8">
        <v>39.111627631085298</v>
      </c>
      <c r="BB605" s="8">
        <v>0.82749319075701233</v>
      </c>
      <c r="BC605" s="8">
        <v>74.741173538030282</v>
      </c>
      <c r="BD605" s="8">
        <v>77.055532991639311</v>
      </c>
      <c r="BE605" s="8">
        <v>58.844261757313838</v>
      </c>
      <c r="BF605" s="8">
        <v>34.418089520740757</v>
      </c>
      <c r="BG605" s="8">
        <v>1.0127951746817669</v>
      </c>
      <c r="BH605" s="8">
        <v>69.77776867233446</v>
      </c>
      <c r="BI605" s="8">
        <v>95.74385142419834</v>
      </c>
    </row>
    <row r="606" spans="1:61" s="5" customFormat="1" x14ac:dyDescent="0.15">
      <c r="A606" s="7">
        <v>2022</v>
      </c>
      <c r="B606" s="7">
        <v>20</v>
      </c>
      <c r="C606" s="7">
        <v>22.910782635323759</v>
      </c>
      <c r="D606" s="7">
        <v>4.3453281703994948</v>
      </c>
      <c r="E606" s="8">
        <v>35.184067670231236</v>
      </c>
      <c r="F606" s="8">
        <v>25.568750936499509</v>
      </c>
      <c r="G606" s="8">
        <v>0.80974728565789811</v>
      </c>
      <c r="H606" s="8">
        <v>64.335360545799944</v>
      </c>
      <c r="I606" s="8">
        <v>49.396709717937142</v>
      </c>
      <c r="J606" s="8">
        <v>40.274014434270313</v>
      </c>
      <c r="K606" s="8">
        <v>27.352842013367951</v>
      </c>
      <c r="L606" s="8">
        <v>0.71573478008695379</v>
      </c>
      <c r="M606" s="8">
        <v>70.697990231814174</v>
      </c>
      <c r="N606" s="8">
        <v>69.261972011932528</v>
      </c>
      <c r="O606" s="8">
        <v>287.62900000000002</v>
      </c>
      <c r="P606" s="8">
        <v>279.32100000000003</v>
      </c>
      <c r="Q606" s="8">
        <v>100.636</v>
      </c>
      <c r="R606" s="8">
        <v>-0.129528</v>
      </c>
      <c r="S606" s="8">
        <v>0.53770799999999996</v>
      </c>
      <c r="T606" s="7">
        <f>C606-D606</f>
        <v>18.565454464924265</v>
      </c>
      <c r="U606" s="8">
        <f>D606/C606</f>
        <v>0.18966301760900495</v>
      </c>
      <c r="V606" s="8">
        <v>37.751366303985947</v>
      </c>
      <c r="W606" s="8">
        <v>28.502311078320471</v>
      </c>
      <c r="X606" s="8">
        <v>0.73321458669058215</v>
      </c>
      <c r="Y606" s="8">
        <v>63.623582034258732</v>
      </c>
      <c r="Z606" s="8">
        <v>62.079418728800533</v>
      </c>
      <c r="AA606" s="7">
        <v>39.01269036912813</v>
      </c>
      <c r="AB606" s="7">
        <v>27.927576545844211</v>
      </c>
      <c r="AC606" s="7">
        <v>0.72447468338876797</v>
      </c>
      <c r="AD606" s="7">
        <v>67.160786133036453</v>
      </c>
      <c r="AE606" s="7">
        <v>65.670695370366531</v>
      </c>
      <c r="AF606" s="8">
        <v>39.286670846360408</v>
      </c>
      <c r="AG606" s="8">
        <v>25.003860680866659</v>
      </c>
      <c r="AH606" s="8">
        <v>0.72447542075020599</v>
      </c>
      <c r="AI606" s="8">
        <v>71.365866329557505</v>
      </c>
      <c r="AJ606" s="8">
        <v>59.832399978130873</v>
      </c>
      <c r="AK606" s="8">
        <v>40.37814069263159</v>
      </c>
      <c r="AL606" s="8">
        <v>27.600567972303509</v>
      </c>
      <c r="AM606" s="8">
        <v>0.71481298323822828</v>
      </c>
      <c r="AN606" s="8">
        <v>70.627555339686964</v>
      </c>
      <c r="AO606" s="8">
        <v>70.256424263257131</v>
      </c>
      <c r="AP606" s="8">
        <v>39.527765213820473</v>
      </c>
      <c r="AQ606" s="8">
        <v>28.244598731481751</v>
      </c>
      <c r="AR606" s="8">
        <v>0.7109630759685478</v>
      </c>
      <c r="AS606" s="8">
        <v>66.554666004972461</v>
      </c>
      <c r="AT606" s="8">
        <v>66.274113808071178</v>
      </c>
      <c r="AU606" s="8">
        <v>36.086827467427568</v>
      </c>
      <c r="AV606" s="8">
        <v>25.984253824758571</v>
      </c>
      <c r="AW606" s="8">
        <v>0.76345195287553358</v>
      </c>
      <c r="AX606" s="8">
        <v>64.917696652984688</v>
      </c>
      <c r="AY606" s="8">
        <v>62.435078520922133</v>
      </c>
      <c r="AZ606" s="8">
        <v>40.56348493983603</v>
      </c>
      <c r="BA606" s="8">
        <v>28.686405488992609</v>
      </c>
      <c r="BB606" s="8">
        <v>0.6964406877569923</v>
      </c>
      <c r="BC606" s="8">
        <v>70.911449725177206</v>
      </c>
      <c r="BD606" s="8">
        <v>74.300400684709004</v>
      </c>
      <c r="BE606" s="8">
        <v>41.705122387563513</v>
      </c>
      <c r="BF606" s="8">
        <v>31.720473449080529</v>
      </c>
      <c r="BG606" s="8">
        <v>0.68624680605126809</v>
      </c>
      <c r="BH606" s="8">
        <v>71.679058965178896</v>
      </c>
      <c r="BI606" s="8">
        <v>93.171899620257932</v>
      </c>
    </row>
    <row r="607" spans="1:61" s="5" customFormat="1" x14ac:dyDescent="0.15">
      <c r="A607" s="7">
        <v>2018</v>
      </c>
      <c r="B607" s="7">
        <v>63</v>
      </c>
      <c r="C607" s="7">
        <v>19.227299935289913</v>
      </c>
      <c r="D607" s="7">
        <v>1.7292895471004752</v>
      </c>
      <c r="E607" s="8">
        <v>39.210624204204763</v>
      </c>
      <c r="F607" s="8">
        <v>31.43927804552542</v>
      </c>
      <c r="G607" s="8">
        <v>0.81088354280640407</v>
      </c>
      <c r="H607" s="8">
        <v>67.269563794477961</v>
      </c>
      <c r="I607" s="8">
        <v>59.541368569210967</v>
      </c>
      <c r="J607" s="8">
        <v>45.693764998211023</v>
      </c>
      <c r="K607" s="8">
        <v>35.535594994088093</v>
      </c>
      <c r="L607" s="8">
        <v>0.86444759032509133</v>
      </c>
      <c r="M607" s="8">
        <v>69.039315729061386</v>
      </c>
      <c r="N607" s="8">
        <v>70.780729823026604</v>
      </c>
      <c r="O607" s="8">
        <v>290.58499999999998</v>
      </c>
      <c r="P607" s="8">
        <v>286.06299999999999</v>
      </c>
      <c r="Q607" s="8">
        <v>101.249</v>
      </c>
      <c r="R607" s="8">
        <v>-0.83462700000000001</v>
      </c>
      <c r="S607" s="8">
        <v>-0.46322799999999997</v>
      </c>
      <c r="T607" s="7">
        <f>C607-D607</f>
        <v>17.498010388189439</v>
      </c>
      <c r="U607" s="8">
        <f>D607/C607</f>
        <v>8.9939281798300019E-2</v>
      </c>
      <c r="V607" s="8">
        <v>43.390932900057294</v>
      </c>
      <c r="W607" s="8">
        <v>31.267720508923553</v>
      </c>
      <c r="X607" s="8">
        <v>0.82057277972981957</v>
      </c>
      <c r="Y607" s="8">
        <v>70.580310759640398</v>
      </c>
      <c r="Z607" s="8">
        <v>65.414270430119046</v>
      </c>
      <c r="AA607" s="7">
        <v>44.542348949134158</v>
      </c>
      <c r="AB607" s="7">
        <v>33.401657751505823</v>
      </c>
      <c r="AC607" s="7">
        <v>0.84251018502745545</v>
      </c>
      <c r="AD607" s="7">
        <v>69.809813244350892</v>
      </c>
      <c r="AE607" s="7">
        <v>68.097500126572825</v>
      </c>
      <c r="AF607" s="8">
        <v>46.098921644657842</v>
      </c>
      <c r="AG607" s="8">
        <v>35.445435082240778</v>
      </c>
      <c r="AH607" s="8">
        <v>0.87951255899489522</v>
      </c>
      <c r="AI607" s="8">
        <v>69.478783580422032</v>
      </c>
      <c r="AJ607" s="8">
        <v>70.964240438691348</v>
      </c>
      <c r="AK607" s="8">
        <v>45.646372741575533</v>
      </c>
      <c r="AL607" s="8">
        <v>35.546141240133849</v>
      </c>
      <c r="AM607" s="8">
        <v>0.86268540064446686</v>
      </c>
      <c r="AN607" s="8">
        <v>68.987909999012572</v>
      </c>
      <c r="AO607" s="8">
        <v>70.75926409546372</v>
      </c>
      <c r="AP607" s="8">
        <v>44.72641846565692</v>
      </c>
      <c r="AQ607" s="8">
        <v>33.51181122186145</v>
      </c>
      <c r="AR607" s="8">
        <v>0.83352424393790059</v>
      </c>
      <c r="AS607" s="8">
        <v>70.738216747791157</v>
      </c>
      <c r="AT607" s="8">
        <v>68.812920655661927</v>
      </c>
      <c r="AU607" s="8">
        <v>43.376667705387177</v>
      </c>
      <c r="AV607" s="8">
        <v>36.26826886017006</v>
      </c>
      <c r="AW607" s="8">
        <v>0.89988587686707544</v>
      </c>
      <c r="AX607" s="8">
        <v>69.75484529378096</v>
      </c>
      <c r="AY607" s="8">
        <v>69.718517898350598</v>
      </c>
      <c r="AZ607" s="8">
        <v>46.424885936272567</v>
      </c>
      <c r="BA607" s="8">
        <v>36.344198456347577</v>
      </c>
      <c r="BB607" s="8">
        <v>0.89368404301083393</v>
      </c>
      <c r="BC607" s="8">
        <v>67.618797813004647</v>
      </c>
      <c r="BD607" s="8">
        <v>72.17074901978458</v>
      </c>
      <c r="BE607" s="8">
        <v>50.237470642190978</v>
      </c>
      <c r="BF607" s="8">
        <v>36.270329947063708</v>
      </c>
      <c r="BG607" s="8">
        <v>0.86503233472039454</v>
      </c>
      <c r="BH607" s="8">
        <v>68.951121823327739</v>
      </c>
      <c r="BI607" s="8">
        <v>79.187311900567764</v>
      </c>
    </row>
    <row r="608" spans="1:61" s="5" customFormat="1" x14ac:dyDescent="0.15">
      <c r="A608" s="7">
        <v>2017</v>
      </c>
      <c r="B608" s="7">
        <v>13</v>
      </c>
      <c r="C608" s="7">
        <v>180.04669458426434</v>
      </c>
      <c r="D608" s="7">
        <v>60.368696260968044</v>
      </c>
      <c r="E608" s="8">
        <v>43.629529943986931</v>
      </c>
      <c r="F608" s="8">
        <v>34.383241596453928</v>
      </c>
      <c r="G608" s="8">
        <v>0.81135903216382688</v>
      </c>
      <c r="H608" s="8">
        <v>75.981442938653316</v>
      </c>
      <c r="I608" s="8">
        <v>76.564208285726792</v>
      </c>
      <c r="J608" s="8">
        <v>44.93151328517645</v>
      </c>
      <c r="K608" s="8">
        <v>33.123516112302248</v>
      </c>
      <c r="L608" s="8">
        <v>0.85219033964219859</v>
      </c>
      <c r="M608" s="8">
        <v>75.895886812567014</v>
      </c>
      <c r="N608" s="8">
        <v>89.592632727111834</v>
      </c>
      <c r="O608" s="8">
        <v>287.45400000000001</v>
      </c>
      <c r="P608" s="8">
        <v>280.31799999999998</v>
      </c>
      <c r="Q608" s="8">
        <v>101.11199999999999</v>
      </c>
      <c r="R608" s="8">
        <v>0.10886899999999999</v>
      </c>
      <c r="S608" s="8">
        <v>0.25265900000000002</v>
      </c>
      <c r="T608" s="7">
        <f>C608-D608</f>
        <v>119.67799832329629</v>
      </c>
      <c r="U608" s="8">
        <f>D608/C608</f>
        <v>0.33529466564416521</v>
      </c>
      <c r="V608" s="8">
        <v>48.462305762703949</v>
      </c>
      <c r="W608" s="8">
        <v>35.582970285598215</v>
      </c>
      <c r="X608" s="8">
        <v>1.0094273142764474</v>
      </c>
      <c r="Y608" s="8">
        <v>73.064223591326638</v>
      </c>
      <c r="Z608" s="8">
        <v>88.262797225067516</v>
      </c>
      <c r="AA608" s="7">
        <v>46.696909523940199</v>
      </c>
      <c r="AB608" s="7">
        <v>34.353243198950231</v>
      </c>
      <c r="AC608" s="7">
        <v>0.93080882695932299</v>
      </c>
      <c r="AD608" s="7">
        <v>74.480055201946826</v>
      </c>
      <c r="AE608" s="7">
        <v>88.927714976089675</v>
      </c>
      <c r="AF608" s="8">
        <v>45.642275914591039</v>
      </c>
      <c r="AG608" s="8">
        <v>32.899305942569299</v>
      </c>
      <c r="AH608" s="8">
        <v>0.89173938758008797</v>
      </c>
      <c r="AI608" s="8">
        <v>77.813128427363154</v>
      </c>
      <c r="AJ608" s="8">
        <v>93.819770691665326</v>
      </c>
      <c r="AK608" s="8">
        <v>44.849590855747032</v>
      </c>
      <c r="AL608" s="8">
        <v>33.149358553993977</v>
      </c>
      <c r="AM608" s="8">
        <v>0.84763192034072021</v>
      </c>
      <c r="AN608" s="8">
        <v>75.674905736203058</v>
      </c>
      <c r="AO608" s="8">
        <v>89.105413228986549</v>
      </c>
      <c r="AP608" s="8">
        <v>47.844413979613471</v>
      </c>
      <c r="AQ608" s="8">
        <v>35.402909046221247</v>
      </c>
      <c r="AR608" s="8">
        <v>0.98018724933413814</v>
      </c>
      <c r="AS608" s="8">
        <v>73.284795027894631</v>
      </c>
      <c r="AT608" s="8">
        <v>88.826001555467499</v>
      </c>
      <c r="AU608" s="8">
        <v>46.855876588918463</v>
      </c>
      <c r="AV608" s="8">
        <v>32.874967101390041</v>
      </c>
      <c r="AW608" s="8">
        <v>0.98846873691635551</v>
      </c>
      <c r="AX608" s="8">
        <v>74.053457190272965</v>
      </c>
      <c r="AY608" s="8">
        <v>87.153300263192705</v>
      </c>
      <c r="AZ608" s="8">
        <v>45.349219738870808</v>
      </c>
      <c r="BA608" s="8">
        <v>32.42347616126564</v>
      </c>
      <c r="BB608" s="8">
        <v>0.85886856940649359</v>
      </c>
      <c r="BC608" s="8">
        <v>76.158947466379558</v>
      </c>
      <c r="BD608" s="8">
        <v>93.899702196071061</v>
      </c>
      <c r="BE608" s="8">
        <v>46.042474404175728</v>
      </c>
      <c r="BF608" s="8">
        <v>31.020873877313111</v>
      </c>
      <c r="BG608" s="8">
        <v>0.95554409665711293</v>
      </c>
      <c r="BH608" s="8">
        <v>74.896480080160075</v>
      </c>
      <c r="BI608" s="8">
        <v>85.405003563365554</v>
      </c>
    </row>
    <row r="609" spans="1:61" s="5" customFormat="1" x14ac:dyDescent="0.15">
      <c r="A609" s="7">
        <v>2021</v>
      </c>
      <c r="B609" s="7">
        <v>114</v>
      </c>
      <c r="C609" s="7">
        <v>58.724839198884467</v>
      </c>
      <c r="D609" s="7">
        <v>38.145132299206516</v>
      </c>
      <c r="E609" s="8">
        <v>40.059225685361028</v>
      </c>
      <c r="F609" s="8">
        <v>27.490803281888539</v>
      </c>
      <c r="G609" s="8">
        <v>0.81148081554702656</v>
      </c>
      <c r="H609" s="8">
        <v>66.468985043732815</v>
      </c>
      <c r="I609" s="8">
        <v>55.14013232981538</v>
      </c>
      <c r="J609" s="8">
        <v>44.068287075188167</v>
      </c>
      <c r="K609" s="8">
        <v>32.560265030600704</v>
      </c>
      <c r="L609" s="8">
        <v>0.74771556326193522</v>
      </c>
      <c r="M609" s="8">
        <v>67.175817347484454</v>
      </c>
      <c r="N609" s="8">
        <v>73.765652398170133</v>
      </c>
      <c r="O609" s="8">
        <v>287.714</v>
      </c>
      <c r="P609" s="8">
        <v>279.63600000000002</v>
      </c>
      <c r="Q609" s="8">
        <v>101.53100000000001</v>
      </c>
      <c r="R609" s="8">
        <v>-0.16225100000000001</v>
      </c>
      <c r="S609" s="8">
        <v>0.234653</v>
      </c>
      <c r="T609" s="7">
        <f>C609-D609</f>
        <v>20.579706899677952</v>
      </c>
      <c r="U609" s="8">
        <f>D609/C609</f>
        <v>0.64955703275780308</v>
      </c>
      <c r="V609" s="8">
        <v>43.397064773137387</v>
      </c>
      <c r="W609" s="8">
        <v>36.717769291283233</v>
      </c>
      <c r="X609" s="8">
        <v>0.76112045275022111</v>
      </c>
      <c r="Y609" s="8">
        <v>63.041413768669756</v>
      </c>
      <c r="Z609" s="8">
        <v>67.714836233977664</v>
      </c>
      <c r="AA609" s="7">
        <v>43.732675924162777</v>
      </c>
      <c r="AB609" s="7">
        <v>34.639017160941968</v>
      </c>
      <c r="AC609" s="7">
        <v>0.75441800800607817</v>
      </c>
      <c r="AD609" s="7">
        <v>65.108615558077105</v>
      </c>
      <c r="AE609" s="7">
        <v>70.740244316073898</v>
      </c>
      <c r="AF609" s="8">
        <v>43.671936877321059</v>
      </c>
      <c r="AG609" s="8">
        <v>31.751242398984491</v>
      </c>
      <c r="AH609" s="8">
        <v>0.75052015170186182</v>
      </c>
      <c r="AI609" s="8">
        <v>67.015304126219178</v>
      </c>
      <c r="AJ609" s="8">
        <v>68.006181757309093</v>
      </c>
      <c r="AK609" s="8">
        <v>44.107163130253227</v>
      </c>
      <c r="AL609" s="8">
        <v>32.639618109127802</v>
      </c>
      <c r="AM609" s="8">
        <v>0.74744047487996357</v>
      </c>
      <c r="AN609" s="8">
        <v>67.191561305383701</v>
      </c>
      <c r="AO609" s="8">
        <v>74.330570743069543</v>
      </c>
      <c r="AP609" s="8">
        <v>44.037813370098057</v>
      </c>
      <c r="AQ609" s="8">
        <v>34.629321061918311</v>
      </c>
      <c r="AR609" s="8">
        <v>0.73666519032663225</v>
      </c>
      <c r="AS609" s="8">
        <v>65.266060064312327</v>
      </c>
      <c r="AT609" s="8">
        <v>71.08622534285692</v>
      </c>
      <c r="AU609" s="8">
        <v>41.106094729105152</v>
      </c>
      <c r="AV609" s="8">
        <v>26.1526040498713</v>
      </c>
      <c r="AW609" s="8">
        <v>0.79307921776595103</v>
      </c>
      <c r="AX609" s="8">
        <v>71.866452829120576</v>
      </c>
      <c r="AY609" s="8">
        <v>67.014386905917164</v>
      </c>
      <c r="AZ609" s="8">
        <v>43.643744418560651</v>
      </c>
      <c r="BA609" s="8">
        <v>34.050825895029789</v>
      </c>
      <c r="BB609" s="8">
        <v>0.74143506160242145</v>
      </c>
      <c r="BC609" s="8">
        <v>66.854122592750713</v>
      </c>
      <c r="BD609" s="8">
        <v>76.31043591347904</v>
      </c>
      <c r="BE609" s="8">
        <v>44.747279822901703</v>
      </c>
      <c r="BF609" s="8">
        <v>37.135513560427498</v>
      </c>
      <c r="BG609" s="8">
        <v>0.81988321820251564</v>
      </c>
      <c r="BH609" s="8">
        <v>61.218419758892352</v>
      </c>
      <c r="BI609" s="8">
        <v>62.971946685594418</v>
      </c>
    </row>
    <row r="610" spans="1:61" s="5" customFormat="1" x14ac:dyDescent="0.15">
      <c r="A610" s="7">
        <v>2018</v>
      </c>
      <c r="B610" s="7">
        <v>45</v>
      </c>
      <c r="C610" s="7">
        <v>37.606825847957516</v>
      </c>
      <c r="D610" s="7">
        <v>8.1449367993960706</v>
      </c>
      <c r="E610" s="8">
        <v>38.700444316335307</v>
      </c>
      <c r="F610" s="8">
        <v>17.97821149297971</v>
      </c>
      <c r="G610" s="8">
        <v>0.81191491429988327</v>
      </c>
      <c r="H610" s="8">
        <v>74.67610911977971</v>
      </c>
      <c r="I610" s="8">
        <v>62.926641303893327</v>
      </c>
      <c r="J610" s="8">
        <v>50.307188343561812</v>
      </c>
      <c r="K610" s="8">
        <v>25.01932049934285</v>
      </c>
      <c r="L610" s="8">
        <v>0.88524558134797149</v>
      </c>
      <c r="M610" s="8">
        <v>70.936328040201602</v>
      </c>
      <c r="N610" s="8">
        <v>81.258731602874548</v>
      </c>
      <c r="O610" s="8">
        <v>288.714</v>
      </c>
      <c r="P610" s="8">
        <v>283.25799999999998</v>
      </c>
      <c r="Q610" s="8">
        <v>97.052700000000002</v>
      </c>
      <c r="R610" s="8">
        <v>-0.37078299999999997</v>
      </c>
      <c r="S610" s="8">
        <v>-0.236903</v>
      </c>
      <c r="T610" s="7">
        <f>C610-D610</f>
        <v>29.461889048561446</v>
      </c>
      <c r="U610" s="8">
        <f>D610/C610</f>
        <v>0.21658134170444576</v>
      </c>
      <c r="V610" s="8">
        <v>40.902263576866183</v>
      </c>
      <c r="W610" s="8">
        <v>17.844586641537891</v>
      </c>
      <c r="X610" s="8">
        <v>0.78105058758808787</v>
      </c>
      <c r="Y610" s="8">
        <v>74.267237861731104</v>
      </c>
      <c r="Z610" s="8">
        <v>67.850806980653772</v>
      </c>
      <c r="AA610" s="7">
        <v>45.604725960213997</v>
      </c>
      <c r="AB610" s="7">
        <v>21.431953570440371</v>
      </c>
      <c r="AC610" s="7">
        <v>0.83314808446802968</v>
      </c>
      <c r="AD610" s="7">
        <v>72.601782950966353</v>
      </c>
      <c r="AE610" s="7">
        <v>74.55476929176416</v>
      </c>
      <c r="AF610" s="8">
        <v>49.582681509071307</v>
      </c>
      <c r="AG610" s="8">
        <v>23.816148884224159</v>
      </c>
      <c r="AH610" s="8">
        <v>0.86837653135312798</v>
      </c>
      <c r="AI610" s="8">
        <v>72.598898267846806</v>
      </c>
      <c r="AJ610" s="8">
        <v>78.683760438523294</v>
      </c>
      <c r="AK610" s="8">
        <v>50.430620702802877</v>
      </c>
      <c r="AL610" s="8">
        <v>25.22430174169433</v>
      </c>
      <c r="AM610" s="8">
        <v>0.88811951785194343</v>
      </c>
      <c r="AN610" s="8">
        <v>70.653080242067944</v>
      </c>
      <c r="AO610" s="8">
        <v>81.697422793437497</v>
      </c>
      <c r="AP610" s="8">
        <v>50.580258093035987</v>
      </c>
      <c r="AQ610" s="8">
        <v>23.609464094527858</v>
      </c>
      <c r="AR610" s="8">
        <v>0.84157768165418678</v>
      </c>
      <c r="AS610" s="8">
        <v>71.262401352570052</v>
      </c>
      <c r="AT610" s="8">
        <v>83.411684502612076</v>
      </c>
      <c r="AU610" s="8">
        <v>44.556173044044513</v>
      </c>
      <c r="AV610" s="8">
        <v>24.5292343918364</v>
      </c>
      <c r="AW610" s="8">
        <v>0.87870880260457074</v>
      </c>
      <c r="AX610" s="8">
        <v>72.188168732205767</v>
      </c>
      <c r="AY610" s="8">
        <v>75.521041136839543</v>
      </c>
      <c r="AZ610" s="8">
        <v>52.420579712444408</v>
      </c>
      <c r="BA610" s="8">
        <v>27.22576971133185</v>
      </c>
      <c r="BB610" s="8">
        <v>0.9231501411637727</v>
      </c>
      <c r="BC610" s="8">
        <v>69.875351789009983</v>
      </c>
      <c r="BD610" s="8">
        <v>85.460091552840836</v>
      </c>
      <c r="BE610" s="8">
        <v>45.017061546926833</v>
      </c>
      <c r="BF610" s="8">
        <v>32.37651966078289</v>
      </c>
      <c r="BG610" s="8">
        <v>0.76928055125826611</v>
      </c>
      <c r="BH610" s="8">
        <v>63.817147719581527</v>
      </c>
      <c r="BI610" s="8">
        <v>87.691634704065919</v>
      </c>
    </row>
    <row r="611" spans="1:61" s="5" customFormat="1" x14ac:dyDescent="0.15">
      <c r="A611" s="7">
        <v>2017</v>
      </c>
      <c r="B611" s="7">
        <v>33</v>
      </c>
      <c r="C611" s="7">
        <v>133.72864222629332</v>
      </c>
      <c r="D611" s="7">
        <v>84.507845990193545</v>
      </c>
      <c r="E611" s="8">
        <v>24.35637196796041</v>
      </c>
      <c r="F611" s="8">
        <v>19.034122575567039</v>
      </c>
      <c r="G611" s="8">
        <v>0.81257083266906616</v>
      </c>
      <c r="H611" s="8">
        <v>65.733883023393645</v>
      </c>
      <c r="I611" s="8">
        <v>39.714637068712562</v>
      </c>
      <c r="J611" s="8">
        <v>25.100365880547951</v>
      </c>
      <c r="K611" s="8">
        <v>21.80318985344196</v>
      </c>
      <c r="L611" s="8">
        <v>0.84481349162405772</v>
      </c>
      <c r="M611" s="8">
        <v>57.851793751610018</v>
      </c>
      <c r="N611" s="8">
        <v>45.105374561839731</v>
      </c>
      <c r="O611" s="8">
        <v>288.52800000000002</v>
      </c>
      <c r="P611" s="8">
        <v>282.45999999999998</v>
      </c>
      <c r="Q611" s="8">
        <v>79.0501</v>
      </c>
      <c r="R611" s="8">
        <v>0.40373599999999998</v>
      </c>
      <c r="S611" s="8">
        <v>1.12405</v>
      </c>
      <c r="T611" s="7">
        <f>C611-D611</f>
        <v>49.220796236099773</v>
      </c>
      <c r="U611" s="8">
        <f>D611/C611</f>
        <v>0.63193527267846494</v>
      </c>
      <c r="V611" s="8">
        <v>23.682552183083789</v>
      </c>
      <c r="W611" s="8">
        <v>14.188934827423356</v>
      </c>
      <c r="X611" s="8">
        <v>0.73137072674569947</v>
      </c>
      <c r="Y611" s="8">
        <v>66.235155216621976</v>
      </c>
      <c r="Z611" s="8">
        <v>36.988940091181824</v>
      </c>
      <c r="AA611" s="7">
        <v>24.39145903181587</v>
      </c>
      <c r="AB611" s="7">
        <v>17.996062340432658</v>
      </c>
      <c r="AC611" s="7">
        <v>0.7880921091848786</v>
      </c>
      <c r="AD611" s="7">
        <v>62.043474484115997</v>
      </c>
      <c r="AE611" s="7">
        <v>41.047157326510778</v>
      </c>
      <c r="AF611" s="8">
        <v>26.129558579947108</v>
      </c>
      <c r="AG611" s="8">
        <v>23.42926873292889</v>
      </c>
      <c r="AH611" s="8">
        <v>0.91462329260329223</v>
      </c>
      <c r="AI611" s="8">
        <v>55.043792692669648</v>
      </c>
      <c r="AJ611" s="8">
        <v>46.309418619994453</v>
      </c>
      <c r="AK611" s="8">
        <v>24.938766527649399</v>
      </c>
      <c r="AL611" s="8">
        <v>21.547870033508818</v>
      </c>
      <c r="AM611" s="8">
        <v>0.83385226087416309</v>
      </c>
      <c r="AN611" s="8">
        <v>58.292693841873131</v>
      </c>
      <c r="AO611" s="8">
        <v>44.916320810513326</v>
      </c>
      <c r="AP611" s="8">
        <v>24.41466170460485</v>
      </c>
      <c r="AQ611" s="8">
        <v>16.189309420278889</v>
      </c>
      <c r="AR611" s="8">
        <v>0.76105563969282242</v>
      </c>
      <c r="AS611" s="8">
        <v>58.024103607958587</v>
      </c>
      <c r="AT611" s="8">
        <v>42.753887146012573</v>
      </c>
      <c r="AU611" s="8">
        <v>23.714022602143551</v>
      </c>
      <c r="AV611" s="8">
        <v>17.189209203245539</v>
      </c>
      <c r="AW611" s="8">
        <v>0.73419323734956576</v>
      </c>
      <c r="AX611" s="8">
        <v>58.420512600965779</v>
      </c>
      <c r="AY611" s="8">
        <v>40.727622820989552</v>
      </c>
      <c r="AZ611" s="8">
        <v>25.91523780096917</v>
      </c>
      <c r="BA611" s="8">
        <v>27.899342167597592</v>
      </c>
      <c r="BB611" s="8">
        <v>0.93745237304419715</v>
      </c>
      <c r="BC611" s="8">
        <v>54.044996279160017</v>
      </c>
      <c r="BD611" s="8">
        <v>49.665653270280437</v>
      </c>
      <c r="BE611" s="8">
        <v>22.888347281644261</v>
      </c>
      <c r="BF611" s="8">
        <v>25.91713295789015</v>
      </c>
      <c r="BG611" s="8">
        <v>0.78206772963276405</v>
      </c>
      <c r="BH611" s="8">
        <v>54.80561909457294</v>
      </c>
      <c r="BI611" s="8">
        <v>45.614694919147283</v>
      </c>
    </row>
    <row r="612" spans="1:61" s="5" customFormat="1" x14ac:dyDescent="0.15">
      <c r="A612" s="7">
        <v>2021</v>
      </c>
      <c r="B612" s="7">
        <v>20</v>
      </c>
      <c r="C612" s="7">
        <v>81.343331961424056</v>
      </c>
      <c r="D612" s="7">
        <v>3.9358790556207031</v>
      </c>
      <c r="E612" s="8">
        <v>39.72280820582958</v>
      </c>
      <c r="F612" s="8">
        <v>26.87049941540063</v>
      </c>
      <c r="G612" s="8">
        <v>0.81258246282032398</v>
      </c>
      <c r="H612" s="8">
        <v>68.296233533346523</v>
      </c>
      <c r="I612" s="8">
        <v>57.790292565376568</v>
      </c>
      <c r="J612" s="8">
        <v>43.760843952223709</v>
      </c>
      <c r="K612" s="8">
        <v>30.040342725728689</v>
      </c>
      <c r="L612" s="8">
        <v>0.75625130975093591</v>
      </c>
      <c r="M612" s="8">
        <v>72.243205848837988</v>
      </c>
      <c r="N612" s="8">
        <v>77.936892083046786</v>
      </c>
      <c r="O612" s="8">
        <v>287.76100000000002</v>
      </c>
      <c r="P612" s="8">
        <v>280.01299999999998</v>
      </c>
      <c r="Q612" s="8">
        <v>100.574</v>
      </c>
      <c r="R612" s="8">
        <v>-0.18651300000000001</v>
      </c>
      <c r="S612" s="8">
        <v>0.42058800000000002</v>
      </c>
      <c r="T612" s="7">
        <f>C612-D612</f>
        <v>77.407452905803353</v>
      </c>
      <c r="U612" s="8">
        <f>D612/C612</f>
        <v>4.8386007318795832E-2</v>
      </c>
      <c r="V612" s="8">
        <v>40.412635989780625</v>
      </c>
      <c r="W612" s="8">
        <v>30.136804492787615</v>
      </c>
      <c r="X612" s="8">
        <v>0.74769529589201456</v>
      </c>
      <c r="Y612" s="8">
        <v>67.33560517436544</v>
      </c>
      <c r="Z612" s="8">
        <v>70.003640448733165</v>
      </c>
      <c r="AA612" s="7">
        <v>42.086739971002167</v>
      </c>
      <c r="AB612" s="7">
        <v>30.088573609258152</v>
      </c>
      <c r="AC612" s="7">
        <v>0.75197330282147523</v>
      </c>
      <c r="AD612" s="7">
        <v>69.789405511601714</v>
      </c>
      <c r="AE612" s="7">
        <v>73.970266265889975</v>
      </c>
      <c r="AF612" s="8">
        <v>42.902777097488361</v>
      </c>
      <c r="AG612" s="8">
        <v>26.786788744021059</v>
      </c>
      <c r="AH612" s="8">
        <v>0.76837321902369549</v>
      </c>
      <c r="AI612" s="8">
        <v>74.399714491119894</v>
      </c>
      <c r="AJ612" s="8">
        <v>70.130455754856158</v>
      </c>
      <c r="AK612" s="8">
        <v>43.848320185300778</v>
      </c>
      <c r="AL612" s="8">
        <v>30.372028590136601</v>
      </c>
      <c r="AM612" s="8">
        <v>0.7550155331269689</v>
      </c>
      <c r="AN612" s="8">
        <v>72.023359048342314</v>
      </c>
      <c r="AO612" s="8">
        <v>78.732724762024588</v>
      </c>
      <c r="AP612" s="8">
        <v>42.355867221321233</v>
      </c>
      <c r="AQ612" s="8">
        <v>30.588269535056298</v>
      </c>
      <c r="AR612" s="8">
        <v>0.73765226577315646</v>
      </c>
      <c r="AS612" s="8">
        <v>69.442482939497822</v>
      </c>
      <c r="AT612" s="8">
        <v>75.369046633010342</v>
      </c>
      <c r="AU612" s="8">
        <v>36.485639848184448</v>
      </c>
      <c r="AV612" s="8">
        <v>26.23103397516126</v>
      </c>
      <c r="AW612" s="8">
        <v>0.77776063362551207</v>
      </c>
      <c r="AX612" s="8">
        <v>69.978348699643419</v>
      </c>
      <c r="AY612" s="8">
        <v>69.060043386224663</v>
      </c>
      <c r="AZ612" s="8">
        <v>43.851702636569698</v>
      </c>
      <c r="BA612" s="8">
        <v>31.269120217840829</v>
      </c>
      <c r="BB612" s="8">
        <v>0.74467353197152686</v>
      </c>
      <c r="BC612" s="8">
        <v>71.771627915242334</v>
      </c>
      <c r="BD612" s="8">
        <v>80.78948760915705</v>
      </c>
      <c r="BE612" s="8">
        <v>44.806088685946882</v>
      </c>
      <c r="BF612" s="8">
        <v>33.952056133796901</v>
      </c>
      <c r="BG612" s="8">
        <v>0.77710431500168986</v>
      </c>
      <c r="BH612" s="8">
        <v>69.944472186592691</v>
      </c>
      <c r="BI612" s="8">
        <v>92.23682179024695</v>
      </c>
    </row>
    <row r="613" spans="1:61" s="5" customFormat="1" x14ac:dyDescent="0.15">
      <c r="A613" s="7">
        <v>2018</v>
      </c>
      <c r="B613" s="7">
        <v>113</v>
      </c>
      <c r="C613" s="7">
        <v>16.030659665739591</v>
      </c>
      <c r="D613" s="7">
        <v>12.986032210702486</v>
      </c>
      <c r="E613" s="8">
        <v>28.90151010250786</v>
      </c>
      <c r="F613" s="8">
        <v>17.933233035446211</v>
      </c>
      <c r="G613" s="8">
        <v>0.81290767390281093</v>
      </c>
      <c r="H613" s="8">
        <v>61.303495132926393</v>
      </c>
      <c r="I613" s="8">
        <v>44.672508708999942</v>
      </c>
      <c r="J613" s="8">
        <v>33.586029034525467</v>
      </c>
      <c r="K613" s="8">
        <v>20.55079465077484</v>
      </c>
      <c r="L613" s="8">
        <v>0.92110684326551773</v>
      </c>
      <c r="M613" s="8">
        <v>59.855720224501958</v>
      </c>
      <c r="N613" s="8">
        <v>49.417870080728022</v>
      </c>
      <c r="O613" s="8">
        <v>291.54000000000002</v>
      </c>
      <c r="P613" s="8">
        <v>287.49200000000002</v>
      </c>
      <c r="Q613" s="8">
        <v>96.376899999999992</v>
      </c>
      <c r="R613" s="8">
        <v>-8.1360600000000005E-2</v>
      </c>
      <c r="S613" s="8">
        <v>-0.40967199999999998</v>
      </c>
      <c r="T613" s="7">
        <f>C613-D613</f>
        <v>3.0446274550371051</v>
      </c>
      <c r="U613" s="8">
        <f>D613/C613</f>
        <v>0.81007472440176476</v>
      </c>
      <c r="V613" s="8">
        <v>25.994243263277831</v>
      </c>
      <c r="W613" s="8">
        <v>15.375438569034678</v>
      </c>
      <c r="X613" s="8">
        <v>0.73761121775206095</v>
      </c>
      <c r="Y613" s="8">
        <v>61.416237930243859</v>
      </c>
      <c r="Z613" s="8">
        <v>41.240429011583856</v>
      </c>
      <c r="AA613" s="7">
        <v>29.790136148901649</v>
      </c>
      <c r="AB613" s="7">
        <v>17.963116609904759</v>
      </c>
      <c r="AC613" s="7">
        <v>0.82935903050878934</v>
      </c>
      <c r="AD613" s="7">
        <v>60.635979077372909</v>
      </c>
      <c r="AE613" s="7">
        <v>45.329149546155939</v>
      </c>
      <c r="AF613" s="8">
        <v>33.26277252957145</v>
      </c>
      <c r="AG613" s="8">
        <v>20.841306626733921</v>
      </c>
      <c r="AH613" s="8">
        <v>0.90805093448866481</v>
      </c>
      <c r="AI613" s="8">
        <v>59.80786868811667</v>
      </c>
      <c r="AJ613" s="8">
        <v>49.455951453062617</v>
      </c>
      <c r="AK613" s="8">
        <v>33.643337903310872</v>
      </c>
      <c r="AL613" s="8">
        <v>20.499290930182461</v>
      </c>
      <c r="AM613" s="8">
        <v>0.92342147375709271</v>
      </c>
      <c r="AN613" s="8">
        <v>59.86420363435716</v>
      </c>
      <c r="AO613" s="8">
        <v>49.41111878466176</v>
      </c>
      <c r="AP613" s="8">
        <v>31.778844241691601</v>
      </c>
      <c r="AQ613" s="8">
        <v>17.46691124668401</v>
      </c>
      <c r="AR613" s="8">
        <v>0.8692253810721422</v>
      </c>
      <c r="AS613" s="8">
        <v>58.713977053292773</v>
      </c>
      <c r="AT613" s="8">
        <v>46.143768832217738</v>
      </c>
      <c r="AU613" s="8">
        <v>23.991196734089119</v>
      </c>
      <c r="AV613" s="8">
        <v>13.292654304880481</v>
      </c>
      <c r="AW613" s="8">
        <v>0.7800372026631468</v>
      </c>
      <c r="AX613" s="8">
        <v>63.108801248912023</v>
      </c>
      <c r="AY613" s="8">
        <v>37.661605940020543</v>
      </c>
      <c r="AZ613" s="8">
        <v>36.226871440610417</v>
      </c>
      <c r="BA613" s="8">
        <v>23.29866244128776</v>
      </c>
      <c r="BB613" s="8">
        <v>0.95330331221400433</v>
      </c>
      <c r="BC613" s="8">
        <v>58.242582204348061</v>
      </c>
      <c r="BD613" s="8">
        <v>53.36269213601075</v>
      </c>
      <c r="BE613" s="8">
        <v>30.390483824515648</v>
      </c>
      <c r="BF613" s="8">
        <v>19.132943413607091</v>
      </c>
      <c r="BG613" s="8">
        <v>0.65580991177807479</v>
      </c>
      <c r="BH613" s="8">
        <v>58.2048671575238</v>
      </c>
      <c r="BI613" s="8">
        <v>53.154222970097337</v>
      </c>
    </row>
    <row r="614" spans="1:61" s="5" customFormat="1" x14ac:dyDescent="0.15">
      <c r="A614" s="7">
        <v>2017</v>
      </c>
      <c r="B614" s="7">
        <v>57</v>
      </c>
      <c r="C614" s="7">
        <v>36.339133889240358</v>
      </c>
      <c r="D614" s="7">
        <v>31.399146072029822</v>
      </c>
      <c r="E614" s="8">
        <v>42.781364619691409</v>
      </c>
      <c r="F614" s="8">
        <v>33.251764879314813</v>
      </c>
      <c r="G614" s="8">
        <v>0.8134132908187478</v>
      </c>
      <c r="H614" s="8">
        <v>73.488667825776773</v>
      </c>
      <c r="I614" s="8">
        <v>67.371522423145748</v>
      </c>
      <c r="J614" s="8">
        <v>49.427889995248677</v>
      </c>
      <c r="K614" s="8">
        <v>40.999741700345012</v>
      </c>
      <c r="L614" s="8">
        <v>0.89257877098903327</v>
      </c>
      <c r="M614" s="8">
        <v>72.128216130928323</v>
      </c>
      <c r="N614" s="8">
        <v>75.918789359040687</v>
      </c>
      <c r="O614" s="8">
        <v>289.94400000000002</v>
      </c>
      <c r="P614" s="8">
        <v>284.762</v>
      </c>
      <c r="Q614" s="8">
        <v>101.449</v>
      </c>
      <c r="R614" s="8">
        <v>-0.81931200000000004</v>
      </c>
      <c r="S614" s="8">
        <v>-2.836E-2</v>
      </c>
      <c r="T614" s="7">
        <f>C614-D614</f>
        <v>4.939987817210536</v>
      </c>
      <c r="U614" s="8">
        <f>D614/C614</f>
        <v>0.86405873534940758</v>
      </c>
      <c r="V614" s="8">
        <v>46.23523578769877</v>
      </c>
      <c r="W614" s="8">
        <v>32.05844069008883</v>
      </c>
      <c r="X614" s="8">
        <v>0.91315885896906368</v>
      </c>
      <c r="Y614" s="8">
        <v>73.019901879534316</v>
      </c>
      <c r="Z614" s="8">
        <v>69.152970187420806</v>
      </c>
      <c r="AA614" s="7">
        <v>47.831562891473723</v>
      </c>
      <c r="AB614" s="7">
        <v>36.529091195216921</v>
      </c>
      <c r="AC614" s="7">
        <v>0.90286881497904847</v>
      </c>
      <c r="AD614" s="7">
        <v>72.574059005231319</v>
      </c>
      <c r="AE614" s="7">
        <v>72.535879773230747</v>
      </c>
      <c r="AF614" s="8">
        <v>47.682611644599334</v>
      </c>
      <c r="AG614" s="8">
        <v>40.656576279274908</v>
      </c>
      <c r="AH614" s="8">
        <v>0.88473462127577518</v>
      </c>
      <c r="AI614" s="8">
        <v>70.92815324830498</v>
      </c>
      <c r="AJ614" s="8">
        <v>73.465672017466659</v>
      </c>
      <c r="AK614" s="8">
        <v>49.556521330385102</v>
      </c>
      <c r="AL614" s="8">
        <v>41.025033841434407</v>
      </c>
      <c r="AM614" s="8">
        <v>0.89315690424224825</v>
      </c>
      <c r="AN614" s="8">
        <v>72.216663736310039</v>
      </c>
      <c r="AO614" s="8">
        <v>76.099590180167908</v>
      </c>
      <c r="AP614" s="8">
        <v>47.64239896895706</v>
      </c>
      <c r="AQ614" s="8">
        <v>35.505956232614757</v>
      </c>
      <c r="AR614" s="8">
        <v>0.90409887034763292</v>
      </c>
      <c r="AS614" s="8">
        <v>72.7399375270072</v>
      </c>
      <c r="AT614" s="8">
        <v>72.494185316082977</v>
      </c>
      <c r="AU614" s="8">
        <v>44.797778907749127</v>
      </c>
      <c r="AV614" s="8">
        <v>36.815666117828961</v>
      </c>
      <c r="AW614" s="8">
        <v>0.84036803731570131</v>
      </c>
      <c r="AX614" s="8">
        <v>67.779893707960568</v>
      </c>
      <c r="AY614" s="8">
        <v>71.175449435241447</v>
      </c>
      <c r="AZ614" s="8">
        <v>49.088284496601929</v>
      </c>
      <c r="BA614" s="8">
        <v>41.571760269865379</v>
      </c>
      <c r="BB614" s="8">
        <v>0.88194208070924829</v>
      </c>
      <c r="BC614" s="8">
        <v>71.596742539227293</v>
      </c>
      <c r="BD614" s="8">
        <v>74.613884342071145</v>
      </c>
      <c r="BE614" s="8">
        <v>42.808062197561107</v>
      </c>
      <c r="BF614" s="8">
        <v>35.641098100313357</v>
      </c>
      <c r="BG614" s="8">
        <v>0.87696534281725536</v>
      </c>
      <c r="BH614" s="8">
        <v>69.430922609489215</v>
      </c>
      <c r="BI614" s="8">
        <v>73.693958770684546</v>
      </c>
    </row>
    <row r="615" spans="1:61" s="5" customFormat="1" x14ac:dyDescent="0.15">
      <c r="A615" s="7">
        <v>2020</v>
      </c>
      <c r="B615" s="7">
        <v>88</v>
      </c>
      <c r="C615" s="7">
        <v>29.310294366159621</v>
      </c>
      <c r="D615" s="7">
        <v>28.507153047407702</v>
      </c>
      <c r="E615" s="8">
        <v>49.825666456207742</v>
      </c>
      <c r="F615" s="8">
        <v>28.534210990554701</v>
      </c>
      <c r="G615" s="8">
        <v>0.81413895894360022</v>
      </c>
      <c r="H615" s="8">
        <v>70.150198472502424</v>
      </c>
      <c r="I615" s="8">
        <v>70.42822013152248</v>
      </c>
      <c r="J615" s="8">
        <v>45.560598239632647</v>
      </c>
      <c r="K615" s="8">
        <v>26.835857188525061</v>
      </c>
      <c r="L615" s="8">
        <v>0.85836251102809791</v>
      </c>
      <c r="M615" s="8">
        <v>70.201153184183141</v>
      </c>
      <c r="N615" s="8">
        <v>67.36258144774574</v>
      </c>
      <c r="O615" s="8">
        <v>289.59100000000001</v>
      </c>
      <c r="P615" s="8">
        <v>282.77999999999997</v>
      </c>
      <c r="Q615" s="8">
        <v>101.084</v>
      </c>
      <c r="R615" s="8">
        <v>-0.40713899999999997</v>
      </c>
      <c r="S615" s="8">
        <v>-3.3259299999999999E-2</v>
      </c>
      <c r="T615" s="7">
        <f>C615-D615</f>
        <v>0.80314131875191919</v>
      </c>
      <c r="U615" s="8">
        <f>D615/C615</f>
        <v>0.97259866077362944</v>
      </c>
      <c r="V615" s="8">
        <v>34.641985810643838</v>
      </c>
      <c r="W615" s="8">
        <v>38.250724087910079</v>
      </c>
      <c r="X615" s="8">
        <v>1.159152650688428</v>
      </c>
      <c r="Y615" s="8">
        <v>64.033697284685076</v>
      </c>
      <c r="Z615" s="8">
        <v>50.278943715975544</v>
      </c>
      <c r="AA615" s="7">
        <v>40.101292025138243</v>
      </c>
      <c r="AB615" s="7">
        <v>32.54329063821757</v>
      </c>
      <c r="AC615" s="7">
        <v>1.0087575808582629</v>
      </c>
      <c r="AD615" s="7">
        <v>67.117425234434108</v>
      </c>
      <c r="AE615" s="7">
        <v>58.820762581860642</v>
      </c>
      <c r="AF615" s="8">
        <v>44.202305417747489</v>
      </c>
      <c r="AG615" s="8">
        <v>23.872182939346651</v>
      </c>
      <c r="AH615" s="8">
        <v>0.83106177003411552</v>
      </c>
      <c r="AI615" s="8">
        <v>72.210374327235201</v>
      </c>
      <c r="AJ615" s="8">
        <v>64.181550252146124</v>
      </c>
      <c r="AK615" s="8">
        <v>45.736790870712433</v>
      </c>
      <c r="AL615" s="8">
        <v>27.22029385432548</v>
      </c>
      <c r="AM615" s="8">
        <v>0.86190386036651367</v>
      </c>
      <c r="AN615" s="8">
        <v>69.940524581932152</v>
      </c>
      <c r="AO615" s="8">
        <v>67.775212838318566</v>
      </c>
      <c r="AP615" s="8">
        <v>39.226182694745113</v>
      </c>
      <c r="AQ615" s="8">
        <v>34.167828059900621</v>
      </c>
      <c r="AR615" s="8">
        <v>1.0532794168853279</v>
      </c>
      <c r="AS615" s="8">
        <v>66.347367807382682</v>
      </c>
      <c r="AT615" s="8">
        <v>57.550324093757489</v>
      </c>
      <c r="AU615" s="8">
        <v>45.703018915918292</v>
      </c>
      <c r="AV615" s="8">
        <v>31.72247032697026</v>
      </c>
      <c r="AW615" s="8">
        <v>0.93153849238121322</v>
      </c>
      <c r="AX615" s="8">
        <v>70.662764796037649</v>
      </c>
      <c r="AY615" s="8">
        <v>82.999323990603585</v>
      </c>
      <c r="AZ615" s="8">
        <v>43.993307015318877</v>
      </c>
      <c r="BA615" s="8">
        <v>24.993142944871419</v>
      </c>
      <c r="BB615" s="8">
        <v>0.8042794780104634</v>
      </c>
      <c r="BC615" s="8">
        <v>70.674700253819125</v>
      </c>
      <c r="BD615" s="8">
        <v>64.421219128729604</v>
      </c>
      <c r="BE615" s="8">
        <v>41.564036330809728</v>
      </c>
      <c r="BF615" s="8">
        <v>29.60952801137806</v>
      </c>
      <c r="BG615" s="8">
        <v>0.59342773177421193</v>
      </c>
      <c r="BH615" s="8">
        <v>65.947902981027724</v>
      </c>
      <c r="BI615" s="8">
        <v>75.800210557115847</v>
      </c>
    </row>
    <row r="616" spans="1:61" s="5" customFormat="1" x14ac:dyDescent="0.15">
      <c r="A616" s="7">
        <v>2020</v>
      </c>
      <c r="B616" s="7">
        <v>119</v>
      </c>
      <c r="C616" s="7">
        <v>114.21707478050436</v>
      </c>
      <c r="D616" s="7">
        <v>94.791184893368609</v>
      </c>
      <c r="E616" s="8">
        <v>50.455312067377378</v>
      </c>
      <c r="F616" s="8">
        <v>33.932340866667403</v>
      </c>
      <c r="G616" s="8">
        <v>0.81618736702131256</v>
      </c>
      <c r="H616" s="8">
        <v>70.200966600903769</v>
      </c>
      <c r="I616" s="8">
        <v>80.43732178700273</v>
      </c>
      <c r="J616" s="8">
        <v>51.541866725015822</v>
      </c>
      <c r="K616" s="8">
        <v>33.267307486355939</v>
      </c>
      <c r="L616" s="8">
        <v>0.83696831342846234</v>
      </c>
      <c r="M616" s="8">
        <v>70.643491734825403</v>
      </c>
      <c r="N616" s="8">
        <v>92.876815051045782</v>
      </c>
      <c r="O616" s="8">
        <v>288.26</v>
      </c>
      <c r="P616" s="8">
        <v>280.02800000000002</v>
      </c>
      <c r="Q616" s="8">
        <v>101.246</v>
      </c>
      <c r="R616" s="8">
        <v>-0.21559600000000001</v>
      </c>
      <c r="S616" s="8">
        <v>0.50452399999999997</v>
      </c>
      <c r="T616" s="7">
        <f>C616-D616</f>
        <v>19.425889887135753</v>
      </c>
      <c r="U616" s="8">
        <f>D616/C616</f>
        <v>0.82992131496567145</v>
      </c>
      <c r="V616" s="8">
        <v>50.257955248343194</v>
      </c>
      <c r="W616" s="8">
        <v>42.765422029682234</v>
      </c>
      <c r="X616" s="8">
        <v>0.84999751619691211</v>
      </c>
      <c r="Y616" s="8">
        <v>65.671255538386902</v>
      </c>
      <c r="Z616" s="8">
        <v>79.225534063549247</v>
      </c>
      <c r="AA616" s="7">
        <v>50.899910986679508</v>
      </c>
      <c r="AB616" s="7">
        <v>38.016364758019087</v>
      </c>
      <c r="AC616" s="7">
        <v>0.84348291481268722</v>
      </c>
      <c r="AD616" s="7">
        <v>68.157373636606152</v>
      </c>
      <c r="AE616" s="7">
        <v>86.051174557297514</v>
      </c>
      <c r="AF616" s="8">
        <v>50.87578558239025</v>
      </c>
      <c r="AG616" s="8">
        <v>31.50107608425898</v>
      </c>
      <c r="AH616" s="8">
        <v>0.82414827792660106</v>
      </c>
      <c r="AI616" s="8">
        <v>72.1438962442666</v>
      </c>
      <c r="AJ616" s="8">
        <v>91.525072776844297</v>
      </c>
      <c r="AK616" s="8">
        <v>51.61521237024953</v>
      </c>
      <c r="AL616" s="8">
        <v>33.461796375965143</v>
      </c>
      <c r="AM616" s="8">
        <v>0.83837999395149398</v>
      </c>
      <c r="AN616" s="8">
        <v>70.47827442147711</v>
      </c>
      <c r="AO616" s="8">
        <v>93.025662395530262</v>
      </c>
      <c r="AP616" s="8">
        <v>50.866624276567507</v>
      </c>
      <c r="AQ616" s="8">
        <v>39.360524438300217</v>
      </c>
      <c r="AR616" s="8">
        <v>0.84498025513428299</v>
      </c>
      <c r="AS616" s="8">
        <v>67.485319227826636</v>
      </c>
      <c r="AT616" s="8">
        <v>84.342186475172412</v>
      </c>
      <c r="AU616" s="8">
        <v>54.074446349627237</v>
      </c>
      <c r="AV616" s="8">
        <v>33.508744507196852</v>
      </c>
      <c r="AW616" s="8">
        <v>0.84876033183612121</v>
      </c>
      <c r="AX616" s="8">
        <v>69.876328690578489</v>
      </c>
      <c r="AY616" s="8">
        <v>101.9282654957366</v>
      </c>
      <c r="AZ616" s="8">
        <v>50.975978414760007</v>
      </c>
      <c r="BA616" s="8">
        <v>33.850224200707267</v>
      </c>
      <c r="BB616" s="8">
        <v>0.83785515090586826</v>
      </c>
      <c r="BC616" s="8">
        <v>70.272194812837981</v>
      </c>
      <c r="BD616" s="8">
        <v>91.62916499381231</v>
      </c>
      <c r="BE616" s="8">
        <v>56.258407985790583</v>
      </c>
      <c r="BF616" s="8">
        <v>29.98179076890392</v>
      </c>
      <c r="BG616" s="8">
        <v>0.97105054738651531</v>
      </c>
      <c r="BH616" s="8">
        <v>70.516564499063492</v>
      </c>
      <c r="BI616" s="8">
        <v>100.5605383655908</v>
      </c>
    </row>
    <row r="617" spans="1:61" s="5" customFormat="1" x14ac:dyDescent="0.15">
      <c r="A617" s="7">
        <v>2020</v>
      </c>
      <c r="B617" s="7">
        <v>66</v>
      </c>
      <c r="C617" s="7">
        <v>124.84822747022291</v>
      </c>
      <c r="D617" s="7">
        <v>39.998356935165319</v>
      </c>
      <c r="E617" s="8">
        <v>38.490035444257003</v>
      </c>
      <c r="F617" s="8">
        <v>30.887713607616629</v>
      </c>
      <c r="G617" s="8">
        <v>0.81769759118469376</v>
      </c>
      <c r="H617" s="8">
        <v>65.150868208407317</v>
      </c>
      <c r="I617" s="8">
        <v>59.722754248907691</v>
      </c>
      <c r="J617" s="8">
        <v>45.621556379893619</v>
      </c>
      <c r="K617" s="8">
        <v>34.476350753701709</v>
      </c>
      <c r="L617" s="8">
        <v>0.77163562640369709</v>
      </c>
      <c r="M617" s="8">
        <v>65.461244772024287</v>
      </c>
      <c r="N617" s="8">
        <v>73.251128385318381</v>
      </c>
      <c r="O617" s="8">
        <v>287.41800000000001</v>
      </c>
      <c r="P617" s="8">
        <v>278.298</v>
      </c>
      <c r="Q617" s="8">
        <v>101.61</v>
      </c>
      <c r="R617" s="8">
        <v>3.8472199999999998E-2</v>
      </c>
      <c r="S617" s="8">
        <v>0.31866299999999997</v>
      </c>
      <c r="T617" s="7">
        <f>C617-D617</f>
        <v>84.84987053505759</v>
      </c>
      <c r="U617" s="8">
        <f>D617/C617</f>
        <v>0.32037584950659537</v>
      </c>
      <c r="V617" s="8">
        <v>46.649765741736942</v>
      </c>
      <c r="W617" s="8">
        <v>37.171584093192706</v>
      </c>
      <c r="X617" s="8">
        <v>0.77744169765941329</v>
      </c>
      <c r="Y617" s="8">
        <v>65.390663853339618</v>
      </c>
      <c r="Z617" s="8">
        <v>68.102324857717818</v>
      </c>
      <c r="AA617" s="7">
        <v>46.135661060815281</v>
      </c>
      <c r="AB617" s="7">
        <v>35.823967423447208</v>
      </c>
      <c r="AC617" s="7">
        <v>0.77453866203155519</v>
      </c>
      <c r="AD617" s="7">
        <v>65.425954312681952</v>
      </c>
      <c r="AE617" s="7">
        <v>70.6767266215181</v>
      </c>
      <c r="AF617" s="8">
        <v>45.960827554611683</v>
      </c>
      <c r="AG617" s="8">
        <v>33.959438362427598</v>
      </c>
      <c r="AH617" s="8">
        <v>0.78154728303734988</v>
      </c>
      <c r="AI617" s="8">
        <v>65.026810487163289</v>
      </c>
      <c r="AJ617" s="8">
        <v>74.308878940590915</v>
      </c>
      <c r="AK617" s="8">
        <v>45.58170369447538</v>
      </c>
      <c r="AL617" s="8">
        <v>34.537070167708393</v>
      </c>
      <c r="AM617" s="8">
        <v>0.77047134790546368</v>
      </c>
      <c r="AN617" s="8">
        <v>65.512275847398897</v>
      </c>
      <c r="AO617" s="8">
        <v>73.126879102527766</v>
      </c>
      <c r="AP617" s="8">
        <v>46.679415326078299</v>
      </c>
      <c r="AQ617" s="8">
        <v>36.257052242093657</v>
      </c>
      <c r="AR617" s="8">
        <v>0.77053791134819094</v>
      </c>
      <c r="AS617" s="8">
        <v>65.194800390859186</v>
      </c>
      <c r="AT617" s="8">
        <v>71.093944944847962</v>
      </c>
      <c r="AU617" s="8">
        <v>46.439315384866767</v>
      </c>
      <c r="AV617" s="8">
        <v>36.565945190266433</v>
      </c>
      <c r="AW617" s="8">
        <v>0.86089904411727614</v>
      </c>
      <c r="AX617" s="8">
        <v>65.766488319756164</v>
      </c>
      <c r="AY617" s="8">
        <v>68.410524683737904</v>
      </c>
      <c r="AZ617" s="8">
        <v>45.216606266757793</v>
      </c>
      <c r="BA617" s="8">
        <v>34.734540360253163</v>
      </c>
      <c r="BB617" s="8">
        <v>0.77110690370858204</v>
      </c>
      <c r="BC617" s="8">
        <v>65.90079745513782</v>
      </c>
      <c r="BD617" s="8">
        <v>71.293440823759752</v>
      </c>
      <c r="BE617" s="8">
        <v>46.858711384229451</v>
      </c>
      <c r="BF617" s="8">
        <v>38.336824845533727</v>
      </c>
      <c r="BG617" s="8">
        <v>0.86430696869172707</v>
      </c>
      <c r="BH617" s="8">
        <v>66.556589192801468</v>
      </c>
      <c r="BI617" s="8">
        <v>69.070730746661297</v>
      </c>
    </row>
    <row r="618" spans="1:61" s="5" customFormat="1" x14ac:dyDescent="0.15">
      <c r="A618" s="7">
        <v>2017</v>
      </c>
      <c r="B618" s="7">
        <v>32</v>
      </c>
      <c r="C618" s="7">
        <v>99.954443981172261</v>
      </c>
      <c r="D618" s="7">
        <v>76.445337625138507</v>
      </c>
      <c r="E618" s="8">
        <v>38.595545233321808</v>
      </c>
      <c r="F618" s="8">
        <v>25.0355937754242</v>
      </c>
      <c r="G618" s="8">
        <v>0.81785064250546169</v>
      </c>
      <c r="H618" s="8">
        <v>67.558549360593261</v>
      </c>
      <c r="I618" s="8">
        <v>60.741593790917833</v>
      </c>
      <c r="J618" s="8">
        <v>47.02905834120336</v>
      </c>
      <c r="K618" s="8">
        <v>31.961492815145299</v>
      </c>
      <c r="L618" s="8">
        <v>0.93037381664801611</v>
      </c>
      <c r="M618" s="8">
        <v>66.421370731707569</v>
      </c>
      <c r="N618" s="8">
        <v>78.45430660402954</v>
      </c>
      <c r="O618" s="8">
        <v>282.75900000000001</v>
      </c>
      <c r="P618" s="8">
        <v>272.387</v>
      </c>
      <c r="Q618" s="8">
        <v>100.584</v>
      </c>
      <c r="R618" s="8">
        <v>1.1316900000000001</v>
      </c>
      <c r="S618" s="8">
        <v>0.40689199999999998</v>
      </c>
      <c r="T618" s="7">
        <f>C618-D618</f>
        <v>23.509106356033755</v>
      </c>
      <c r="U618" s="8">
        <f>D618/C618</f>
        <v>0.76480178949860389</v>
      </c>
      <c r="V618" s="8">
        <v>39.711964826243666</v>
      </c>
      <c r="W618" s="8">
        <v>25.884868322440681</v>
      </c>
      <c r="X618" s="8">
        <v>0.83486311261312329</v>
      </c>
      <c r="Y618" s="8">
        <v>65.976452057371986</v>
      </c>
      <c r="Z618" s="8">
        <v>68.283217719292765</v>
      </c>
      <c r="AA618" s="7">
        <v>43.370511583723513</v>
      </c>
      <c r="AB618" s="7">
        <v>28.92318056879299</v>
      </c>
      <c r="AC618" s="7">
        <v>0.8826184646305697</v>
      </c>
      <c r="AD618" s="7">
        <v>66.198911394539778</v>
      </c>
      <c r="AE618" s="7">
        <v>73.368762161661152</v>
      </c>
      <c r="AF618" s="8">
        <v>48.812960448329328</v>
      </c>
      <c r="AG618" s="8">
        <v>30.79419894602103</v>
      </c>
      <c r="AH618" s="8">
        <v>0.95384364036524016</v>
      </c>
      <c r="AI618" s="8">
        <v>67.11917547231279</v>
      </c>
      <c r="AJ618" s="8">
        <v>79.677943519950134</v>
      </c>
      <c r="AK618" s="8">
        <v>46.77702536427968</v>
      </c>
      <c r="AL618" s="8">
        <v>32.126410243968863</v>
      </c>
      <c r="AM618" s="8">
        <v>0.92705795670497448</v>
      </c>
      <c r="AN618" s="8">
        <v>66.322783592097352</v>
      </c>
      <c r="AO618" s="8">
        <v>78.281428925730211</v>
      </c>
      <c r="AP618" s="8">
        <v>43.163309991750211</v>
      </c>
      <c r="AQ618" s="8">
        <v>28.222237223512231</v>
      </c>
      <c r="AR618" s="8">
        <v>0.87846250687012262</v>
      </c>
      <c r="AS618" s="8">
        <v>66.314525040630741</v>
      </c>
      <c r="AT618" s="8">
        <v>72.840646648310781</v>
      </c>
      <c r="AU618" s="8">
        <v>43.396643987679219</v>
      </c>
      <c r="AV618" s="8">
        <v>27.214803128671971</v>
      </c>
      <c r="AW618" s="8">
        <v>0.84345896232817064</v>
      </c>
      <c r="AX618" s="8">
        <v>65.588010117200241</v>
      </c>
      <c r="AY618" s="8">
        <v>73.606570959267202</v>
      </c>
      <c r="AZ618" s="8">
        <v>45.493873437002243</v>
      </c>
      <c r="BA618" s="8">
        <v>32.55553214931156</v>
      </c>
      <c r="BB618" s="8">
        <v>0.91275293377543865</v>
      </c>
      <c r="BC618" s="8">
        <v>65.138122065485021</v>
      </c>
      <c r="BD618" s="8">
        <v>78.305052366256504</v>
      </c>
      <c r="BE618" s="8">
        <v>41.268890044551313</v>
      </c>
      <c r="BF618" s="8">
        <v>29.952732894114501</v>
      </c>
      <c r="BG618" s="8">
        <v>0.68399661372842502</v>
      </c>
      <c r="BH618" s="8">
        <v>64.185028722326052</v>
      </c>
      <c r="BI618" s="8">
        <v>75.531807741149507</v>
      </c>
    </row>
    <row r="619" spans="1:61" s="5" customFormat="1" x14ac:dyDescent="0.15">
      <c r="A619" s="7">
        <v>2020</v>
      </c>
      <c r="B619" s="7">
        <v>114</v>
      </c>
      <c r="C619" s="7">
        <v>7.2939152241811867</v>
      </c>
      <c r="D619" s="7">
        <v>5.3215187641871839</v>
      </c>
      <c r="E619" s="8">
        <v>45.905297211857643</v>
      </c>
      <c r="F619" s="8">
        <v>31.144983584544679</v>
      </c>
      <c r="G619" s="8">
        <v>0.81801113599249398</v>
      </c>
      <c r="H619" s="8">
        <v>69.527137567247905</v>
      </c>
      <c r="I619" s="8">
        <v>68.934868207646488</v>
      </c>
      <c r="J619" s="8">
        <v>48.855642793369867</v>
      </c>
      <c r="K619" s="8">
        <v>32.876394565981627</v>
      </c>
      <c r="L619" s="8">
        <v>0.82772728125118944</v>
      </c>
      <c r="M619" s="8">
        <v>68.934503067360581</v>
      </c>
      <c r="N619" s="8">
        <v>83.661822779935122</v>
      </c>
      <c r="O619" s="8">
        <v>287.666</v>
      </c>
      <c r="P619" s="8">
        <v>279.08499999999998</v>
      </c>
      <c r="Q619" s="8">
        <v>101.616</v>
      </c>
      <c r="R619" s="8">
        <v>1.5582500000000001E-2</v>
      </c>
      <c r="S619" s="8">
        <v>0.217031</v>
      </c>
      <c r="T619" s="7">
        <f>C619-D619</f>
        <v>1.9723964599940027</v>
      </c>
      <c r="U619" s="8">
        <f>D619/C619</f>
        <v>0.72958330342872557</v>
      </c>
      <c r="V619" s="8">
        <v>46.289891610156346</v>
      </c>
      <c r="W619" s="8">
        <v>39.469602662358355</v>
      </c>
      <c r="X619" s="8">
        <v>0.82898848985913587</v>
      </c>
      <c r="Y619" s="8">
        <v>64.526848044804339</v>
      </c>
      <c r="Z619" s="8">
        <v>67.799892071685534</v>
      </c>
      <c r="AA619" s="7">
        <v>47.572767201763106</v>
      </c>
      <c r="AB619" s="7">
        <v>36.172998614169991</v>
      </c>
      <c r="AC619" s="7">
        <v>0.82835788555516265</v>
      </c>
      <c r="AD619" s="7">
        <v>66.73067555608246</v>
      </c>
      <c r="AE619" s="7">
        <v>75.730857425810328</v>
      </c>
      <c r="AF619" s="8">
        <v>48.503305956306058</v>
      </c>
      <c r="AG619" s="8">
        <v>31.564736421993061</v>
      </c>
      <c r="AH619" s="8">
        <v>0.81784434766969327</v>
      </c>
      <c r="AI619" s="8">
        <v>70.702998698614451</v>
      </c>
      <c r="AJ619" s="8">
        <v>81.82787510123346</v>
      </c>
      <c r="AK619" s="8">
        <v>48.889047036569529</v>
      </c>
      <c r="AL619" s="8">
        <v>33.000749850548956</v>
      </c>
      <c r="AM619" s="8">
        <v>0.82866425939867361</v>
      </c>
      <c r="AN619" s="8">
        <v>68.766836073877116</v>
      </c>
      <c r="AO619" s="8">
        <v>83.835695131135608</v>
      </c>
      <c r="AP619" s="8">
        <v>48.085244087372352</v>
      </c>
      <c r="AQ619" s="8">
        <v>37.096638841818567</v>
      </c>
      <c r="AR619" s="8">
        <v>0.82100874855235606</v>
      </c>
      <c r="AS619" s="8">
        <v>66.256556974008717</v>
      </c>
      <c r="AT619" s="8">
        <v>76.177442508626982</v>
      </c>
      <c r="AU619" s="8">
        <v>43.253129285410871</v>
      </c>
      <c r="AV619" s="8">
        <v>27.302134194930929</v>
      </c>
      <c r="AW619" s="8">
        <v>0.81168241222738569</v>
      </c>
      <c r="AX619" s="8">
        <v>73.433691757634378</v>
      </c>
      <c r="AY619" s="8">
        <v>71.753395213310824</v>
      </c>
      <c r="AZ619" s="8">
        <v>47.778274227344298</v>
      </c>
      <c r="BA619" s="8">
        <v>33.847428486756193</v>
      </c>
      <c r="BB619" s="8">
        <v>0.82447307148678617</v>
      </c>
      <c r="BC619" s="8">
        <v>68.297221582675135</v>
      </c>
      <c r="BD619" s="8">
        <v>80.817884840070363</v>
      </c>
      <c r="BE619" s="8">
        <v>46.60240002804445</v>
      </c>
      <c r="BF619" s="8">
        <v>37.691044839523869</v>
      </c>
      <c r="BG619" s="8">
        <v>0.86515115125397557</v>
      </c>
      <c r="BH619" s="8">
        <v>66.501023060617428</v>
      </c>
      <c r="BI619" s="8">
        <v>68.629452506330864</v>
      </c>
    </row>
    <row r="620" spans="1:61" s="5" customFormat="1" x14ac:dyDescent="0.15">
      <c r="A620" s="7">
        <v>2018</v>
      </c>
      <c r="B620" s="7">
        <v>49</v>
      </c>
      <c r="C620" s="7">
        <v>29.035151342479935</v>
      </c>
      <c r="D620" s="7">
        <v>12.267509134829798</v>
      </c>
      <c r="E620" s="8">
        <v>31.610768207185941</v>
      </c>
      <c r="F620" s="8">
        <v>30.630602558296751</v>
      </c>
      <c r="G620" s="8">
        <v>0.81847466151630999</v>
      </c>
      <c r="H620" s="8">
        <v>75.72714421053422</v>
      </c>
      <c r="I620" s="8">
        <v>81.683006683324663</v>
      </c>
      <c r="J620" s="8">
        <v>36.848585002858933</v>
      </c>
      <c r="K620" s="8">
        <v>33.066020179648142</v>
      </c>
      <c r="L620" s="8">
        <v>0.92862509388715964</v>
      </c>
      <c r="M620" s="8">
        <v>70.662093219037885</v>
      </c>
      <c r="N620" s="8">
        <v>99.250125642372083</v>
      </c>
      <c r="O620" s="8">
        <v>282.02999999999997</v>
      </c>
      <c r="P620" s="8">
        <v>269.56900000000002</v>
      </c>
      <c r="Q620" s="8">
        <v>87.56389999999999</v>
      </c>
      <c r="R620" s="8">
        <v>0.70402200000000004</v>
      </c>
      <c r="S620" s="8">
        <v>0.34910799999999997</v>
      </c>
      <c r="T620" s="7">
        <f>C620-D620</f>
        <v>16.767642207650137</v>
      </c>
      <c r="U620" s="8">
        <f>D620/C620</f>
        <v>0.42250543109385463</v>
      </c>
      <c r="V620" s="8">
        <v>33.042216471283474</v>
      </c>
      <c r="W620" s="8">
        <v>28.277951172642616</v>
      </c>
      <c r="X620" s="8">
        <v>0.85046170341247174</v>
      </c>
      <c r="Y620" s="8">
        <v>71.040860583137132</v>
      </c>
      <c r="Z620" s="8">
        <v>92.462750046966946</v>
      </c>
      <c r="AA620" s="7">
        <v>34.945400737071203</v>
      </c>
      <c r="AB620" s="7">
        <v>30.671985676145379</v>
      </c>
      <c r="AC620" s="7">
        <v>0.88954339864981569</v>
      </c>
      <c r="AD620" s="7">
        <v>70.851476901087509</v>
      </c>
      <c r="AE620" s="7">
        <v>95.856437844669514</v>
      </c>
      <c r="AF620" s="8">
        <v>38.493918199743923</v>
      </c>
      <c r="AG620" s="8">
        <v>33.4644311117124</v>
      </c>
      <c r="AH620" s="8">
        <v>0.94128229159760235</v>
      </c>
      <c r="AI620" s="8">
        <v>70.515157217285378</v>
      </c>
      <c r="AJ620" s="8">
        <v>103.5686742490597</v>
      </c>
      <c r="AK620" s="8">
        <v>36.541297121050988</v>
      </c>
      <c r="AL620" s="8">
        <v>32.991611633321511</v>
      </c>
      <c r="AM620" s="8">
        <v>0.92626119368662285</v>
      </c>
      <c r="AN620" s="8">
        <v>70.689535473789306</v>
      </c>
      <c r="AO620" s="8">
        <v>98.443579189443255</v>
      </c>
      <c r="AP620" s="8">
        <v>32.851213777319707</v>
      </c>
      <c r="AQ620" s="8">
        <v>28.104305043223491</v>
      </c>
      <c r="AR620" s="8">
        <v>0.84598180572002812</v>
      </c>
      <c r="AS620" s="8">
        <v>73.7113462108058</v>
      </c>
      <c r="AT620" s="8">
        <v>92.898853071506167</v>
      </c>
      <c r="AU620" s="8">
        <v>36.334235496074342</v>
      </c>
      <c r="AV620" s="8">
        <v>31.960785310821478</v>
      </c>
      <c r="AW620" s="8">
        <v>0.91578452481773565</v>
      </c>
      <c r="AX620" s="8">
        <v>69.640945491876408</v>
      </c>
      <c r="AY620" s="8">
        <v>98.08581783533559</v>
      </c>
      <c r="AZ620" s="8">
        <v>35.714795574687898</v>
      </c>
      <c r="BA620" s="8">
        <v>30.19049759248399</v>
      </c>
      <c r="BB620" s="8">
        <v>0.85143792358570669</v>
      </c>
      <c r="BC620" s="8">
        <v>74.243068550190642</v>
      </c>
      <c r="BD620" s="8">
        <v>93.637300229235535</v>
      </c>
      <c r="BE620" s="8">
        <v>29.260476933338168</v>
      </c>
      <c r="BF620" s="8">
        <v>26.196955642605111</v>
      </c>
      <c r="BG620" s="8">
        <v>0.79466723101880643</v>
      </c>
      <c r="BH620" s="8">
        <v>74.219817104479787</v>
      </c>
      <c r="BI620" s="8">
        <v>87.669537267794013</v>
      </c>
    </row>
    <row r="621" spans="1:61" s="5" customFormat="1" x14ac:dyDescent="0.15">
      <c r="A621" s="7">
        <v>2020</v>
      </c>
      <c r="B621" s="7">
        <v>128</v>
      </c>
      <c r="C621" s="7">
        <v>20.182510702157469</v>
      </c>
      <c r="D621" s="7">
        <v>0.41781523462689135</v>
      </c>
      <c r="E621" s="8">
        <v>42.635872210319853</v>
      </c>
      <c r="F621" s="8">
        <v>22.6592210087158</v>
      </c>
      <c r="G621" s="8">
        <v>0.81866648260201125</v>
      </c>
      <c r="H621" s="8">
        <v>74.246413131245873</v>
      </c>
      <c r="I621" s="8">
        <v>55.510095298554518</v>
      </c>
      <c r="J621" s="8">
        <v>50.889791555154837</v>
      </c>
      <c r="K621" s="8">
        <v>29.373000243319851</v>
      </c>
      <c r="L621" s="8">
        <v>0.85399655960260268</v>
      </c>
      <c r="M621" s="8">
        <v>70.434300841110243</v>
      </c>
      <c r="N621" s="8">
        <v>83.443742566886328</v>
      </c>
      <c r="O621" s="8">
        <v>289.39299999999997</v>
      </c>
      <c r="P621" s="8">
        <v>281.36900000000003</v>
      </c>
      <c r="Q621" s="8">
        <v>100.848</v>
      </c>
      <c r="R621" s="8">
        <v>-0.29132000000000002</v>
      </c>
      <c r="S621" s="8">
        <v>9.7079399999999996E-2</v>
      </c>
      <c r="T621" s="7">
        <f>C621-D621</f>
        <v>19.764695467530576</v>
      </c>
      <c r="U621" s="8">
        <f>D621/C621</f>
        <v>2.0701846306080629E-2</v>
      </c>
      <c r="V621" s="8">
        <v>46.631694440723429</v>
      </c>
      <c r="W621" s="8">
        <v>37.012692313619425</v>
      </c>
      <c r="X621" s="8">
        <v>0.92282160811567437</v>
      </c>
      <c r="Y621" s="8">
        <v>64.218686658109263</v>
      </c>
      <c r="Z621" s="8">
        <v>80.756509168843166</v>
      </c>
      <c r="AA621" s="7">
        <v>48.760742997939133</v>
      </c>
      <c r="AB621" s="7">
        <v>33.192846278469638</v>
      </c>
      <c r="AC621" s="7">
        <v>0.88840908385913853</v>
      </c>
      <c r="AD621" s="7">
        <v>67.326493749609753</v>
      </c>
      <c r="AE621" s="7">
        <v>82.100125867864747</v>
      </c>
      <c r="AF621" s="8">
        <v>48.632341784537381</v>
      </c>
      <c r="AG621" s="8">
        <v>27.53285837287611</v>
      </c>
      <c r="AH621" s="8">
        <v>0.83131999861057815</v>
      </c>
      <c r="AI621" s="8">
        <v>70.951173905908306</v>
      </c>
      <c r="AJ621" s="8">
        <v>77.199200010686354</v>
      </c>
      <c r="AK621" s="8">
        <v>51.295267590582213</v>
      </c>
      <c r="AL621" s="8">
        <v>29.703520744800329</v>
      </c>
      <c r="AM621" s="8">
        <v>0.85806965224362231</v>
      </c>
      <c r="AN621" s="8">
        <v>70.341461725103599</v>
      </c>
      <c r="AO621" s="8">
        <v>84.565367681961632</v>
      </c>
      <c r="AP621" s="8">
        <v>48.169941703623252</v>
      </c>
      <c r="AQ621" s="8">
        <v>34.047245511990653</v>
      </c>
      <c r="AR621" s="8">
        <v>0.89564776610955854</v>
      </c>
      <c r="AS621" s="8">
        <v>66.601430718036269</v>
      </c>
      <c r="AT621" s="8">
        <v>81.822501641739493</v>
      </c>
      <c r="AU621" s="8">
        <v>51.040169486544691</v>
      </c>
      <c r="AV621" s="8">
        <v>32.251241086445717</v>
      </c>
      <c r="AW621" s="8">
        <v>0.99432386759608016</v>
      </c>
      <c r="AX621" s="8">
        <v>70.613901569832009</v>
      </c>
      <c r="AY621" s="8">
        <v>91.971236286097266</v>
      </c>
      <c r="AZ621" s="8">
        <v>50.791704277313293</v>
      </c>
      <c r="BA621" s="8">
        <v>29.85485190122785</v>
      </c>
      <c r="BB621" s="8">
        <v>0.85989811246869963</v>
      </c>
      <c r="BC621" s="8">
        <v>70.096554731482328</v>
      </c>
      <c r="BD621" s="8">
        <v>83.03944371306855</v>
      </c>
      <c r="BE621" s="8">
        <v>51.945327714143218</v>
      </c>
      <c r="BF621" s="8">
        <v>38.791158543278513</v>
      </c>
      <c r="BG621" s="8">
        <v>0.74418942750047479</v>
      </c>
      <c r="BH621" s="8">
        <v>66.746691009814825</v>
      </c>
      <c r="BI621" s="8">
        <v>96.822591486031996</v>
      </c>
    </row>
    <row r="622" spans="1:61" s="5" customFormat="1" x14ac:dyDescent="0.15">
      <c r="A622" s="7">
        <v>2020</v>
      </c>
      <c r="B622" s="7">
        <v>64</v>
      </c>
      <c r="C622" s="7">
        <v>35.520695816872845</v>
      </c>
      <c r="D622" s="7">
        <v>12.85958223355334</v>
      </c>
      <c r="E622" s="8">
        <v>42.493734941466123</v>
      </c>
      <c r="F622" s="8">
        <v>30.663778528851729</v>
      </c>
      <c r="G622" s="8">
        <v>0.8191053708584255</v>
      </c>
      <c r="H622" s="8">
        <v>68.948896290534577</v>
      </c>
      <c r="I622" s="8">
        <v>66.508905633789752</v>
      </c>
      <c r="J622" s="8">
        <v>50.703435929822348</v>
      </c>
      <c r="K622" s="8">
        <v>31.830513133010189</v>
      </c>
      <c r="L622" s="8">
        <v>0.87483610766875086</v>
      </c>
      <c r="M622" s="8">
        <v>71.747108480229201</v>
      </c>
      <c r="N622" s="8">
        <v>87.007208796995485</v>
      </c>
      <c r="O622" s="8">
        <v>286.95800000000003</v>
      </c>
      <c r="P622" s="8">
        <v>279.16399999999999</v>
      </c>
      <c r="Q622" s="8">
        <v>99.680199999999999</v>
      </c>
      <c r="R622" s="8">
        <v>0.11787499999999999</v>
      </c>
      <c r="S622" s="8">
        <v>0.33986</v>
      </c>
      <c r="T622" s="7">
        <f>C622-D622</f>
        <v>22.661113583319505</v>
      </c>
      <c r="U622" s="8">
        <f>D622/C622</f>
        <v>0.36203069612856098</v>
      </c>
      <c r="V622" s="8">
        <v>43.082361700178538</v>
      </c>
      <c r="W622" s="8">
        <v>33.447874883741989</v>
      </c>
      <c r="X622" s="8">
        <v>0.81910995515093277</v>
      </c>
      <c r="Y622" s="8">
        <v>67.780012190764751</v>
      </c>
      <c r="Z622" s="8">
        <v>72.696283509968708</v>
      </c>
      <c r="AA622" s="7">
        <v>46.892898815000443</v>
      </c>
      <c r="AB622" s="7">
        <v>32.639194008376087</v>
      </c>
      <c r="AC622" s="7">
        <v>0.84697303140984181</v>
      </c>
      <c r="AD622" s="7">
        <v>69.763560335496976</v>
      </c>
      <c r="AE622" s="7">
        <v>79.851746153482097</v>
      </c>
      <c r="AF622" s="8">
        <v>49.574217749699343</v>
      </c>
      <c r="AG622" s="8">
        <v>30.237312785154462</v>
      </c>
      <c r="AH622" s="8">
        <v>0.82391815423382142</v>
      </c>
      <c r="AI622" s="8">
        <v>75.535309603474388</v>
      </c>
      <c r="AJ622" s="8">
        <v>81.686662424871173</v>
      </c>
      <c r="AK622" s="8">
        <v>50.780222880358266</v>
      </c>
      <c r="AL622" s="8">
        <v>31.93885091791131</v>
      </c>
      <c r="AM622" s="8">
        <v>0.87829853365570443</v>
      </c>
      <c r="AN622" s="8">
        <v>71.489510420446777</v>
      </c>
      <c r="AO622" s="8">
        <v>87.369006488789523</v>
      </c>
      <c r="AP622" s="8">
        <v>47.380856340441788</v>
      </c>
      <c r="AQ622" s="8">
        <v>33.920069959081808</v>
      </c>
      <c r="AR622" s="8">
        <v>0.84532713510384272</v>
      </c>
      <c r="AS622" s="8">
        <v>69.385782497042143</v>
      </c>
      <c r="AT622" s="8">
        <v>80.897148906211072</v>
      </c>
      <c r="AU622" s="8">
        <v>39.927297098549353</v>
      </c>
      <c r="AV622" s="8">
        <v>27.37621790694924</v>
      </c>
      <c r="AW622" s="8">
        <v>0.81207099172636699</v>
      </c>
      <c r="AX622" s="8">
        <v>71.508939369981491</v>
      </c>
      <c r="AY622" s="8">
        <v>75.206416681415092</v>
      </c>
      <c r="AZ622" s="8">
        <v>50.608551058363183</v>
      </c>
      <c r="BA622" s="8">
        <v>32.088712860332613</v>
      </c>
      <c r="BB622" s="8">
        <v>0.87935184475280348</v>
      </c>
      <c r="BC622" s="8">
        <v>70.852022462949492</v>
      </c>
      <c r="BD622" s="8">
        <v>87.690255220030963</v>
      </c>
      <c r="BE622" s="8">
        <v>53.857145456372301</v>
      </c>
      <c r="BF622" s="8">
        <v>33.92444473086298</v>
      </c>
      <c r="BG622" s="8">
        <v>0.94673411928667928</v>
      </c>
      <c r="BH622" s="8">
        <v>69.791760458875288</v>
      </c>
      <c r="BI622" s="8">
        <v>96.501507004026138</v>
      </c>
    </row>
    <row r="623" spans="1:61" s="5" customFormat="1" x14ac:dyDescent="0.15">
      <c r="A623" s="7">
        <v>2021</v>
      </c>
      <c r="B623" s="7">
        <v>35</v>
      </c>
      <c r="C623" s="7">
        <v>256.98979577824917</v>
      </c>
      <c r="D623" s="7">
        <v>169.25530310855643</v>
      </c>
      <c r="E623" s="8">
        <v>36.323923653209746</v>
      </c>
      <c r="F623" s="8">
        <v>28.596123856890379</v>
      </c>
      <c r="G623" s="8">
        <v>0.82020727561137807</v>
      </c>
      <c r="H623" s="8">
        <v>64.788417088978761</v>
      </c>
      <c r="I623" s="8">
        <v>54.075160166991942</v>
      </c>
      <c r="J623" s="8">
        <v>42.789923418245678</v>
      </c>
      <c r="K623" s="8">
        <v>25.678959589592019</v>
      </c>
      <c r="L623" s="8">
        <v>0.79377139986651624</v>
      </c>
      <c r="M623" s="8">
        <v>75.276320750746791</v>
      </c>
      <c r="N623" s="8">
        <v>70.061685561829776</v>
      </c>
      <c r="O623" s="8">
        <v>287.33600000000001</v>
      </c>
      <c r="P623" s="8">
        <v>280.28100000000001</v>
      </c>
      <c r="Q623" s="8">
        <v>100.49299999999999</v>
      </c>
      <c r="R623" s="8">
        <v>4.5406500000000002E-2</v>
      </c>
      <c r="S623" s="8">
        <v>0.256602</v>
      </c>
      <c r="T623" s="7">
        <f>C623-D623</f>
        <v>87.734492669692742</v>
      </c>
      <c r="U623" s="8">
        <f>D623/C623</f>
        <v>0.65860709603661893</v>
      </c>
      <c r="V623" s="8">
        <v>39.479810355562364</v>
      </c>
      <c r="W623" s="8">
        <v>27.543195066272538</v>
      </c>
      <c r="X623" s="8">
        <v>0.75320252593814796</v>
      </c>
      <c r="Y623" s="8">
        <v>67.456732684479292</v>
      </c>
      <c r="Z623" s="8">
        <v>70.02349092036944</v>
      </c>
      <c r="AA623" s="7">
        <v>41.134866886904021</v>
      </c>
      <c r="AB623" s="7">
        <v>26.611077327932279</v>
      </c>
      <c r="AC623" s="7">
        <v>0.7734869629023321</v>
      </c>
      <c r="AD623" s="7">
        <v>71.366526717613041</v>
      </c>
      <c r="AE623" s="7">
        <v>70.042588241099608</v>
      </c>
      <c r="AF623" s="8">
        <v>40.93559276857313</v>
      </c>
      <c r="AG623" s="8">
        <v>24.543770384690369</v>
      </c>
      <c r="AH623" s="8">
        <v>0.79877864437235535</v>
      </c>
      <c r="AI623" s="8">
        <v>77.345017692052295</v>
      </c>
      <c r="AJ623" s="8">
        <v>61.931000033734087</v>
      </c>
      <c r="AK623" s="8">
        <v>42.900394373541147</v>
      </c>
      <c r="AL623" s="8">
        <v>25.746588000915938</v>
      </c>
      <c r="AM623" s="8">
        <v>0.79347309541684563</v>
      </c>
      <c r="AN623" s="8">
        <v>75.153079015318838</v>
      </c>
      <c r="AO623" s="8">
        <v>70.546067674402039</v>
      </c>
      <c r="AP623" s="8">
        <v>41.08750522548894</v>
      </c>
      <c r="AQ623" s="8">
        <v>25.934571385486478</v>
      </c>
      <c r="AR623" s="8">
        <v>0.75812489362528779</v>
      </c>
      <c r="AS623" s="8">
        <v>71.184276606403174</v>
      </c>
      <c r="AT623" s="8">
        <v>69.855793531815308</v>
      </c>
      <c r="AU623" s="8">
        <v>35.868421362919378</v>
      </c>
      <c r="AV623" s="8">
        <v>26.044961677021341</v>
      </c>
      <c r="AW623" s="8">
        <v>0.80715186991490406</v>
      </c>
      <c r="AX623" s="8">
        <v>67.851574310665569</v>
      </c>
      <c r="AY623" s="8">
        <v>64.533091264623607</v>
      </c>
      <c r="AZ623" s="8">
        <v>43.481195083289307</v>
      </c>
      <c r="BA623" s="8">
        <v>26.502107047262339</v>
      </c>
      <c r="BB623" s="8">
        <v>0.78247589023743114</v>
      </c>
      <c r="BC623" s="8">
        <v>74.696403893078383</v>
      </c>
      <c r="BD623" s="8">
        <v>76.477193273837699</v>
      </c>
      <c r="BE623" s="8">
        <v>39.558496234096637</v>
      </c>
      <c r="BF623" s="8">
        <v>32.886325427017319</v>
      </c>
      <c r="BG623" s="8">
        <v>0.80284534379516792</v>
      </c>
      <c r="BH623" s="8">
        <v>68.472574363627047</v>
      </c>
      <c r="BI623" s="8">
        <v>63.289341354783119</v>
      </c>
    </row>
    <row r="624" spans="1:61" s="5" customFormat="1" x14ac:dyDescent="0.15">
      <c r="A624" s="7">
        <v>2019</v>
      </c>
      <c r="B624" s="7">
        <v>77</v>
      </c>
      <c r="C624" s="7">
        <v>123.20396332172713</v>
      </c>
      <c r="D624" s="7">
        <v>47.819086939170504</v>
      </c>
      <c r="E624" s="8">
        <v>39.774175957059761</v>
      </c>
      <c r="F624" s="8">
        <v>29.87144756447551</v>
      </c>
      <c r="G624" s="8">
        <v>0.82025588272513783</v>
      </c>
      <c r="H624" s="8">
        <v>65.748199237712313</v>
      </c>
      <c r="I624" s="8">
        <v>71.170582128527883</v>
      </c>
      <c r="J624" s="8">
        <v>43.918815543306629</v>
      </c>
      <c r="K624" s="8">
        <v>26.728072976070699</v>
      </c>
      <c r="L624" s="8">
        <v>0.94964459668449663</v>
      </c>
      <c r="M624" s="8">
        <v>67.988399242857326</v>
      </c>
      <c r="N624" s="8">
        <v>79.595452079994729</v>
      </c>
      <c r="O624" s="8">
        <v>279.70400000000001</v>
      </c>
      <c r="P624" s="8">
        <v>268.97399999999999</v>
      </c>
      <c r="Q624" s="8">
        <v>88.579499999999996</v>
      </c>
      <c r="R624" s="8">
        <v>0.37450499999999998</v>
      </c>
      <c r="S624" s="8">
        <v>-0.30821399999999999</v>
      </c>
      <c r="T624" s="7">
        <f>C624-D624</f>
        <v>75.384876382556627</v>
      </c>
      <c r="U624" s="8">
        <f>D624/C624</f>
        <v>0.38812945338697202</v>
      </c>
      <c r="V624" s="8">
        <v>35.007165131822127</v>
      </c>
      <c r="W624" s="8">
        <v>26.315323332050639</v>
      </c>
      <c r="X624" s="8">
        <v>0.8119806737801547</v>
      </c>
      <c r="Y624" s="8">
        <v>66.582148663167231</v>
      </c>
      <c r="Z624" s="8">
        <v>91.775582094864163</v>
      </c>
      <c r="AA624" s="7">
        <v>39.462990337564378</v>
      </c>
      <c r="AB624" s="7">
        <v>26.521698154060669</v>
      </c>
      <c r="AC624" s="7">
        <v>0.88081263523232567</v>
      </c>
      <c r="AD624" s="7">
        <v>67.285273953012279</v>
      </c>
      <c r="AE624" s="7">
        <v>85.685517087429446</v>
      </c>
      <c r="AF624" s="8">
        <v>45.919724411507872</v>
      </c>
      <c r="AG624" s="8">
        <v>28.14186219765784</v>
      </c>
      <c r="AH624" s="8">
        <v>1.0337922442493661</v>
      </c>
      <c r="AI624" s="8">
        <v>67.967299328371041</v>
      </c>
      <c r="AJ624" s="8">
        <v>80.879271597085065</v>
      </c>
      <c r="AK624" s="8">
        <v>43.649848109834792</v>
      </c>
      <c r="AL624" s="8">
        <v>26.53802770992008</v>
      </c>
      <c r="AM624" s="8">
        <v>0.93833324854770617</v>
      </c>
      <c r="AN624" s="8">
        <v>67.991235548866086</v>
      </c>
      <c r="AO624" s="8">
        <v>79.422877683408998</v>
      </c>
      <c r="AP624" s="8">
        <v>51.039905184160801</v>
      </c>
      <c r="AQ624" s="8">
        <v>32.332193231427247</v>
      </c>
      <c r="AR624" s="8">
        <v>1.1115179358912439</v>
      </c>
      <c r="AS624" s="8">
        <v>59.879322180697379</v>
      </c>
      <c r="AT624" s="8">
        <v>89.127554169228574</v>
      </c>
      <c r="AU624" s="8">
        <v>40.467743344000482</v>
      </c>
      <c r="AV624" s="8">
        <v>26.393605325530139</v>
      </c>
      <c r="AW624" s="8">
        <v>0.90799145271988313</v>
      </c>
      <c r="AX624" s="8">
        <v>66.6976414195112</v>
      </c>
      <c r="AY624" s="8">
        <v>86.447215972911707</v>
      </c>
      <c r="AZ624" s="8">
        <v>41.867924250223467</v>
      </c>
      <c r="BA624" s="8">
        <v>24.812719664473128</v>
      </c>
      <c r="BB624" s="8">
        <v>0.8900649376353208</v>
      </c>
      <c r="BC624" s="8">
        <v>69.895942100837985</v>
      </c>
      <c r="BD624" s="8">
        <v>74.285570163652977</v>
      </c>
      <c r="BE624" s="8">
        <v>37.541420181405158</v>
      </c>
      <c r="BF624" s="8">
        <v>26.54321072924261</v>
      </c>
      <c r="BG624" s="8">
        <v>0.83728188421589145</v>
      </c>
      <c r="BH624" s="8">
        <v>69.169473978435249</v>
      </c>
      <c r="BI624" s="8">
        <v>89.439422592390244</v>
      </c>
    </row>
    <row r="625" spans="1:61" s="5" customFormat="1" x14ac:dyDescent="0.15">
      <c r="A625" s="7">
        <v>2020</v>
      </c>
      <c r="B625" s="7">
        <v>91</v>
      </c>
      <c r="C625" s="7">
        <v>28.218474958374113</v>
      </c>
      <c r="D625" s="7">
        <v>11.382354424845815</v>
      </c>
      <c r="E625" s="8">
        <v>36.52308603889842</v>
      </c>
      <c r="F625" s="8">
        <v>30.235570343550279</v>
      </c>
      <c r="G625" s="8">
        <v>0.82060823590212073</v>
      </c>
      <c r="H625" s="8">
        <v>61.533571217140121</v>
      </c>
      <c r="I625" s="8">
        <v>58.631254783766799</v>
      </c>
      <c r="J625" s="8">
        <v>42.545883828719163</v>
      </c>
      <c r="K625" s="8">
        <v>34.293616925239348</v>
      </c>
      <c r="L625" s="8">
        <v>0.81890349612369406</v>
      </c>
      <c r="M625" s="8">
        <v>61.939085494420603</v>
      </c>
      <c r="N625" s="8">
        <v>66.122670979333293</v>
      </c>
      <c r="O625" s="8">
        <v>286.77199999999999</v>
      </c>
      <c r="P625" s="8">
        <v>276.65800000000002</v>
      </c>
      <c r="Q625" s="8">
        <v>101.18</v>
      </c>
      <c r="R625" s="8">
        <v>0.23678299999999999</v>
      </c>
      <c r="S625" s="8">
        <v>6.5758899999999995E-2</v>
      </c>
      <c r="T625" s="7">
        <f>C625-D625</f>
        <v>16.836120533528298</v>
      </c>
      <c r="U625" s="8">
        <f>D625/C625</f>
        <v>0.4033653286237564</v>
      </c>
      <c r="V625" s="8">
        <v>49.0641584593346</v>
      </c>
      <c r="W625" s="8">
        <v>36.899711137839475</v>
      </c>
      <c r="X625" s="8">
        <v>0.76326905359583175</v>
      </c>
      <c r="Y625" s="8">
        <v>66.64994311934089</v>
      </c>
      <c r="Z625" s="8">
        <v>77.807125988263635</v>
      </c>
      <c r="AA625" s="7">
        <v>45.805021144026881</v>
      </c>
      <c r="AB625" s="7">
        <v>35.596664031539412</v>
      </c>
      <c r="AC625" s="7">
        <v>0.79108627485976291</v>
      </c>
      <c r="AD625" s="7">
        <v>64.294514306880743</v>
      </c>
      <c r="AE625" s="7">
        <v>71.964898483798464</v>
      </c>
      <c r="AF625" s="8">
        <v>41.329275100604939</v>
      </c>
      <c r="AG625" s="8">
        <v>33.185355875368927</v>
      </c>
      <c r="AH625" s="8">
        <v>0.84032611377063438</v>
      </c>
      <c r="AI625" s="8">
        <v>62.001020188195739</v>
      </c>
      <c r="AJ625" s="8">
        <v>64.860805947836496</v>
      </c>
      <c r="AK625" s="8">
        <v>42.710123758912303</v>
      </c>
      <c r="AL625" s="8">
        <v>34.443230119079089</v>
      </c>
      <c r="AM625" s="8">
        <v>0.81601148232699761</v>
      </c>
      <c r="AN625" s="8">
        <v>61.930724425206563</v>
      </c>
      <c r="AO625" s="8">
        <v>66.293020426856515</v>
      </c>
      <c r="AP625" s="8">
        <v>47.030714980335752</v>
      </c>
      <c r="AQ625" s="8">
        <v>36.003341840008147</v>
      </c>
      <c r="AR625" s="8">
        <v>0.7803924060545413</v>
      </c>
      <c r="AS625" s="8">
        <v>64.806468898000645</v>
      </c>
      <c r="AT625" s="8">
        <v>74.29483955382652</v>
      </c>
      <c r="AU625" s="8">
        <v>39.364778641731263</v>
      </c>
      <c r="AV625" s="8">
        <v>33.844410543235817</v>
      </c>
      <c r="AW625" s="8">
        <v>0.96282614580156123</v>
      </c>
      <c r="AX625" s="8">
        <v>62.733446505349001</v>
      </c>
      <c r="AY625" s="8">
        <v>65.505948183608595</v>
      </c>
      <c r="AZ625" s="8">
        <v>43.048057163865202</v>
      </c>
      <c r="BA625" s="8">
        <v>34.712533858890239</v>
      </c>
      <c r="BB625" s="8">
        <v>0.81657905071270898</v>
      </c>
      <c r="BC625" s="8">
        <v>63.063155176900651</v>
      </c>
      <c r="BD625" s="8">
        <v>66.553404689384763</v>
      </c>
      <c r="BE625" s="8">
        <v>46.19517910385747</v>
      </c>
      <c r="BF625" s="8">
        <v>36.060152217013318</v>
      </c>
      <c r="BG625" s="8">
        <v>0.89906061706147078</v>
      </c>
      <c r="BH625" s="8">
        <v>63.326575873370281</v>
      </c>
      <c r="BI625" s="8">
        <v>80.67369919477774</v>
      </c>
    </row>
    <row r="626" spans="1:61" s="5" customFormat="1" x14ac:dyDescent="0.15">
      <c r="A626" s="7">
        <v>2019</v>
      </c>
      <c r="B626" s="7">
        <v>59</v>
      </c>
      <c r="C626" s="7">
        <v>50.902996171715195</v>
      </c>
      <c r="D626" s="7">
        <v>23.171248454121375</v>
      </c>
      <c r="E626" s="8">
        <v>37.763465400417473</v>
      </c>
      <c r="F626" s="8">
        <v>26.526933796849001</v>
      </c>
      <c r="G626" s="8">
        <v>0.82063970332807679</v>
      </c>
      <c r="H626" s="8">
        <v>74.125532168849588</v>
      </c>
      <c r="I626" s="8">
        <v>58.564831987391592</v>
      </c>
      <c r="J626" s="8">
        <v>42.47595223064458</v>
      </c>
      <c r="K626" s="8">
        <v>29.526191299369529</v>
      </c>
      <c r="L626" s="8">
        <v>0.73757917224290093</v>
      </c>
      <c r="M626" s="8">
        <v>74.883998805242697</v>
      </c>
      <c r="N626" s="8">
        <v>68.767482407785565</v>
      </c>
      <c r="O626" s="8">
        <v>289.14800000000002</v>
      </c>
      <c r="P626" s="8">
        <v>283.81799999999998</v>
      </c>
      <c r="Q626" s="8">
        <v>101.55200000000001</v>
      </c>
      <c r="R626" s="8">
        <v>-0.92020299999999999</v>
      </c>
      <c r="S626" s="8">
        <v>-0.16928299999999999</v>
      </c>
      <c r="T626" s="7">
        <f>C626-D626</f>
        <v>27.731747717593819</v>
      </c>
      <c r="U626" s="8">
        <f>D626/C626</f>
        <v>0.45520401934605043</v>
      </c>
      <c r="V626" s="8">
        <v>40.971407984188673</v>
      </c>
      <c r="W626" s="8">
        <v>30.705628209233254</v>
      </c>
      <c r="X626" s="8">
        <v>0.782927662179003</v>
      </c>
      <c r="Y626" s="8">
        <v>73.488417746668205</v>
      </c>
      <c r="Z626" s="8">
        <v>59.214928468410719</v>
      </c>
      <c r="AA626" s="7">
        <v>41.723680107416627</v>
      </c>
      <c r="AB626" s="7">
        <v>30.115909754301391</v>
      </c>
      <c r="AC626" s="7">
        <v>0.76025341721095197</v>
      </c>
      <c r="AD626" s="7">
        <v>74.186208275955451</v>
      </c>
      <c r="AE626" s="7">
        <v>63.991205438098142</v>
      </c>
      <c r="AF626" s="8">
        <v>39.818919801361929</v>
      </c>
      <c r="AG626" s="8">
        <v>28.575480500294091</v>
      </c>
      <c r="AH626" s="8">
        <v>0.76670811160009966</v>
      </c>
      <c r="AI626" s="8">
        <v>74.581417574760806</v>
      </c>
      <c r="AJ626" s="8">
        <v>63.515431922249732</v>
      </c>
      <c r="AK626" s="8">
        <v>42.758537710680478</v>
      </c>
      <c r="AL626" s="8">
        <v>29.62730299999134</v>
      </c>
      <c r="AM626" s="8">
        <v>0.73448119902267461</v>
      </c>
      <c r="AN626" s="8">
        <v>74.916179467143238</v>
      </c>
      <c r="AO626" s="8">
        <v>69.326057903993771</v>
      </c>
      <c r="AP626" s="8">
        <v>40.656850232344482</v>
      </c>
      <c r="AQ626" s="8">
        <v>29.04525478007065</v>
      </c>
      <c r="AR626" s="8">
        <v>0.71412055734900848</v>
      </c>
      <c r="AS626" s="8">
        <v>74.873088058661494</v>
      </c>
      <c r="AT626" s="8">
        <v>62.070472881233741</v>
      </c>
      <c r="AU626" s="8">
        <v>39.019509573742312</v>
      </c>
      <c r="AV626" s="8">
        <v>26.916011845041488</v>
      </c>
      <c r="AW626" s="8">
        <v>0.80534175551914722</v>
      </c>
      <c r="AX626" s="8">
        <v>73.632416790885642</v>
      </c>
      <c r="AY626" s="8">
        <v>66.420750065551587</v>
      </c>
      <c r="AZ626" s="8">
        <v>43.312591099618501</v>
      </c>
      <c r="BA626" s="8">
        <v>29.38284369286578</v>
      </c>
      <c r="BB626" s="8">
        <v>0.71963484972133185</v>
      </c>
      <c r="BC626" s="8">
        <v>74.073284790044156</v>
      </c>
      <c r="BD626" s="8">
        <v>70.854196772795092</v>
      </c>
      <c r="BE626" s="8"/>
      <c r="BF626" s="8"/>
      <c r="BG626" s="8"/>
      <c r="BH626" s="8"/>
      <c r="BI626" s="8"/>
    </row>
    <row r="627" spans="1:61" s="5" customFormat="1" x14ac:dyDescent="0.15">
      <c r="A627" s="7">
        <v>2023</v>
      </c>
      <c r="B627" s="7">
        <v>87</v>
      </c>
      <c r="C627" s="9">
        <v>86.62614234375144</v>
      </c>
      <c r="D627" s="7">
        <v>4.0019805882530095</v>
      </c>
      <c r="E627" s="8">
        <v>38.689344163974717</v>
      </c>
      <c r="F627" s="8">
        <v>31.030354704021619</v>
      </c>
      <c r="G627" s="8">
        <v>0.82105349650525328</v>
      </c>
      <c r="H627" s="8">
        <v>75.790369206678349</v>
      </c>
      <c r="I627" s="8">
        <v>68.51604988921504</v>
      </c>
      <c r="J627" s="8">
        <v>35.69448358902828</v>
      </c>
      <c r="K627" s="8">
        <v>30.61780479067825</v>
      </c>
      <c r="L627" s="8">
        <v>0.80458809431447986</v>
      </c>
      <c r="M627" s="8">
        <v>77.459934100358922</v>
      </c>
      <c r="N627" s="8">
        <v>64.449076687693719</v>
      </c>
      <c r="O627" s="7">
        <v>288.07400000000001</v>
      </c>
      <c r="P627" s="7">
        <v>279.73</v>
      </c>
      <c r="Q627" s="7">
        <v>101.64</v>
      </c>
      <c r="R627" s="7">
        <v>-0.17482300000000001</v>
      </c>
      <c r="S627" s="7">
        <v>0.177921</v>
      </c>
      <c r="T627" s="7">
        <f>C627-D627</f>
        <v>82.624161755498434</v>
      </c>
      <c r="U627" s="8">
        <f>D627/C627</f>
        <v>4.6198300882108738E-2</v>
      </c>
      <c r="V627" s="8">
        <v>31.979171295843202</v>
      </c>
      <c r="W627" s="8">
        <v>24.615283364364529</v>
      </c>
      <c r="X627" s="8">
        <v>0.60083862857691295</v>
      </c>
      <c r="Y627" s="8">
        <v>75.434733902104071</v>
      </c>
      <c r="Z627" s="8">
        <v>64.534434095626722</v>
      </c>
      <c r="AA627" s="7">
        <v>33.836827442435741</v>
      </c>
      <c r="AB627" s="7">
        <v>27.61654407752139</v>
      </c>
      <c r="AC627" s="7">
        <v>0.70271336144569641</v>
      </c>
      <c r="AD627" s="7">
        <v>76.447334001231496</v>
      </c>
      <c r="AE627" s="7">
        <v>64.49175539166022</v>
      </c>
      <c r="AF627" s="8">
        <v>35.72266215259851</v>
      </c>
      <c r="AG627" s="8">
        <v>30.255875750917571</v>
      </c>
      <c r="AH627" s="8">
        <v>0.81634725164563993</v>
      </c>
      <c r="AI627" s="8">
        <v>77.325983830610397</v>
      </c>
      <c r="AJ627" s="8">
        <v>64.820275384334224</v>
      </c>
      <c r="AK627" s="8">
        <v>35.692451558565928</v>
      </c>
      <c r="AL627" s="8">
        <v>30.64390444732566</v>
      </c>
      <c r="AM627" s="8">
        <v>0.80374011049696392</v>
      </c>
      <c r="AN627" s="8">
        <v>77.469593607235126</v>
      </c>
      <c r="AO627" s="8">
        <v>64.422308571665539</v>
      </c>
      <c r="AP627" s="8">
        <v>31.794761646652539</v>
      </c>
      <c r="AQ627" s="8">
        <v>28.86940793099437</v>
      </c>
      <c r="AR627" s="8">
        <v>0.69782047121874669</v>
      </c>
      <c r="AS627" s="8">
        <v>77.278128855159054</v>
      </c>
      <c r="AT627" s="8">
        <v>63.24294909751449</v>
      </c>
      <c r="AU627" s="8">
        <v>39.693217083806367</v>
      </c>
      <c r="AV627" s="8">
        <v>28.725332985492209</v>
      </c>
      <c r="AW627" s="8">
        <v>0.77544878419507757</v>
      </c>
      <c r="AX627" s="8">
        <v>75.276298213046019</v>
      </c>
      <c r="AY627" s="8">
        <v>67.490892512807733</v>
      </c>
      <c r="AZ627" s="8">
        <v>34.838539242731088</v>
      </c>
      <c r="BA627" s="8">
        <v>28.90477997690412</v>
      </c>
      <c r="BB627" s="8">
        <v>0.73077953591179978</v>
      </c>
      <c r="BC627" s="8">
        <v>76.727484738975633</v>
      </c>
      <c r="BD627" s="8">
        <v>65.672716661817987</v>
      </c>
      <c r="BE627" s="8">
        <v>37.724212868416451</v>
      </c>
      <c r="BF627" s="8">
        <v>25.698687267286861</v>
      </c>
      <c r="BG627" s="8">
        <v>0.73098162238776088</v>
      </c>
      <c r="BH627" s="8">
        <v>75.082094722501353</v>
      </c>
      <c r="BI627" s="8">
        <v>67.388455353717561</v>
      </c>
    </row>
    <row r="628" spans="1:61" s="5" customFormat="1" x14ac:dyDescent="0.15">
      <c r="A628" s="7">
        <v>2019</v>
      </c>
      <c r="B628" s="7">
        <v>128</v>
      </c>
      <c r="C628" s="7">
        <v>38.995571398334768</v>
      </c>
      <c r="D628" s="7">
        <v>1.6086271753814108</v>
      </c>
      <c r="E628" s="8">
        <v>51.058150131369089</v>
      </c>
      <c r="F628" s="8">
        <v>21.67208791520078</v>
      </c>
      <c r="G628" s="8">
        <v>0.82111136965069875</v>
      </c>
      <c r="H628" s="8">
        <v>78.226981004652671</v>
      </c>
      <c r="I628" s="8">
        <v>74.068618934814381</v>
      </c>
      <c r="J628" s="8">
        <v>56.037488608748077</v>
      </c>
      <c r="K628" s="8">
        <v>30.717026508673129</v>
      </c>
      <c r="L628" s="8">
        <v>0.89627173471091259</v>
      </c>
      <c r="M628" s="8">
        <v>74.171296315792262</v>
      </c>
      <c r="N628" s="8">
        <v>96.878537570830844</v>
      </c>
      <c r="O628" s="8">
        <v>289.67099999999999</v>
      </c>
      <c r="P628" s="8">
        <v>280.41899999999998</v>
      </c>
      <c r="Q628" s="8">
        <v>100.8</v>
      </c>
      <c r="R628" s="8">
        <v>-0.28899900000000001</v>
      </c>
      <c r="S628" s="8">
        <v>0.142512</v>
      </c>
      <c r="T628" s="7">
        <f>C628-D628</f>
        <v>37.38694422295336</v>
      </c>
      <c r="U628" s="8">
        <f>D628/C628</f>
        <v>4.125153492301703E-2</v>
      </c>
      <c r="V628" s="8">
        <v>59.273199217588896</v>
      </c>
      <c r="W628" s="8">
        <v>35.129355982621988</v>
      </c>
      <c r="X628" s="8">
        <v>1.0048188367971556</v>
      </c>
      <c r="Y628" s="8">
        <v>69.471829298111061</v>
      </c>
      <c r="Z628" s="8">
        <v>99.752678682642255</v>
      </c>
      <c r="AA628" s="7">
        <v>57.655343913168487</v>
      </c>
      <c r="AB628" s="7">
        <v>32.923191245647558</v>
      </c>
      <c r="AC628" s="7">
        <v>0.95054528575403407</v>
      </c>
      <c r="AD628" s="7">
        <v>71.821562806951661</v>
      </c>
      <c r="AE628" s="7">
        <v>98.315608126736549</v>
      </c>
      <c r="AF628" s="8">
        <v>54.916809077431672</v>
      </c>
      <c r="AG628" s="8">
        <v>29.50052090747166</v>
      </c>
      <c r="AH628" s="8">
        <v>0.84713072717777904</v>
      </c>
      <c r="AI628" s="8">
        <v>75.311174697600777</v>
      </c>
      <c r="AJ628" s="8">
        <v>93.806871124379455</v>
      </c>
      <c r="AK628" s="8">
        <v>56.243399645252467</v>
      </c>
      <c r="AL628" s="8">
        <v>30.940544403179999</v>
      </c>
      <c r="AM628" s="8">
        <v>0.90530078852447815</v>
      </c>
      <c r="AN628" s="8">
        <v>73.961857727392754</v>
      </c>
      <c r="AO628" s="8">
        <v>97.442918380964471</v>
      </c>
      <c r="AP628" s="8">
        <v>58.373337945060783</v>
      </c>
      <c r="AQ628" s="8">
        <v>33.64896095589453</v>
      </c>
      <c r="AR628" s="8">
        <v>0.96560899730686223</v>
      </c>
      <c r="AS628" s="8">
        <v>71.217206969529883</v>
      </c>
      <c r="AT628" s="8">
        <v>99.059109906334911</v>
      </c>
      <c r="AU628" s="8">
        <v>53.15719309488702</v>
      </c>
      <c r="AV628" s="8">
        <v>33.314936825722299</v>
      </c>
      <c r="AW628" s="8">
        <v>0.91979618282538711</v>
      </c>
      <c r="AX628" s="8">
        <v>75.216222334904657</v>
      </c>
      <c r="AY628" s="8">
        <v>96.377177084051425</v>
      </c>
      <c r="AZ628" s="8">
        <v>54.715158355952951</v>
      </c>
      <c r="BA628" s="8">
        <v>30.03776662649835</v>
      </c>
      <c r="BB628" s="8">
        <v>0.89139824999403872</v>
      </c>
      <c r="BC628" s="8">
        <v>74.196810766085733</v>
      </c>
      <c r="BD628" s="8">
        <v>95.306877140108227</v>
      </c>
      <c r="BE628" s="8">
        <v>56.407650754104218</v>
      </c>
      <c r="BF628" s="8">
        <v>36.49000286811961</v>
      </c>
      <c r="BG628" s="8">
        <v>0.86692109453132193</v>
      </c>
      <c r="BH628" s="8">
        <v>72.888071826318225</v>
      </c>
      <c r="BI628" s="8">
        <v>105.2194263577408</v>
      </c>
    </row>
    <row r="629" spans="1:61" s="5" customFormat="1" x14ac:dyDescent="0.15">
      <c r="A629" s="7">
        <v>2018</v>
      </c>
      <c r="B629" s="7">
        <v>136</v>
      </c>
      <c r="C629" s="7">
        <v>20.763706016944557</v>
      </c>
      <c r="D629" s="7">
        <v>11.625450841807998</v>
      </c>
      <c r="E629" s="8">
        <v>31.802365658181351</v>
      </c>
      <c r="F629" s="8">
        <v>21.810131677820831</v>
      </c>
      <c r="G629" s="8">
        <v>0.8225542243903462</v>
      </c>
      <c r="H629" s="8">
        <v>68.76089447256598</v>
      </c>
      <c r="I629" s="8">
        <v>54.513583403199412</v>
      </c>
      <c r="J629" s="8">
        <v>35.396136634504323</v>
      </c>
      <c r="K629" s="8">
        <v>27.132524772769539</v>
      </c>
      <c r="L629" s="8">
        <v>0.78826684454272544</v>
      </c>
      <c r="M629" s="8">
        <v>51.930168287712263</v>
      </c>
      <c r="N629" s="8">
        <v>58.097497402724137</v>
      </c>
      <c r="O629" s="8">
        <v>289.60300000000001</v>
      </c>
      <c r="P629" s="8">
        <v>285.42200000000003</v>
      </c>
      <c r="Q629" s="8">
        <v>93.941299999999998</v>
      </c>
      <c r="R629" s="8">
        <v>-0.66292899999999999</v>
      </c>
      <c r="S629" s="8">
        <v>-0.39441100000000001</v>
      </c>
      <c r="T629" s="7">
        <f>C629-D629</f>
        <v>9.1382551751365586</v>
      </c>
      <c r="U629" s="8">
        <f>D629/C629</f>
        <v>0.55989286461293863</v>
      </c>
      <c r="V629" s="8">
        <v>31.407004091568858</v>
      </c>
      <c r="W629" s="8">
        <v>21.002965542533541</v>
      </c>
      <c r="X629" s="8">
        <v>0.8212552463416678</v>
      </c>
      <c r="Y629" s="8">
        <v>69.407494386709459</v>
      </c>
      <c r="Z629" s="8">
        <v>52.342600916717863</v>
      </c>
      <c r="AA629" s="7">
        <v>33.401570363036591</v>
      </c>
      <c r="AB629" s="7">
        <v>24.06774515765154</v>
      </c>
      <c r="AC629" s="7">
        <v>0.80476104544219662</v>
      </c>
      <c r="AD629" s="7">
        <v>60.668831337210861</v>
      </c>
      <c r="AE629" s="7">
        <v>55.220049159721</v>
      </c>
      <c r="AF629" s="8">
        <v>35.833277112230782</v>
      </c>
      <c r="AG629" s="8">
        <v>26.882459564402659</v>
      </c>
      <c r="AH629" s="8">
        <v>0.79313177870004359</v>
      </c>
      <c r="AI629" s="8">
        <v>53.141045343904871</v>
      </c>
      <c r="AJ629" s="8">
        <v>59.108562603219497</v>
      </c>
      <c r="AK629" s="8">
        <v>35.337909632205971</v>
      </c>
      <c r="AL629" s="8">
        <v>27.165833395979281</v>
      </c>
      <c r="AM629" s="8">
        <v>0.78761883652975717</v>
      </c>
      <c r="AN629" s="8">
        <v>51.768879766684321</v>
      </c>
      <c r="AO629" s="8">
        <v>57.962823770899398</v>
      </c>
      <c r="AP629" s="8">
        <v>34.882992244089557</v>
      </c>
      <c r="AQ629" s="8">
        <v>26.271046662506588</v>
      </c>
      <c r="AR629" s="8">
        <v>0.78420818648908996</v>
      </c>
      <c r="AS629" s="8">
        <v>52.419539707571232</v>
      </c>
      <c r="AT629" s="8">
        <v>55.797855127569811</v>
      </c>
      <c r="AU629" s="8">
        <v>34.32186644451329</v>
      </c>
      <c r="AV629" s="8">
        <v>26.954432987484719</v>
      </c>
      <c r="AW629" s="8">
        <v>0.78908197083233511</v>
      </c>
      <c r="AX629" s="8">
        <v>57.487611442639157</v>
      </c>
      <c r="AY629" s="8">
        <v>60.568925074075622</v>
      </c>
      <c r="AZ629" s="8">
        <v>37.493274449419921</v>
      </c>
      <c r="BA629" s="8">
        <v>31.23830679036093</v>
      </c>
      <c r="BB629" s="8">
        <v>0.80897267452475985</v>
      </c>
      <c r="BC629" s="8">
        <v>49.804342095750869</v>
      </c>
      <c r="BD629" s="8">
        <v>62.669771061993487</v>
      </c>
      <c r="BE629" s="8">
        <v>38.075068456557439</v>
      </c>
      <c r="BF629" s="8">
        <v>47.361288788957147</v>
      </c>
      <c r="BG629" s="8">
        <v>0.72443185875509031</v>
      </c>
      <c r="BH629" s="8">
        <v>57.204492527460751</v>
      </c>
      <c r="BI629" s="8">
        <v>87.074763930622211</v>
      </c>
    </row>
    <row r="630" spans="1:61" s="5" customFormat="1" x14ac:dyDescent="0.15">
      <c r="A630" s="7">
        <v>2021</v>
      </c>
      <c r="B630" s="7">
        <v>11</v>
      </c>
      <c r="C630" s="7">
        <v>67.150096498040156</v>
      </c>
      <c r="D630" s="7">
        <v>3.2029006595753899</v>
      </c>
      <c r="E630" s="8">
        <v>32.351800816410801</v>
      </c>
      <c r="F630" s="8">
        <v>28.962702066604241</v>
      </c>
      <c r="G630" s="8">
        <v>0.82265841987024513</v>
      </c>
      <c r="H630" s="8">
        <v>61.104190533600118</v>
      </c>
      <c r="I630" s="8">
        <v>50.8769409594574</v>
      </c>
      <c r="J630" s="8">
        <v>38.747344119000793</v>
      </c>
      <c r="K630" s="8">
        <v>34.1412813137255</v>
      </c>
      <c r="L630" s="8">
        <v>0.79673389790794247</v>
      </c>
      <c r="M630" s="8">
        <v>60.08469288759558</v>
      </c>
      <c r="N630" s="8">
        <v>56.194704867356172</v>
      </c>
      <c r="O630" s="8">
        <v>286.411</v>
      </c>
      <c r="P630" s="8">
        <v>277.54500000000002</v>
      </c>
      <c r="Q630" s="8">
        <v>100.989</v>
      </c>
      <c r="R630" s="8">
        <v>8.0435599999999996E-2</v>
      </c>
      <c r="S630" s="8">
        <v>-1.5573500000000001E-2</v>
      </c>
      <c r="T630" s="7">
        <f>C630-D630</f>
        <v>63.947195838464765</v>
      </c>
      <c r="U630" s="8">
        <f>D630/C630</f>
        <v>4.7697633013362384E-2</v>
      </c>
      <c r="V630" s="8">
        <v>36.453266661489245</v>
      </c>
      <c r="W630" s="8">
        <v>34.928482054298755</v>
      </c>
      <c r="X630" s="8">
        <v>0.776176233383569</v>
      </c>
      <c r="Y630" s="8">
        <v>61.223673425329707</v>
      </c>
      <c r="Z630" s="8">
        <v>57.435886652176229</v>
      </c>
      <c r="AA630" s="7">
        <v>37.600305390245019</v>
      </c>
      <c r="AB630" s="7">
        <v>34.534881684012127</v>
      </c>
      <c r="AC630" s="7">
        <v>0.78645506564575574</v>
      </c>
      <c r="AD630" s="7">
        <v>60.654183156462643</v>
      </c>
      <c r="AE630" s="7">
        <v>56.815295759766201</v>
      </c>
      <c r="AF630" s="8">
        <v>38.288462630173449</v>
      </c>
      <c r="AG630" s="8">
        <v>33.736444581351783</v>
      </c>
      <c r="AH630" s="8">
        <v>0.81623865589942035</v>
      </c>
      <c r="AI630" s="8">
        <v>59.838121753919808</v>
      </c>
      <c r="AJ630" s="8">
        <v>51.476900718610793</v>
      </c>
      <c r="AK630" s="8">
        <v>38.819410421420358</v>
      </c>
      <c r="AL630" s="8">
        <v>34.204860009088343</v>
      </c>
      <c r="AM630" s="8">
        <v>0.79367071967509017</v>
      </c>
      <c r="AN630" s="8">
        <v>60.123416327786707</v>
      </c>
      <c r="AO630" s="8">
        <v>56.935625363863231</v>
      </c>
      <c r="AP630" s="8">
        <v>37.904840366784782</v>
      </c>
      <c r="AQ630" s="8">
        <v>35.621483818411647</v>
      </c>
      <c r="AR630" s="8">
        <v>0.78893091202904231</v>
      </c>
      <c r="AS630" s="8">
        <v>59.919515994664671</v>
      </c>
      <c r="AT630" s="8">
        <v>55.886382695562432</v>
      </c>
      <c r="AU630" s="8">
        <v>34.341310747671322</v>
      </c>
      <c r="AV630" s="8">
        <v>30.798797409435661</v>
      </c>
      <c r="AW630" s="8">
        <v>0.90400453695448302</v>
      </c>
      <c r="AX630" s="8">
        <v>62.066300015923311</v>
      </c>
      <c r="AY630" s="8">
        <v>54.382318664431928</v>
      </c>
      <c r="AZ630" s="8">
        <v>39.340912773807901</v>
      </c>
      <c r="BA630" s="8">
        <v>34.369783171381982</v>
      </c>
      <c r="BB630" s="8">
        <v>0.774737067206406</v>
      </c>
      <c r="BC630" s="8">
        <v>60.816101143174528</v>
      </c>
      <c r="BD630" s="8">
        <v>61.218818609355552</v>
      </c>
      <c r="BE630" s="8">
        <v>41.051863785621947</v>
      </c>
      <c r="BF630" s="8">
        <v>36.22909786957571</v>
      </c>
      <c r="BG630" s="8">
        <v>0.82406022570123882</v>
      </c>
      <c r="BH630" s="8">
        <v>61.560545855688297</v>
      </c>
      <c r="BI630" s="8">
        <v>64.058652084874993</v>
      </c>
    </row>
    <row r="631" spans="1:61" s="5" customFormat="1" x14ac:dyDescent="0.15">
      <c r="A631" s="7">
        <v>2017</v>
      </c>
      <c r="B631" s="7">
        <v>71</v>
      </c>
      <c r="C631" s="7">
        <v>4.6386661106332792</v>
      </c>
      <c r="D631" s="7">
        <v>0.13099140671390894</v>
      </c>
      <c r="E631" s="8">
        <v>53.738588752366852</v>
      </c>
      <c r="F631" s="8">
        <v>33.401423827892643</v>
      </c>
      <c r="G631" s="8">
        <v>0.82333549204188961</v>
      </c>
      <c r="H631" s="8">
        <v>77.65238365769082</v>
      </c>
      <c r="I631" s="8">
        <v>84.001966921179587</v>
      </c>
      <c r="J631" s="8">
        <v>56.503039615247637</v>
      </c>
      <c r="K631" s="8">
        <v>35.117498981896269</v>
      </c>
      <c r="L631" s="8">
        <v>0.85716232524539659</v>
      </c>
      <c r="M631" s="8">
        <v>76.187011504982507</v>
      </c>
      <c r="N631" s="8">
        <v>91.903781382963913</v>
      </c>
      <c r="O631" s="8">
        <v>289.065</v>
      </c>
      <c r="P631" s="8">
        <v>283.029</v>
      </c>
      <c r="Q631" s="8">
        <v>101.501</v>
      </c>
      <c r="R631" s="8">
        <v>-0.65100100000000005</v>
      </c>
      <c r="S631" s="8">
        <v>7.68591E-2</v>
      </c>
      <c r="T631" s="7">
        <f>C631-D631</f>
        <v>4.5076747039193705</v>
      </c>
      <c r="U631" s="8">
        <f>D631/C631</f>
        <v>2.8239024665654529E-2</v>
      </c>
      <c r="V631" s="8">
        <v>56.935545940548188</v>
      </c>
      <c r="W631" s="8">
        <v>32.720991560938565</v>
      </c>
      <c r="X631" s="8">
        <v>0.85154538880240005</v>
      </c>
      <c r="Y631" s="8">
        <v>76.2983310369398</v>
      </c>
      <c r="Z631" s="8">
        <v>85.676118365781306</v>
      </c>
      <c r="AA631" s="7">
        <v>56.719292777897913</v>
      </c>
      <c r="AB631" s="7">
        <v>33.919245271417417</v>
      </c>
      <c r="AC631" s="7">
        <v>0.85435385702389832</v>
      </c>
      <c r="AD631" s="7">
        <v>76.242671270961154</v>
      </c>
      <c r="AE631" s="7">
        <v>88.78994987437261</v>
      </c>
      <c r="AF631" s="8">
        <v>56.590589454591253</v>
      </c>
      <c r="AG631" s="8">
        <v>35.574125249690518</v>
      </c>
      <c r="AH631" s="8">
        <v>0.88988999677974245</v>
      </c>
      <c r="AI631" s="8">
        <v>76.315754749205567</v>
      </c>
      <c r="AJ631" s="8">
        <v>88.191753559277203</v>
      </c>
      <c r="AK631" s="8">
        <v>56.49619720552203</v>
      </c>
      <c r="AL631" s="8">
        <v>35.081811606120979</v>
      </c>
      <c r="AM631" s="8">
        <v>0.85460451200802379</v>
      </c>
      <c r="AN631" s="8">
        <v>76.176949647268302</v>
      </c>
      <c r="AO631" s="8">
        <v>92.193892883715122</v>
      </c>
      <c r="AP631" s="8">
        <v>56.804968091723588</v>
      </c>
      <c r="AQ631" s="8">
        <v>33.65885611803602</v>
      </c>
      <c r="AR631" s="8">
        <v>0.82976768508702903</v>
      </c>
      <c r="AS631" s="8">
        <v>76.740790030253976</v>
      </c>
      <c r="AT631" s="8">
        <v>88.431157639655041</v>
      </c>
      <c r="AU631" s="8">
        <v>45.488885500318688</v>
      </c>
      <c r="AV631" s="8">
        <v>31.097424880069269</v>
      </c>
      <c r="AW631" s="8">
        <v>0.77497375641181099</v>
      </c>
      <c r="AX631" s="8">
        <v>71.59112585150956</v>
      </c>
      <c r="AY631" s="8">
        <v>74.33963949707568</v>
      </c>
      <c r="AZ631" s="8">
        <v>56.528248931640157</v>
      </c>
      <c r="BA631" s="8">
        <v>35.174542077547898</v>
      </c>
      <c r="BB631" s="8">
        <v>0.86903925568675744</v>
      </c>
      <c r="BC631" s="8">
        <v>75.544648129925861</v>
      </c>
      <c r="BD631" s="8">
        <v>93.229446374272186</v>
      </c>
      <c r="BE631" s="8">
        <v>53.752447092444058</v>
      </c>
      <c r="BF631" s="8">
        <v>28.639749871642799</v>
      </c>
      <c r="BG631" s="8">
        <v>0.64979818201498118</v>
      </c>
      <c r="BH631" s="8">
        <v>72.365193045685103</v>
      </c>
      <c r="BI631" s="8">
        <v>80.497704599624612</v>
      </c>
    </row>
    <row r="632" spans="1:61" s="5" customFormat="1" x14ac:dyDescent="0.15">
      <c r="A632" s="7">
        <v>2019</v>
      </c>
      <c r="B632" s="7">
        <v>82</v>
      </c>
      <c r="C632" s="7">
        <v>16.26740277104437</v>
      </c>
      <c r="D632" s="7">
        <v>10.658131304659607</v>
      </c>
      <c r="E632" s="8">
        <v>48.2758129786734</v>
      </c>
      <c r="F632" s="8">
        <v>22.71967111934913</v>
      </c>
      <c r="G632" s="8">
        <v>0.82352738840196549</v>
      </c>
      <c r="H632" s="8">
        <v>74.901058421738313</v>
      </c>
      <c r="I632" s="8">
        <v>70.231294448250338</v>
      </c>
      <c r="J632" s="8">
        <v>55.38730159482607</v>
      </c>
      <c r="K632" s="8">
        <v>29.456427898695921</v>
      </c>
      <c r="L632" s="8">
        <v>0.87384702702933492</v>
      </c>
      <c r="M632" s="8">
        <v>74.22943989344806</v>
      </c>
      <c r="N632" s="8">
        <v>93.056914498694084</v>
      </c>
      <c r="O632" s="8">
        <v>289.22500000000002</v>
      </c>
      <c r="P632" s="8">
        <v>280.33999999999997</v>
      </c>
      <c r="Q632" s="8">
        <v>99.349600000000009</v>
      </c>
      <c r="R632" s="8">
        <v>-0.108708</v>
      </c>
      <c r="S632" s="8">
        <v>-0.113465</v>
      </c>
      <c r="T632" s="7">
        <f>C632-D632</f>
        <v>5.6092714663847634</v>
      </c>
      <c r="U632" s="8">
        <f>D632/C632</f>
        <v>0.65518334147543533</v>
      </c>
      <c r="V632" s="8">
        <v>52.128091322996283</v>
      </c>
      <c r="W632" s="8">
        <v>34.040863686578298</v>
      </c>
      <c r="X632" s="8">
        <v>1.0254045266667209</v>
      </c>
      <c r="Y632" s="8">
        <v>65.257870032446064</v>
      </c>
      <c r="Z632" s="8">
        <v>90.753248478104354</v>
      </c>
      <c r="AA632" s="7">
        <v>53.757696458911177</v>
      </c>
      <c r="AB632" s="7">
        <v>31.74864579263711</v>
      </c>
      <c r="AC632" s="7">
        <v>0.94962577684802785</v>
      </c>
      <c r="AD632" s="7">
        <v>69.743654962947062</v>
      </c>
      <c r="AE632" s="7">
        <v>91.905081488399219</v>
      </c>
      <c r="AF632" s="8">
        <v>53.983218556635769</v>
      </c>
      <c r="AG632" s="8">
        <v>27.683984271879471</v>
      </c>
      <c r="AH632" s="8">
        <v>0.84564608285053</v>
      </c>
      <c r="AI632" s="8">
        <v>74.918877823522223</v>
      </c>
      <c r="AJ632" s="8">
        <v>88.87318716459832</v>
      </c>
      <c r="AK632" s="8">
        <v>55.557551857958849</v>
      </c>
      <c r="AL632" s="8">
        <v>29.67134324604066</v>
      </c>
      <c r="AM632" s="8">
        <v>0.87726649584737759</v>
      </c>
      <c r="AN632" s="8">
        <v>74.145842993680546</v>
      </c>
      <c r="AO632" s="8">
        <v>93.56420691668643</v>
      </c>
      <c r="AP632" s="8">
        <v>53.849610554348629</v>
      </c>
      <c r="AQ632" s="8">
        <v>32.634137058971227</v>
      </c>
      <c r="AR632" s="8">
        <v>0.97088250711815305</v>
      </c>
      <c r="AS632" s="8">
        <v>68.402317374854164</v>
      </c>
      <c r="AT632" s="8">
        <v>92.765461363778073</v>
      </c>
      <c r="AU632" s="8">
        <v>41.43075315709288</v>
      </c>
      <c r="AV632" s="8">
        <v>26.08799217887686</v>
      </c>
      <c r="AW632" s="8">
        <v>0.85192187227468497</v>
      </c>
      <c r="AX632" s="8">
        <v>72.897425832237275</v>
      </c>
      <c r="AY632" s="8">
        <v>70.22705075059875</v>
      </c>
      <c r="AZ632" s="8">
        <v>54.606060250713561</v>
      </c>
      <c r="BA632" s="8">
        <v>29.41510061091212</v>
      </c>
      <c r="BB632" s="8">
        <v>0.88521653056178806</v>
      </c>
      <c r="BC632" s="8">
        <v>74.436868313337499</v>
      </c>
      <c r="BD632" s="8">
        <v>91.864844081766108</v>
      </c>
      <c r="BE632" s="8">
        <v>55.055260173301953</v>
      </c>
      <c r="BF632" s="8">
        <v>37.84672582648129</v>
      </c>
      <c r="BG632" s="8">
        <v>0.92038592173054801</v>
      </c>
      <c r="BH632" s="8">
        <v>70.149843149625639</v>
      </c>
      <c r="BI632" s="8">
        <v>101.20482807896251</v>
      </c>
    </row>
    <row r="633" spans="1:61" s="5" customFormat="1" x14ac:dyDescent="0.15">
      <c r="A633" s="7">
        <v>2021</v>
      </c>
      <c r="B633" s="7">
        <v>64</v>
      </c>
      <c r="C633" s="7">
        <v>0.18118780365728387</v>
      </c>
      <c r="D633" s="7">
        <v>6.0335146464943812E-2</v>
      </c>
      <c r="E633" s="8">
        <v>37.726573663159108</v>
      </c>
      <c r="F633" s="8">
        <v>28.310691576212811</v>
      </c>
      <c r="G633" s="8">
        <v>0.82412105336219221</v>
      </c>
      <c r="H633" s="8">
        <v>65.403136184594715</v>
      </c>
      <c r="I633" s="8">
        <v>54.476278788974312</v>
      </c>
      <c r="J633" s="8">
        <v>44.174540357226782</v>
      </c>
      <c r="K633" s="8">
        <v>28.718782062306708</v>
      </c>
      <c r="L633" s="8">
        <v>0.78752784189834379</v>
      </c>
      <c r="M633" s="8">
        <v>71.77913539767151</v>
      </c>
      <c r="N633" s="8">
        <v>73.358231730978162</v>
      </c>
      <c r="O633" s="8">
        <v>287.15100000000001</v>
      </c>
      <c r="P633" s="8">
        <v>279.69799999999998</v>
      </c>
      <c r="Q633" s="8">
        <v>99.595600000000005</v>
      </c>
      <c r="R633" s="8">
        <v>-1.1691E-2</v>
      </c>
      <c r="S633" s="8">
        <v>0.41188399999999997</v>
      </c>
      <c r="T633" s="7">
        <f>C633-D633</f>
        <v>0.12085265719234006</v>
      </c>
      <c r="U633" s="8">
        <f>D633/C633</f>
        <v>0.33299783565491825</v>
      </c>
      <c r="V633" s="8">
        <v>39.108331883003451</v>
      </c>
      <c r="W633" s="8">
        <v>29.942272527930875</v>
      </c>
      <c r="X633" s="8">
        <v>0.78274128821346323</v>
      </c>
      <c r="Y633" s="8">
        <v>65.407863841054947</v>
      </c>
      <c r="Z633" s="8">
        <v>67.048116076548723</v>
      </c>
      <c r="AA633" s="7">
        <v>41.641436120115117</v>
      </c>
      <c r="AB633" s="7">
        <v>29.330527295118792</v>
      </c>
      <c r="AC633" s="7">
        <v>0.78513456505590351</v>
      </c>
      <c r="AD633" s="7">
        <v>68.593499619363229</v>
      </c>
      <c r="AE633" s="7">
        <v>70.203173903763442</v>
      </c>
      <c r="AF633" s="8">
        <v>42.970689061387183</v>
      </c>
      <c r="AG633" s="8">
        <v>26.73100615407553</v>
      </c>
      <c r="AH633" s="8">
        <v>0.7884740218981704</v>
      </c>
      <c r="AI633" s="8">
        <v>73.202634018694724</v>
      </c>
      <c r="AJ633" s="8">
        <v>64.63744249610204</v>
      </c>
      <c r="AK633" s="8">
        <v>44.252366343854121</v>
      </c>
      <c r="AL633" s="8">
        <v>28.847286821812109</v>
      </c>
      <c r="AM633" s="8">
        <v>0.78746667371896151</v>
      </c>
      <c r="AN633" s="8">
        <v>71.687109758768571</v>
      </c>
      <c r="AO633" s="8">
        <v>73.922009025332414</v>
      </c>
      <c r="AP633" s="8">
        <v>42.095612141434287</v>
      </c>
      <c r="AQ633" s="8">
        <v>29.729806518668308</v>
      </c>
      <c r="AR633" s="8">
        <v>0.77583360953223646</v>
      </c>
      <c r="AS633" s="8">
        <v>68.322508498982486</v>
      </c>
      <c r="AT633" s="8">
        <v>71.668849086514044</v>
      </c>
      <c r="AU633" s="8">
        <v>35.636185574812437</v>
      </c>
      <c r="AV633" s="8">
        <v>26.059734590645249</v>
      </c>
      <c r="AW633" s="8">
        <v>0.79739766277761703</v>
      </c>
      <c r="AX633" s="8">
        <v>68.480934959123942</v>
      </c>
      <c r="AY633" s="8">
        <v>65.590427893466384</v>
      </c>
      <c r="AZ633" s="8">
        <v>44.877777932538422</v>
      </c>
      <c r="BA633" s="8">
        <v>29.768408517840221</v>
      </c>
      <c r="BB633" s="8">
        <v>0.7775272863352245</v>
      </c>
      <c r="BC633" s="8">
        <v>71.606315268454367</v>
      </c>
      <c r="BD633" s="8">
        <v>78.514786942969451</v>
      </c>
      <c r="BE633" s="8">
        <v>50.076268114079546</v>
      </c>
      <c r="BF633" s="8">
        <v>32.533406700541157</v>
      </c>
      <c r="BG633" s="8">
        <v>0.84725754517241014</v>
      </c>
      <c r="BH633" s="8">
        <v>70.291273760200724</v>
      </c>
      <c r="BI633" s="8">
        <v>94.088814848606987</v>
      </c>
    </row>
    <row r="634" spans="1:61" s="5" customFormat="1" x14ac:dyDescent="0.15">
      <c r="A634" s="7">
        <v>2020</v>
      </c>
      <c r="B634" s="7">
        <v>101</v>
      </c>
      <c r="C634" s="7">
        <v>63.969420961634256</v>
      </c>
      <c r="D634" s="7">
        <v>34.003893901452294</v>
      </c>
      <c r="E634" s="8">
        <v>49.450499362454437</v>
      </c>
      <c r="F634" s="8">
        <v>28.371377502690091</v>
      </c>
      <c r="G634" s="8">
        <v>0.82486664072561322</v>
      </c>
      <c r="H634" s="8">
        <v>71.651919835807192</v>
      </c>
      <c r="I634" s="8">
        <v>70.422201946454692</v>
      </c>
      <c r="J634" s="8">
        <v>52.126202490430842</v>
      </c>
      <c r="K634" s="8">
        <v>29.90972904596789</v>
      </c>
      <c r="L634" s="8">
        <v>0.81899597944135882</v>
      </c>
      <c r="M634" s="8">
        <v>70.224316127828786</v>
      </c>
      <c r="N634" s="8">
        <v>80.809905386173753</v>
      </c>
      <c r="O634" s="8">
        <v>289.27800000000002</v>
      </c>
      <c r="P634" s="8">
        <v>282.18400000000003</v>
      </c>
      <c r="Q634" s="8">
        <v>101.121</v>
      </c>
      <c r="R634" s="8">
        <v>-0.46702399999999999</v>
      </c>
      <c r="S634" s="8">
        <v>0.119909</v>
      </c>
      <c r="T634" s="7">
        <f>C634-D634</f>
        <v>29.965527060181962</v>
      </c>
      <c r="U634" s="8">
        <f>D634/C634</f>
        <v>0.53156482253991599</v>
      </c>
      <c r="V634" s="8">
        <v>47.312765799575644</v>
      </c>
      <c r="W634" s="8">
        <v>38.762416809303573</v>
      </c>
      <c r="X634" s="8">
        <v>0.91311195534403522</v>
      </c>
      <c r="Y634" s="8">
        <v>68.333405169605868</v>
      </c>
      <c r="Z634" s="8">
        <v>72.699136474051144</v>
      </c>
      <c r="AA634" s="7">
        <v>49.719484145003243</v>
      </c>
      <c r="AB634" s="7">
        <v>34.336072927635733</v>
      </c>
      <c r="AC634" s="7">
        <v>0.86605396739269702</v>
      </c>
      <c r="AD634" s="7">
        <v>69.278860648717327</v>
      </c>
      <c r="AE634" s="7">
        <v>76.754520930112449</v>
      </c>
      <c r="AF634" s="8">
        <v>49.845231248819559</v>
      </c>
      <c r="AG634" s="8">
        <v>27.751155342104941</v>
      </c>
      <c r="AH634" s="8">
        <v>0.79871907243768436</v>
      </c>
      <c r="AI634" s="8">
        <v>70.800029514416423</v>
      </c>
      <c r="AJ634" s="8">
        <v>75.312955211433732</v>
      </c>
      <c r="AK634" s="8">
        <v>52.425269168816463</v>
      </c>
      <c r="AL634" s="8">
        <v>30.19274772497975</v>
      </c>
      <c r="AM634" s="8">
        <v>0.82165456062594178</v>
      </c>
      <c r="AN634" s="8">
        <v>70.148832190509523</v>
      </c>
      <c r="AO634" s="8">
        <v>81.53063110161483</v>
      </c>
      <c r="AP634" s="8">
        <v>49.376799229328682</v>
      </c>
      <c r="AQ634" s="8">
        <v>35.67565297906021</v>
      </c>
      <c r="AR634" s="8">
        <v>0.8779686083897783</v>
      </c>
      <c r="AS634" s="8">
        <v>69.119945458948067</v>
      </c>
      <c r="AT634" s="8">
        <v>76.098869602318146</v>
      </c>
      <c r="AU634" s="8">
        <v>44.296229612818607</v>
      </c>
      <c r="AV634" s="8">
        <v>27.565066558079419</v>
      </c>
      <c r="AW634" s="8">
        <v>0.72581485841909954</v>
      </c>
      <c r="AX634" s="8">
        <v>69.232646122495353</v>
      </c>
      <c r="AY634" s="8">
        <v>69.660067971812424</v>
      </c>
      <c r="AZ634" s="8">
        <v>51.071447111549169</v>
      </c>
      <c r="BA634" s="8">
        <v>29.19172551538151</v>
      </c>
      <c r="BB634" s="8">
        <v>0.82059976852551586</v>
      </c>
      <c r="BC634" s="8">
        <v>69.891187800504952</v>
      </c>
      <c r="BD634" s="8">
        <v>79.347693719136942</v>
      </c>
      <c r="BE634" s="8">
        <v>39.874457218010171</v>
      </c>
      <c r="BF634" s="8">
        <v>28.14800035408884</v>
      </c>
      <c r="BG634" s="8">
        <v>0.81110450136675716</v>
      </c>
      <c r="BH634" s="8">
        <v>73.768433982597912</v>
      </c>
      <c r="BI634" s="8">
        <v>71.298498447942578</v>
      </c>
    </row>
    <row r="635" spans="1:61" s="5" customFormat="1" x14ac:dyDescent="0.15">
      <c r="A635" s="7">
        <v>2019</v>
      </c>
      <c r="B635" s="7">
        <v>64</v>
      </c>
      <c r="C635" s="7">
        <v>74.209413914994371</v>
      </c>
      <c r="D635" s="7">
        <v>34.555720350016593</v>
      </c>
      <c r="E635" s="8">
        <v>46.194318329114957</v>
      </c>
      <c r="F635" s="8">
        <v>32.215520690638911</v>
      </c>
      <c r="G635" s="8">
        <v>0.82489559625547271</v>
      </c>
      <c r="H635" s="8">
        <v>72.242069827324343</v>
      </c>
      <c r="I635" s="8">
        <v>81.112920233340887</v>
      </c>
      <c r="J635" s="8">
        <v>55.311450887936267</v>
      </c>
      <c r="K635" s="8">
        <v>38.139827575937247</v>
      </c>
      <c r="L635" s="8">
        <v>0.93821454835837303</v>
      </c>
      <c r="M635" s="8">
        <v>71.034369517797614</v>
      </c>
      <c r="N635" s="8">
        <v>102.8225378746646</v>
      </c>
      <c r="O635" s="8">
        <v>287.459</v>
      </c>
      <c r="P635" s="8">
        <v>278.38600000000002</v>
      </c>
      <c r="Q635" s="8">
        <v>99.642499999999998</v>
      </c>
      <c r="R635" s="8">
        <v>5.7249000000000001E-2</v>
      </c>
      <c r="S635" s="8">
        <v>0.392461</v>
      </c>
      <c r="T635" s="7">
        <f>C635-D635</f>
        <v>39.653693564977779</v>
      </c>
      <c r="U635" s="8">
        <f>D635/C635</f>
        <v>0.46565143863822434</v>
      </c>
      <c r="V635" s="8">
        <v>47.306016342707146</v>
      </c>
      <c r="W635" s="8">
        <v>33.343539870153279</v>
      </c>
      <c r="X635" s="8">
        <v>0.85388815224128245</v>
      </c>
      <c r="Y635" s="8">
        <v>72.337456580613889</v>
      </c>
      <c r="Z635" s="8">
        <v>84.842472576705958</v>
      </c>
      <c r="AA635" s="7">
        <v>51.308733615321707</v>
      </c>
      <c r="AB635" s="7">
        <v>35.741683723045263</v>
      </c>
      <c r="AC635" s="7">
        <v>0.89605135029982774</v>
      </c>
      <c r="AD635" s="7">
        <v>71.685913049205752</v>
      </c>
      <c r="AE635" s="7">
        <v>93.832505225685281</v>
      </c>
      <c r="AF635" s="8">
        <v>54.963074275601393</v>
      </c>
      <c r="AG635" s="8">
        <v>37.191785236542962</v>
      </c>
      <c r="AH635" s="8">
        <v>0.92865868914113325</v>
      </c>
      <c r="AI635" s="8">
        <v>71.838550461047745</v>
      </c>
      <c r="AJ635" s="8">
        <v>101.54894173620281</v>
      </c>
      <c r="AK635" s="8">
        <v>55.335815092839937</v>
      </c>
      <c r="AL635" s="8">
        <v>38.206130240916814</v>
      </c>
      <c r="AM635" s="8">
        <v>0.93888285071781996</v>
      </c>
      <c r="AN635" s="8">
        <v>70.978128000464835</v>
      </c>
      <c r="AO635" s="8">
        <v>102.9116085992291</v>
      </c>
      <c r="AP635" s="8">
        <v>52.30601173143269</v>
      </c>
      <c r="AQ635" s="8">
        <v>36.498731997495419</v>
      </c>
      <c r="AR635" s="8">
        <v>0.91214032775655107</v>
      </c>
      <c r="AS635" s="8">
        <v>71.57040617849367</v>
      </c>
      <c r="AT635" s="8">
        <v>94.710246816106519</v>
      </c>
      <c r="AU635" s="8">
        <v>42.088643686922609</v>
      </c>
      <c r="AV635" s="8">
        <v>28.907828142974431</v>
      </c>
      <c r="AW635" s="8">
        <v>0.7567541974629709</v>
      </c>
      <c r="AX635" s="8">
        <v>73.641163908083783</v>
      </c>
      <c r="AY635" s="8">
        <v>85.291437849450276</v>
      </c>
      <c r="AZ635" s="8">
        <v>54.868377606439509</v>
      </c>
      <c r="BA635" s="8">
        <v>38.104828957303567</v>
      </c>
      <c r="BB635" s="8">
        <v>0.94167683428012194</v>
      </c>
      <c r="BC635" s="8">
        <v>71.051944691768114</v>
      </c>
      <c r="BD635" s="8">
        <v>102.8845138893039</v>
      </c>
      <c r="BE635" s="8">
        <v>55.596603574977401</v>
      </c>
      <c r="BF635" s="8">
        <v>38.008992135949129</v>
      </c>
      <c r="BG635" s="8">
        <v>0.9993613692482477</v>
      </c>
      <c r="BH635" s="8">
        <v>72.733692192195321</v>
      </c>
      <c r="BI635" s="8">
        <v>106.71897210611129</v>
      </c>
    </row>
    <row r="636" spans="1:61" s="5" customFormat="1" x14ac:dyDescent="0.15">
      <c r="A636" s="7">
        <v>2020</v>
      </c>
      <c r="B636" s="7">
        <v>70</v>
      </c>
      <c r="C636" s="7">
        <v>60.40866334089921</v>
      </c>
      <c r="D636" s="7">
        <v>9.3895338355133955</v>
      </c>
      <c r="E636" s="8">
        <v>56.251788082377672</v>
      </c>
      <c r="F636" s="8">
        <v>37.421270564081723</v>
      </c>
      <c r="G636" s="8">
        <v>0.82671338845914777</v>
      </c>
      <c r="H636" s="8">
        <v>64.24623660177916</v>
      </c>
      <c r="I636" s="8">
        <v>87.67418227160303</v>
      </c>
      <c r="J636" s="8">
        <v>55.171847791868949</v>
      </c>
      <c r="K636" s="8">
        <v>31.87104212473367</v>
      </c>
      <c r="L636" s="8">
        <v>0.84316686640378913</v>
      </c>
      <c r="M636" s="8">
        <v>69.596802542625326</v>
      </c>
      <c r="N636" s="8">
        <v>92.767490517351519</v>
      </c>
      <c r="O636" s="8">
        <v>288.964</v>
      </c>
      <c r="P636" s="8">
        <v>281.16000000000003</v>
      </c>
      <c r="Q636" s="8">
        <v>101.096</v>
      </c>
      <c r="R636" s="8">
        <v>-0.28327400000000003</v>
      </c>
      <c r="S636" s="8">
        <v>0.26562799999999998</v>
      </c>
      <c r="T636" s="7">
        <f>C636-D636</f>
        <v>51.019129505385813</v>
      </c>
      <c r="U636" s="8">
        <f>D636/C636</f>
        <v>0.15543356393314345</v>
      </c>
      <c r="V636" s="8">
        <v>57.558043698442312</v>
      </c>
      <c r="W636" s="8">
        <v>39.968901666586952</v>
      </c>
      <c r="X636" s="8">
        <v>0.85232695312546836</v>
      </c>
      <c r="Y636" s="8">
        <v>67.577009445933598</v>
      </c>
      <c r="Z636" s="8">
        <v>88.728337789361177</v>
      </c>
      <c r="AA636" s="7">
        <v>56.36494574515563</v>
      </c>
      <c r="AB636" s="7">
        <v>35.919971895660311</v>
      </c>
      <c r="AC636" s="7">
        <v>0.84774690976462874</v>
      </c>
      <c r="AD636" s="7">
        <v>68.586905994279462</v>
      </c>
      <c r="AE636" s="7">
        <v>90.747914153356348</v>
      </c>
      <c r="AF636" s="8">
        <v>53.881896767863857</v>
      </c>
      <c r="AG636" s="8">
        <v>30.9795772367751</v>
      </c>
      <c r="AH636" s="8">
        <v>0.81056058579954859</v>
      </c>
      <c r="AI636" s="8">
        <v>69.831275656097176</v>
      </c>
      <c r="AJ636" s="8">
        <v>88.607699458741166</v>
      </c>
      <c r="AK636" s="8">
        <v>55.30285844274448</v>
      </c>
      <c r="AL636" s="8">
        <v>31.961581527416971</v>
      </c>
      <c r="AM636" s="8">
        <v>0.84647844177765708</v>
      </c>
      <c r="AN636" s="8">
        <v>69.572988867038347</v>
      </c>
      <c r="AO636" s="8">
        <v>93.189969296741651</v>
      </c>
      <c r="AP636" s="8">
        <v>56.784454974646017</v>
      </c>
      <c r="AQ636" s="8">
        <v>36.902228012335762</v>
      </c>
      <c r="AR636" s="8">
        <v>0.84311802584957163</v>
      </c>
      <c r="AS636" s="8">
        <v>68.42800518642666</v>
      </c>
      <c r="AT636" s="8">
        <v>90.260979019231115</v>
      </c>
      <c r="AU636" s="8">
        <v>48.341577667022413</v>
      </c>
      <c r="AV636" s="8">
        <v>33.631559135787171</v>
      </c>
      <c r="AW636" s="8">
        <v>0.74702090059901127</v>
      </c>
      <c r="AX636" s="8">
        <v>65.271880116122816</v>
      </c>
      <c r="AY636" s="8">
        <v>79.289019384249087</v>
      </c>
      <c r="AZ636" s="8">
        <v>55.006775465061899</v>
      </c>
      <c r="BA636" s="8">
        <v>32.605655822300761</v>
      </c>
      <c r="BB636" s="8">
        <v>0.86248020130794445</v>
      </c>
      <c r="BC636" s="8">
        <v>69.21014969413892</v>
      </c>
      <c r="BD636" s="8">
        <v>92.877905404912042</v>
      </c>
      <c r="BE636" s="8"/>
      <c r="BF636" s="8"/>
      <c r="BG636" s="8"/>
      <c r="BH636" s="8"/>
      <c r="BI636" s="8"/>
    </row>
    <row r="637" spans="1:61" s="5" customFormat="1" x14ac:dyDescent="0.15">
      <c r="A637" s="7">
        <v>2018</v>
      </c>
      <c r="B637" s="7">
        <v>43</v>
      </c>
      <c r="C637" s="7">
        <v>41.533395962697334</v>
      </c>
      <c r="D637" s="7">
        <v>3.2361284518366351</v>
      </c>
      <c r="E637" s="8">
        <v>48.032681983643862</v>
      </c>
      <c r="F637" s="8">
        <v>35.328224760311777</v>
      </c>
      <c r="G637" s="8">
        <v>0.82679350007663233</v>
      </c>
      <c r="H637" s="8">
        <v>73.744873839013053</v>
      </c>
      <c r="I637" s="8">
        <v>77.758409703047548</v>
      </c>
      <c r="J637" s="8">
        <v>43.602593240343538</v>
      </c>
      <c r="K637" s="8">
        <v>36.069570131710172</v>
      </c>
      <c r="L637" s="8">
        <v>0.81910084775859904</v>
      </c>
      <c r="M637" s="8">
        <v>72.401629894130195</v>
      </c>
      <c r="N637" s="8">
        <v>71.934850272802734</v>
      </c>
      <c r="O637" s="8">
        <v>289.43700000000001</v>
      </c>
      <c r="P637" s="8">
        <v>284.62400000000002</v>
      </c>
      <c r="Q637" s="8">
        <v>101.622</v>
      </c>
      <c r="R637" s="8">
        <v>-0.92701699999999998</v>
      </c>
      <c r="S637" s="8">
        <v>-0.25051000000000001</v>
      </c>
      <c r="T637" s="7">
        <f>C637-D637</f>
        <v>38.297267510860699</v>
      </c>
      <c r="U637" s="8">
        <f>D637/C637</f>
        <v>7.7916297880941898E-2</v>
      </c>
      <c r="V637" s="8">
        <v>42.201011393235277</v>
      </c>
      <c r="W637" s="8">
        <v>33.609283900895001</v>
      </c>
      <c r="X637" s="8">
        <v>0.81438705594515715</v>
      </c>
      <c r="Y637" s="8">
        <v>73.251590763593782</v>
      </c>
      <c r="Z637" s="8">
        <v>63.07679526356894</v>
      </c>
      <c r="AA637" s="7">
        <v>42.901802316789407</v>
      </c>
      <c r="AB637" s="7">
        <v>34.839427016302587</v>
      </c>
      <c r="AC637" s="7">
        <v>0.81674395185187809</v>
      </c>
      <c r="AD637" s="7">
        <v>72.826610328861989</v>
      </c>
      <c r="AE637" s="7">
        <v>67.505822768185837</v>
      </c>
      <c r="AF637" s="8">
        <v>43.470835120428802</v>
      </c>
      <c r="AG637" s="8">
        <v>35.966673425817874</v>
      </c>
      <c r="AH637" s="8">
        <v>0.82482785487275667</v>
      </c>
      <c r="AI637" s="8">
        <v>71.529844919723644</v>
      </c>
      <c r="AJ637" s="8">
        <v>72.548097433427117</v>
      </c>
      <c r="AK637" s="8">
        <v>43.613149885314073</v>
      </c>
      <c r="AL637" s="8">
        <v>36.077814359796051</v>
      </c>
      <c r="AM637" s="8">
        <v>0.81864199193334053</v>
      </c>
      <c r="AN637" s="8">
        <v>72.471478526392303</v>
      </c>
      <c r="AO637" s="8">
        <v>71.885716052019234</v>
      </c>
      <c r="AP637" s="8">
        <v>42.268586043508748</v>
      </c>
      <c r="AQ637" s="8">
        <v>34.124208327271752</v>
      </c>
      <c r="AR637" s="8">
        <v>0.80953947778420754</v>
      </c>
      <c r="AS637" s="8">
        <v>72.561817319795253</v>
      </c>
      <c r="AT637" s="8">
        <v>64.840074432564151</v>
      </c>
      <c r="AU637" s="8">
        <v>40.408117743234143</v>
      </c>
      <c r="AV637" s="8">
        <v>26.141734870078899</v>
      </c>
      <c r="AW637" s="8">
        <v>0.80340856238839542</v>
      </c>
      <c r="AX637" s="8">
        <v>69.165513737267801</v>
      </c>
      <c r="AY637" s="8">
        <v>70.73107698919506</v>
      </c>
      <c r="AZ637" s="8">
        <v>44.044004486123292</v>
      </c>
      <c r="BA637" s="8">
        <v>36.62156462192042</v>
      </c>
      <c r="BB637" s="8">
        <v>0.80067784380101614</v>
      </c>
      <c r="BC637" s="8">
        <v>73.359311509331761</v>
      </c>
      <c r="BD637" s="8">
        <v>74.346569992056757</v>
      </c>
      <c r="BE637" s="8">
        <v>38.462182563087808</v>
      </c>
      <c r="BF637" s="8">
        <v>22.14838928527168</v>
      </c>
      <c r="BG637" s="8">
        <v>0.71797826597260384</v>
      </c>
      <c r="BH637" s="8">
        <v>85.835113357219143</v>
      </c>
      <c r="BI637" s="8">
        <v>48.763359519798932</v>
      </c>
    </row>
    <row r="638" spans="1:61" s="5" customFormat="1" x14ac:dyDescent="0.15">
      <c r="A638" s="7">
        <v>2019</v>
      </c>
      <c r="B638" s="7">
        <v>71</v>
      </c>
      <c r="C638" s="7">
        <v>26.215149813398909</v>
      </c>
      <c r="D638" s="7">
        <v>12.666834608499213</v>
      </c>
      <c r="E638" s="8">
        <v>45.502132693714913</v>
      </c>
      <c r="F638" s="8">
        <v>31.794537931307179</v>
      </c>
      <c r="G638" s="8">
        <v>0.82700688571348702</v>
      </c>
      <c r="H638" s="8">
        <v>74.546868379354365</v>
      </c>
      <c r="I638" s="8">
        <v>72.327187133744161</v>
      </c>
      <c r="J638" s="8">
        <v>46.179435088227592</v>
      </c>
      <c r="K638" s="8">
        <v>29.21042097638982</v>
      </c>
      <c r="L638" s="8">
        <v>0.73659954710931796</v>
      </c>
      <c r="M638" s="8">
        <v>74.60515479003098</v>
      </c>
      <c r="N638" s="8">
        <v>77.129370212538106</v>
      </c>
      <c r="O638" s="8">
        <v>288.80900000000003</v>
      </c>
      <c r="P638" s="8">
        <v>283.07600000000002</v>
      </c>
      <c r="Q638" s="8">
        <v>101.488</v>
      </c>
      <c r="R638" s="8">
        <v>-0.802257</v>
      </c>
      <c r="S638" s="8">
        <v>-9.5896400000000007E-2</v>
      </c>
      <c r="T638" s="7">
        <f>C638-D638</f>
        <v>13.548315204899696</v>
      </c>
      <c r="U638" s="8">
        <f>D638/C638</f>
        <v>0.48318757278377356</v>
      </c>
      <c r="V638" s="8">
        <v>42.039146269380609</v>
      </c>
      <c r="W638" s="8">
        <v>30.5752399029843</v>
      </c>
      <c r="X638" s="8">
        <v>0.77433102562357325</v>
      </c>
      <c r="Y638" s="8">
        <v>75.352281504378368</v>
      </c>
      <c r="Z638" s="8">
        <v>61.897002120329375</v>
      </c>
      <c r="AA638" s="7">
        <v>44.109290678804101</v>
      </c>
      <c r="AB638" s="7">
        <v>29.89283043968706</v>
      </c>
      <c r="AC638" s="7">
        <v>0.75546528636644561</v>
      </c>
      <c r="AD638" s="7">
        <v>74.978718147204674</v>
      </c>
      <c r="AE638" s="7">
        <v>69.513186166433741</v>
      </c>
      <c r="AF638" s="8">
        <v>43.45677856882434</v>
      </c>
      <c r="AG638" s="8">
        <v>27.287843461772258</v>
      </c>
      <c r="AH638" s="8">
        <v>0.76350727152484565</v>
      </c>
      <c r="AI638" s="8">
        <v>76.003559187280558</v>
      </c>
      <c r="AJ638" s="8">
        <v>70.926114495799339</v>
      </c>
      <c r="AK638" s="8">
        <v>46.382144404633422</v>
      </c>
      <c r="AL638" s="8">
        <v>29.353562195617421</v>
      </c>
      <c r="AM638" s="8">
        <v>0.73459619252403074</v>
      </c>
      <c r="AN638" s="8">
        <v>74.501039710730609</v>
      </c>
      <c r="AO638" s="8">
        <v>77.591219776326014</v>
      </c>
      <c r="AP638" s="8">
        <v>42.842773916036613</v>
      </c>
      <c r="AQ638" s="8">
        <v>28.941657773383149</v>
      </c>
      <c r="AR638" s="8">
        <v>0.72359008815963655</v>
      </c>
      <c r="AS638" s="8">
        <v>75.744089115644201</v>
      </c>
      <c r="AT638" s="8">
        <v>67.154297878143083</v>
      </c>
      <c r="AU638" s="8">
        <v>36.093463773511189</v>
      </c>
      <c r="AV638" s="8">
        <v>32.277437444894929</v>
      </c>
      <c r="AW638" s="8">
        <v>0.63278837481813488</v>
      </c>
      <c r="AX638" s="8">
        <v>73.174609168160174</v>
      </c>
      <c r="AY638" s="8">
        <v>55.20959788883102</v>
      </c>
      <c r="AZ638" s="8">
        <v>46.259682640853548</v>
      </c>
      <c r="BA638" s="8">
        <v>29.28598016367399</v>
      </c>
      <c r="BB638" s="8">
        <v>0.71479010241668972</v>
      </c>
      <c r="BC638" s="8">
        <v>73.577598337049167</v>
      </c>
      <c r="BD638" s="8">
        <v>77.686062456995558</v>
      </c>
      <c r="BE638" s="8">
        <v>50.897199525281472</v>
      </c>
      <c r="BF638" s="8">
        <v>31.570832710727121</v>
      </c>
      <c r="BG638" s="8">
        <v>0.85392219201254904</v>
      </c>
      <c r="BH638" s="8">
        <v>67.737494153874678</v>
      </c>
      <c r="BI638" s="8">
        <v>78.956027302487072</v>
      </c>
    </row>
    <row r="639" spans="1:61" s="5" customFormat="1" x14ac:dyDescent="0.15">
      <c r="A639" s="7">
        <v>2021</v>
      </c>
      <c r="B639" s="7">
        <v>91</v>
      </c>
      <c r="C639" s="7">
        <v>20.19932747361127</v>
      </c>
      <c r="D639" s="7">
        <v>2.978400044842207</v>
      </c>
      <c r="E639" s="8">
        <v>33.788245920288027</v>
      </c>
      <c r="F639" s="8">
        <v>29.260837488815518</v>
      </c>
      <c r="G639" s="8">
        <v>0.82758357405789551</v>
      </c>
      <c r="H639" s="8">
        <v>60.467591859802077</v>
      </c>
      <c r="I639" s="8">
        <v>52.437662769096313</v>
      </c>
      <c r="J639" s="8">
        <v>38.728293983389683</v>
      </c>
      <c r="K639" s="8">
        <v>34.605656344641353</v>
      </c>
      <c r="L639" s="8">
        <v>0.76268077993439776</v>
      </c>
      <c r="M639" s="8">
        <v>61.186153610884972</v>
      </c>
      <c r="N639" s="8">
        <v>59.160314032655577</v>
      </c>
      <c r="O639" s="8">
        <v>286.77100000000002</v>
      </c>
      <c r="P639" s="8">
        <v>277.47899999999998</v>
      </c>
      <c r="Q639" s="8">
        <v>101.105</v>
      </c>
      <c r="R639" s="8">
        <v>0.103285</v>
      </c>
      <c r="S639" s="8">
        <v>-3.6672999999999997E-2</v>
      </c>
      <c r="T639" s="7">
        <f>C639-D639</f>
        <v>17.220927428769063</v>
      </c>
      <c r="U639" s="8">
        <f>D639/C639</f>
        <v>0.14745045589924899</v>
      </c>
      <c r="V639" s="8">
        <v>40.086930636628061</v>
      </c>
      <c r="W639" s="8">
        <v>37.179161971449325</v>
      </c>
      <c r="X639" s="8">
        <v>0.76690339585875766</v>
      </c>
      <c r="Y639" s="8">
        <v>63.33493875213351</v>
      </c>
      <c r="Z639" s="8">
        <v>59.793033590898062</v>
      </c>
      <c r="AA639" s="7">
        <v>39.407612310008872</v>
      </c>
      <c r="AB639" s="7">
        <v>35.892409158045339</v>
      </c>
      <c r="AC639" s="7">
        <v>0.76479208789657771</v>
      </c>
      <c r="AD639" s="7">
        <v>62.260546181509241</v>
      </c>
      <c r="AE639" s="7">
        <v>59.47667381177682</v>
      </c>
      <c r="AF639" s="8">
        <v>38.456216370706869</v>
      </c>
      <c r="AG639" s="8">
        <v>33.429567817982353</v>
      </c>
      <c r="AH639" s="8">
        <v>0.77799059999108733</v>
      </c>
      <c r="AI639" s="8">
        <v>60.683110746600427</v>
      </c>
      <c r="AJ639" s="8">
        <v>56.65770661767975</v>
      </c>
      <c r="AK639" s="8">
        <v>38.772364066696042</v>
      </c>
      <c r="AL639" s="8">
        <v>34.796154632370587</v>
      </c>
      <c r="AM639" s="8">
        <v>0.76020095427490664</v>
      </c>
      <c r="AN639" s="8">
        <v>61.267634555667961</v>
      </c>
      <c r="AO639" s="8">
        <v>59.565676738442463</v>
      </c>
      <c r="AP639" s="8">
        <v>39.528680728530297</v>
      </c>
      <c r="AQ639" s="8">
        <v>36.287584432928831</v>
      </c>
      <c r="AR639" s="8">
        <v>0.77079143305933173</v>
      </c>
      <c r="AS639" s="8">
        <v>62.114428273916317</v>
      </c>
      <c r="AT639" s="8">
        <v>58.647369025566853</v>
      </c>
      <c r="AU639" s="8">
        <v>37.451880391902932</v>
      </c>
      <c r="AV639" s="8">
        <v>33.160318597117119</v>
      </c>
      <c r="AW639" s="8">
        <v>0.87523177294820875</v>
      </c>
      <c r="AX639" s="8">
        <v>62.685320573753813</v>
      </c>
      <c r="AY639" s="8">
        <v>58.702321999809193</v>
      </c>
      <c r="AZ639" s="8">
        <v>39.329572795935697</v>
      </c>
      <c r="BA639" s="8">
        <v>35.109335757494193</v>
      </c>
      <c r="BB639" s="8">
        <v>0.74803560973323902</v>
      </c>
      <c r="BC639" s="8">
        <v>62.679004977114282</v>
      </c>
      <c r="BD639" s="8">
        <v>61.847948734053148</v>
      </c>
      <c r="BE639" s="8">
        <v>43.096778617229702</v>
      </c>
      <c r="BF639" s="8">
        <v>34.691890057520297</v>
      </c>
      <c r="BG639" s="8">
        <v>0.81235386598423764</v>
      </c>
      <c r="BH639" s="8">
        <v>63.580361298834177</v>
      </c>
      <c r="BI639" s="8">
        <v>74.114252512717258</v>
      </c>
    </row>
    <row r="640" spans="1:61" s="5" customFormat="1" x14ac:dyDescent="0.15">
      <c r="A640" s="7">
        <v>2022</v>
      </c>
      <c r="B640" s="7">
        <v>35</v>
      </c>
      <c r="C640" s="7">
        <v>16.63597265025772</v>
      </c>
      <c r="D640" s="7">
        <v>6.2695841882652275</v>
      </c>
      <c r="E640" s="8">
        <v>32.010268134827641</v>
      </c>
      <c r="F640" s="8">
        <v>27.00379029646767</v>
      </c>
      <c r="G640" s="8">
        <v>0.82777080613011311</v>
      </c>
      <c r="H640" s="8">
        <v>63.614528738972531</v>
      </c>
      <c r="I640" s="8">
        <v>46.816198594359612</v>
      </c>
      <c r="J640" s="8">
        <v>36.547154788141547</v>
      </c>
      <c r="K640" s="8">
        <v>23.96455635831007</v>
      </c>
      <c r="L640" s="8">
        <v>0.7247183535300401</v>
      </c>
      <c r="M640" s="8">
        <v>75.861279008083912</v>
      </c>
      <c r="N640" s="8">
        <v>58.093717231627643</v>
      </c>
      <c r="O640" s="8">
        <v>287.16500000000002</v>
      </c>
      <c r="P640" s="8">
        <v>279.67500000000001</v>
      </c>
      <c r="Q640" s="8">
        <v>100.55500000000001</v>
      </c>
      <c r="R640" s="8">
        <v>0.146451</v>
      </c>
      <c r="S640" s="8">
        <v>0.18121399999999999</v>
      </c>
      <c r="T640" s="7">
        <f>C640-D640</f>
        <v>10.366388461992493</v>
      </c>
      <c r="U640" s="8">
        <f>D640/C640</f>
        <v>0.37686910889265623</v>
      </c>
      <c r="V640" s="8">
        <v>32.475398257882638</v>
      </c>
      <c r="W640" s="8">
        <v>27.40481543091321</v>
      </c>
      <c r="X640" s="8">
        <v>0.75050416398756581</v>
      </c>
      <c r="Y640" s="8">
        <v>64.883376577655369</v>
      </c>
      <c r="Z640" s="8">
        <v>56.158480340904681</v>
      </c>
      <c r="AA640" s="7">
        <v>34.511276523012093</v>
      </c>
      <c r="AB640" s="7">
        <v>25.68468589461164</v>
      </c>
      <c r="AC640" s="7">
        <v>0.73761125875880296</v>
      </c>
      <c r="AD640" s="7">
        <v>70.37232779286964</v>
      </c>
      <c r="AE640" s="7">
        <v>57.126098786266162</v>
      </c>
      <c r="AF640" s="8">
        <v>35.078999030415751</v>
      </c>
      <c r="AG640" s="8">
        <v>22.360922898539279</v>
      </c>
      <c r="AH640" s="8">
        <v>0.73433415744974406</v>
      </c>
      <c r="AI640" s="8">
        <v>77.522438389996154</v>
      </c>
      <c r="AJ640" s="8">
        <v>51.310108300106727</v>
      </c>
      <c r="AK640" s="8">
        <v>36.651105373169152</v>
      </c>
      <c r="AL640" s="8">
        <v>24.078099240552501</v>
      </c>
      <c r="AM640" s="8">
        <v>0.72403752083384709</v>
      </c>
      <c r="AN640" s="8">
        <v>75.743663088475131</v>
      </c>
      <c r="AO640" s="8">
        <v>58.574020573639707</v>
      </c>
      <c r="AP640" s="8">
        <v>33.885748346098772</v>
      </c>
      <c r="AQ640" s="8">
        <v>25.158677616006631</v>
      </c>
      <c r="AR640" s="8">
        <v>0.73650221947634498</v>
      </c>
      <c r="AS640" s="8">
        <v>69.561147594659744</v>
      </c>
      <c r="AT640" s="8">
        <v>54.401729000927602</v>
      </c>
      <c r="AU640" s="8">
        <v>32.91509854928654</v>
      </c>
      <c r="AV640" s="8">
        <v>25.46610637195792</v>
      </c>
      <c r="AW640" s="8">
        <v>0.78432731888257323</v>
      </c>
      <c r="AX640" s="8">
        <v>66.000300538149631</v>
      </c>
      <c r="AY640" s="8">
        <v>56.900233986300769</v>
      </c>
      <c r="AZ640" s="8">
        <v>37.715832392321254</v>
      </c>
      <c r="BA640" s="8">
        <v>25.077656586817511</v>
      </c>
      <c r="BB640" s="8">
        <v>0.69018266726051059</v>
      </c>
      <c r="BC640" s="8">
        <v>75.842457789601895</v>
      </c>
      <c r="BD640" s="8">
        <v>67.89989795753263</v>
      </c>
      <c r="BE640" s="8">
        <v>33.828154528005257</v>
      </c>
      <c r="BF640" s="8">
        <v>31.76337636496692</v>
      </c>
      <c r="BG640" s="8">
        <v>0.78420505831744258</v>
      </c>
      <c r="BH640" s="8">
        <v>65.179255928362821</v>
      </c>
      <c r="BI640" s="8">
        <v>55.007294171442872</v>
      </c>
    </row>
    <row r="641" spans="1:61" s="5" customFormat="1" x14ac:dyDescent="0.15">
      <c r="A641" s="7">
        <v>2022</v>
      </c>
      <c r="B641" s="7">
        <v>114</v>
      </c>
      <c r="C641" s="7">
        <v>23.628858260696319</v>
      </c>
      <c r="D641" s="7">
        <v>10.870858738945307</v>
      </c>
      <c r="E641" s="8">
        <v>36.240215637220643</v>
      </c>
      <c r="F641" s="8">
        <v>26.671634768754618</v>
      </c>
      <c r="G641" s="8">
        <v>0.83068435181279354</v>
      </c>
      <c r="H641" s="8">
        <v>62.078666916679303</v>
      </c>
      <c r="I641" s="8">
        <v>46.721535139869196</v>
      </c>
      <c r="J641" s="8">
        <v>39.973020860159011</v>
      </c>
      <c r="K641" s="8">
        <v>31.38392541945159</v>
      </c>
      <c r="L641" s="8">
        <v>0.69707767383061314</v>
      </c>
      <c r="M641" s="8">
        <v>65.762724734402482</v>
      </c>
      <c r="N641" s="8">
        <v>64.476768344750141</v>
      </c>
      <c r="O641" s="8">
        <v>287.50099999999998</v>
      </c>
      <c r="P641" s="8">
        <v>279.14800000000002</v>
      </c>
      <c r="Q641" s="8">
        <v>101.592</v>
      </c>
      <c r="R641" s="8">
        <v>2.6406099999999998E-2</v>
      </c>
      <c r="S641" s="8">
        <v>0.32346399999999997</v>
      </c>
      <c r="T641" s="7">
        <f>C641-D641</f>
        <v>12.757999521751012</v>
      </c>
      <c r="U641" s="8">
        <f>D641/C641</f>
        <v>0.46006703409058214</v>
      </c>
      <c r="V641" s="8">
        <v>39.382510339348315</v>
      </c>
      <c r="W641" s="8">
        <v>34.066281122739213</v>
      </c>
      <c r="X641" s="8">
        <v>0.74802476075904412</v>
      </c>
      <c r="Y641" s="8">
        <v>61.621758677790623</v>
      </c>
      <c r="Z641" s="8">
        <v>57.001697029324177</v>
      </c>
      <c r="AA641" s="7">
        <v>39.677765599753663</v>
      </c>
      <c r="AB641" s="7">
        <v>32.725103271095399</v>
      </c>
      <c r="AC641" s="7">
        <v>0.72255121729482863</v>
      </c>
      <c r="AD641" s="7">
        <v>63.692241706096553</v>
      </c>
      <c r="AE641" s="7">
        <v>60.739232687037159</v>
      </c>
      <c r="AF641" s="8">
        <v>39.731860248927489</v>
      </c>
      <c r="AG641" s="8">
        <v>30.956014371007381</v>
      </c>
      <c r="AH641" s="8">
        <v>0.70181752895200267</v>
      </c>
      <c r="AI641" s="8">
        <v>65.264428975855125</v>
      </c>
      <c r="AJ641" s="8">
        <v>60.744833727407389</v>
      </c>
      <c r="AK641" s="8">
        <v>39.999443140727223</v>
      </c>
      <c r="AL641" s="8">
        <v>31.430808638574689</v>
      </c>
      <c r="AM641" s="8">
        <v>0.69655836107373126</v>
      </c>
      <c r="AN641" s="8">
        <v>65.817319513670313</v>
      </c>
      <c r="AO641" s="8">
        <v>64.885650305274595</v>
      </c>
      <c r="AP641" s="8">
        <v>39.796181840563357</v>
      </c>
      <c r="AQ641" s="8">
        <v>32.563866550700503</v>
      </c>
      <c r="AR641" s="8">
        <v>0.71023259458725019</v>
      </c>
      <c r="AS641" s="8">
        <v>63.351264389925618</v>
      </c>
      <c r="AT641" s="8">
        <v>58.782570328723473</v>
      </c>
      <c r="AU641" s="8">
        <v>36.359120541928732</v>
      </c>
      <c r="AV641" s="8">
        <v>27.33297288888452</v>
      </c>
      <c r="AW641" s="8">
        <v>0.75432628896169829</v>
      </c>
      <c r="AX641" s="8">
        <v>64.268823299454112</v>
      </c>
      <c r="AY641" s="8">
        <v>54.205938147584668</v>
      </c>
      <c r="AZ641" s="8">
        <v>40.620593396870468</v>
      </c>
      <c r="BA641" s="8">
        <v>32.739824495659199</v>
      </c>
      <c r="BB641" s="8">
        <v>0.68120955681805184</v>
      </c>
      <c r="BC641" s="8">
        <v>66.362066512357103</v>
      </c>
      <c r="BD641" s="8">
        <v>70.363572556196715</v>
      </c>
      <c r="BE641" s="8">
        <v>40.412963059775016</v>
      </c>
      <c r="BF641" s="8">
        <v>34.51605990690468</v>
      </c>
      <c r="BG641" s="8">
        <v>0.79324231262649192</v>
      </c>
      <c r="BH641" s="8">
        <v>61.696204292261477</v>
      </c>
      <c r="BI641" s="8">
        <v>61.144834120993799</v>
      </c>
    </row>
    <row r="642" spans="1:61" s="5" customFormat="1" x14ac:dyDescent="0.15">
      <c r="A642" s="7">
        <v>2017</v>
      </c>
      <c r="B642" s="7">
        <v>25</v>
      </c>
      <c r="C642" s="7">
        <v>112.38152359242926</v>
      </c>
      <c r="D642" s="7">
        <v>18.598740867733241</v>
      </c>
      <c r="E642" s="8">
        <v>39.960906300787933</v>
      </c>
      <c r="F642" s="8">
        <v>33.691806458754279</v>
      </c>
      <c r="G642" s="8">
        <v>0.83232482503869021</v>
      </c>
      <c r="H642" s="8">
        <v>67.025368419510883</v>
      </c>
      <c r="I642" s="8">
        <v>61.818927372258408</v>
      </c>
      <c r="J642" s="8">
        <v>47.131755842710582</v>
      </c>
      <c r="K642" s="8">
        <v>41.715837631242152</v>
      </c>
      <c r="L642" s="8">
        <v>0.90179023247856827</v>
      </c>
      <c r="M642" s="8">
        <v>71.550449258092357</v>
      </c>
      <c r="N642" s="8">
        <v>73.0900050785378</v>
      </c>
      <c r="O642" s="8">
        <v>290.26299999999998</v>
      </c>
      <c r="P642" s="8">
        <v>285.27800000000002</v>
      </c>
      <c r="Q642" s="8">
        <v>101.517</v>
      </c>
      <c r="R642" s="8">
        <v>-0.88777399999999995</v>
      </c>
      <c r="S642" s="8">
        <v>-2.7066099999999999E-2</v>
      </c>
      <c r="T642" s="7">
        <f>C642-D642</f>
        <v>93.78278272469602</v>
      </c>
      <c r="U642" s="8">
        <f>D642/C642</f>
        <v>0.16549642924565378</v>
      </c>
      <c r="V642" s="8">
        <v>46.095946017493752</v>
      </c>
      <c r="W642" s="8">
        <v>33.603227117163982</v>
      </c>
      <c r="X642" s="8">
        <v>0.94732984326334124</v>
      </c>
      <c r="Y642" s="8">
        <v>71.702595085966777</v>
      </c>
      <c r="Z642" s="8">
        <v>69.451419224978608</v>
      </c>
      <c r="AA642" s="7">
        <v>46.613850930102167</v>
      </c>
      <c r="AB642" s="7">
        <v>37.659532374203067</v>
      </c>
      <c r="AC642" s="7">
        <v>0.92456003787095475</v>
      </c>
      <c r="AD642" s="7">
        <v>71.626522172029567</v>
      </c>
      <c r="AE642" s="7">
        <v>71.270712151758204</v>
      </c>
      <c r="AF642" s="8">
        <v>46.758616160735713</v>
      </c>
      <c r="AG642" s="8">
        <v>41.740164082763627</v>
      </c>
      <c r="AH642" s="8">
        <v>0.8932164198693715</v>
      </c>
      <c r="AI642" s="8">
        <v>70.53924861341973</v>
      </c>
      <c r="AJ642" s="8">
        <v>72.243519027212741</v>
      </c>
      <c r="AK642" s="8">
        <v>47.166619484184963</v>
      </c>
      <c r="AL642" s="8">
        <v>41.713564732579393</v>
      </c>
      <c r="AM642" s="8">
        <v>0.90259131138632098</v>
      </c>
      <c r="AN642" s="8">
        <v>71.644928988974769</v>
      </c>
      <c r="AO642" s="8">
        <v>73.169094994813321</v>
      </c>
      <c r="AP642" s="8">
        <v>46.399017074988933</v>
      </c>
      <c r="AQ642" s="8">
        <v>36.792626824712727</v>
      </c>
      <c r="AR642" s="8">
        <v>0.92797935553653332</v>
      </c>
      <c r="AS642" s="8">
        <v>71.872932182776964</v>
      </c>
      <c r="AT642" s="8">
        <v>70.856119634147845</v>
      </c>
      <c r="AU642" s="8">
        <v>48.339943089875497</v>
      </c>
      <c r="AV642" s="8">
        <v>39.329445280487541</v>
      </c>
      <c r="AW642" s="8">
        <v>0.86494867614617799</v>
      </c>
      <c r="AX642" s="8">
        <v>66.307734590121328</v>
      </c>
      <c r="AY642" s="8">
        <v>78.448867901008583</v>
      </c>
      <c r="AZ642" s="8">
        <v>47.067993454981647</v>
      </c>
      <c r="BA642" s="8">
        <v>41.911100625907302</v>
      </c>
      <c r="BB642" s="8">
        <v>0.89880673910685016</v>
      </c>
      <c r="BC642" s="8">
        <v>71.056066238782606</v>
      </c>
      <c r="BD642" s="8">
        <v>72.164153068179104</v>
      </c>
      <c r="BE642" s="8">
        <v>51.855313589565107</v>
      </c>
      <c r="BF642" s="8">
        <v>40.633222739585356</v>
      </c>
      <c r="BG642" s="8">
        <v>0.87193475151678856</v>
      </c>
      <c r="BH642" s="8">
        <v>68.769181851495702</v>
      </c>
      <c r="BI642" s="8">
        <v>87.40069742834109</v>
      </c>
    </row>
    <row r="643" spans="1:61" s="5" customFormat="1" x14ac:dyDescent="0.15">
      <c r="A643" s="7">
        <v>2017</v>
      </c>
      <c r="B643" s="7">
        <v>10</v>
      </c>
      <c r="C643" s="7">
        <v>162.46528677140051</v>
      </c>
      <c r="D643" s="7">
        <v>128.62434581148307</v>
      </c>
      <c r="E643" s="8">
        <v>43.135611916476613</v>
      </c>
      <c r="F643" s="8">
        <v>33.688327729307822</v>
      </c>
      <c r="G643" s="8">
        <v>0.8325204769625637</v>
      </c>
      <c r="H643" s="8">
        <v>72.074227055299843</v>
      </c>
      <c r="I643" s="8">
        <v>68.167043546157984</v>
      </c>
      <c r="J643" s="8">
        <v>51.11791318872244</v>
      </c>
      <c r="K643" s="8">
        <v>41.163155601108308</v>
      </c>
      <c r="L643" s="8">
        <v>0.91002993839633062</v>
      </c>
      <c r="M643" s="8">
        <v>69.636055755872476</v>
      </c>
      <c r="N643" s="8">
        <v>78.440714020171114</v>
      </c>
      <c r="O643" s="8">
        <v>289.97000000000003</v>
      </c>
      <c r="P643" s="8">
        <v>284.84399999999999</v>
      </c>
      <c r="Q643" s="8">
        <v>101.327</v>
      </c>
      <c r="R643" s="8">
        <v>-0.85607699999999998</v>
      </c>
      <c r="S643" s="8">
        <v>-6.9049700000000006E-2</v>
      </c>
      <c r="T643" s="7">
        <f>C643-D643</f>
        <v>33.840940959917447</v>
      </c>
      <c r="U643" s="8">
        <f>D643/C643</f>
        <v>0.79170355937306225</v>
      </c>
      <c r="V643" s="8">
        <v>46.354371419376434</v>
      </c>
      <c r="W643" s="8">
        <v>31.185325709190558</v>
      </c>
      <c r="X643" s="8">
        <v>0.85963677641672209</v>
      </c>
      <c r="Y643" s="8">
        <v>72.128668300369483</v>
      </c>
      <c r="Z643" s="8">
        <v>70.162077389426273</v>
      </c>
      <c r="AA643" s="7">
        <v>48.736142304049437</v>
      </c>
      <c r="AB643" s="7">
        <v>36.174240655149433</v>
      </c>
      <c r="AC643" s="7">
        <v>0.88483335740652636</v>
      </c>
      <c r="AD643" s="7">
        <v>70.88236202812098</v>
      </c>
      <c r="AE643" s="7">
        <v>74.301395704798693</v>
      </c>
      <c r="AF643" s="8">
        <v>49.78571773031203</v>
      </c>
      <c r="AG643" s="8">
        <v>40.245905958412997</v>
      </c>
      <c r="AH643" s="8">
        <v>0.91048690442302049</v>
      </c>
      <c r="AI643" s="8">
        <v>69.580133212147302</v>
      </c>
      <c r="AJ643" s="8">
        <v>77.047718539642133</v>
      </c>
      <c r="AK643" s="8">
        <v>51.279683674472942</v>
      </c>
      <c r="AL643" s="8">
        <v>41.274538596236027</v>
      </c>
      <c r="AM643" s="8">
        <v>0.90997444832868135</v>
      </c>
      <c r="AN643" s="8">
        <v>69.642846513944605</v>
      </c>
      <c r="AO643" s="8">
        <v>78.609867543485393</v>
      </c>
      <c r="AP643" s="8">
        <v>48.323285396661923</v>
      </c>
      <c r="AQ643" s="8">
        <v>35.152877624185003</v>
      </c>
      <c r="AR643" s="8">
        <v>0.87322757976332388</v>
      </c>
      <c r="AS643" s="8">
        <v>71.495729427379231</v>
      </c>
      <c r="AT643" s="8">
        <v>73.918219342957499</v>
      </c>
      <c r="AU643" s="8">
        <v>48.447393366942308</v>
      </c>
      <c r="AV643" s="8">
        <v>39.261386329077133</v>
      </c>
      <c r="AW643" s="8">
        <v>0.83175128258573594</v>
      </c>
      <c r="AX643" s="8">
        <v>68.731343056483908</v>
      </c>
      <c r="AY643" s="8">
        <v>79.086689133861753</v>
      </c>
      <c r="AZ643" s="8">
        <v>51.015940778443778</v>
      </c>
      <c r="BA643" s="8">
        <v>41.433708833794398</v>
      </c>
      <c r="BB643" s="8">
        <v>0.91146107090812567</v>
      </c>
      <c r="BC643" s="8">
        <v>68.829798661645</v>
      </c>
      <c r="BD643" s="8">
        <v>77.800357274409308</v>
      </c>
      <c r="BE643" s="8">
        <v>47.92450380483649</v>
      </c>
      <c r="BF643" s="8">
        <v>36.603303013439593</v>
      </c>
      <c r="BG643" s="8">
        <v>0.87458606611957823</v>
      </c>
      <c r="BH643" s="8">
        <v>69.921276570785921</v>
      </c>
      <c r="BI643" s="8">
        <v>77.701740333271118</v>
      </c>
    </row>
    <row r="644" spans="1:61" s="5" customFormat="1" x14ac:dyDescent="0.15">
      <c r="A644" s="7">
        <v>2020</v>
      </c>
      <c r="B644" s="7">
        <v>11</v>
      </c>
      <c r="C644" s="7">
        <v>10.031021111120351</v>
      </c>
      <c r="D644" s="7">
        <v>2.108834942310271</v>
      </c>
      <c r="E644" s="8">
        <v>34.920158229593163</v>
      </c>
      <c r="F644" s="8">
        <v>28.881170217455161</v>
      </c>
      <c r="G644" s="8">
        <v>0.83288971243654897</v>
      </c>
      <c r="H644" s="8">
        <v>61.468405770994863</v>
      </c>
      <c r="I644" s="8">
        <v>57.470655615465887</v>
      </c>
      <c r="J644" s="8">
        <v>43.465395739205661</v>
      </c>
      <c r="K644" s="8">
        <v>35.806981138541879</v>
      </c>
      <c r="L644" s="8">
        <v>0.84758166364507637</v>
      </c>
      <c r="M644" s="8">
        <v>61.982017185940428</v>
      </c>
      <c r="N644" s="8">
        <v>65.56617805531036</v>
      </c>
      <c r="O644" s="8">
        <v>286.48700000000002</v>
      </c>
      <c r="P644" s="8">
        <v>276.79300000000001</v>
      </c>
      <c r="Q644" s="8">
        <v>101.062</v>
      </c>
      <c r="R644" s="8">
        <v>0.22222800000000001</v>
      </c>
      <c r="S644" s="8">
        <v>5.6558299999999999E-2</v>
      </c>
      <c r="T644" s="7">
        <f>C644-D644</f>
        <v>7.9221861688100805</v>
      </c>
      <c r="U644" s="8">
        <f>D644/C644</f>
        <v>0.21023133327597374</v>
      </c>
      <c r="V644" s="8">
        <v>40.823096198001252</v>
      </c>
      <c r="W644" s="8">
        <v>35.422924453325415</v>
      </c>
      <c r="X644" s="8">
        <v>0.80026440787165698</v>
      </c>
      <c r="Y644" s="8">
        <v>61.806267767988338</v>
      </c>
      <c r="Z644" s="8">
        <v>64.143022246668124</v>
      </c>
      <c r="AA644" s="7">
        <v>42.144245968603457</v>
      </c>
      <c r="AB644" s="7">
        <v>35.614952795933647</v>
      </c>
      <c r="AC644" s="7">
        <v>0.82392303575836667</v>
      </c>
      <c r="AD644" s="7">
        <v>61.894142476964383</v>
      </c>
      <c r="AE644" s="7">
        <v>64.854600150989242</v>
      </c>
      <c r="AF644" s="8">
        <v>43.438800499703348</v>
      </c>
      <c r="AG644" s="8">
        <v>35.236742046388677</v>
      </c>
      <c r="AH644" s="8">
        <v>0.86059796063266092</v>
      </c>
      <c r="AI644" s="8">
        <v>62.273243696540227</v>
      </c>
      <c r="AJ644" s="8">
        <v>63.558969872403303</v>
      </c>
      <c r="AK644" s="8">
        <v>43.469861145919417</v>
      </c>
      <c r="AL644" s="8">
        <v>35.902725697275088</v>
      </c>
      <c r="AM644" s="8">
        <v>0.8453961950783544</v>
      </c>
      <c r="AN644" s="8">
        <v>61.933119532074727</v>
      </c>
      <c r="AO644" s="8">
        <v>65.903193290503154</v>
      </c>
      <c r="AP644" s="8">
        <v>43.442186692040472</v>
      </c>
      <c r="AQ644" s="8">
        <v>36.433554058239523</v>
      </c>
      <c r="AR644" s="8">
        <v>0.80519823988898853</v>
      </c>
      <c r="AS644" s="8">
        <v>60.790675673765037</v>
      </c>
      <c r="AT644" s="8">
        <v>66.986781462344211</v>
      </c>
      <c r="AU644" s="8">
        <v>36.04232939253113</v>
      </c>
      <c r="AV644" s="8">
        <v>31.71475809676696</v>
      </c>
      <c r="AW644" s="8">
        <v>0.97025664667506162</v>
      </c>
      <c r="AX644" s="8">
        <v>61.329615368937738</v>
      </c>
      <c r="AY644" s="8">
        <v>59.533604550630919</v>
      </c>
      <c r="AZ644" s="8">
        <v>43.425935416762357</v>
      </c>
      <c r="BA644" s="8">
        <v>36.116089202805377</v>
      </c>
      <c r="BB644" s="8">
        <v>0.84980696479647855</v>
      </c>
      <c r="BC644" s="8">
        <v>62.303453830781407</v>
      </c>
      <c r="BD644" s="8">
        <v>66.455634256593086</v>
      </c>
      <c r="BE644" s="8">
        <v>45.783148834238382</v>
      </c>
      <c r="BF644" s="8">
        <v>38.398268386976632</v>
      </c>
      <c r="BG644" s="8">
        <v>0.8607476430982387</v>
      </c>
      <c r="BH644" s="8">
        <v>65.299263858606253</v>
      </c>
      <c r="BI644" s="8">
        <v>66.720010931690538</v>
      </c>
    </row>
    <row r="645" spans="1:61" s="5" customFormat="1" x14ac:dyDescent="0.15">
      <c r="A645" s="7">
        <v>2019</v>
      </c>
      <c r="B645" s="7">
        <v>103</v>
      </c>
      <c r="C645" s="7">
        <v>87.540767658880995</v>
      </c>
      <c r="D645" s="7">
        <v>75.351654767027341</v>
      </c>
      <c r="E645" s="8">
        <v>44.7192307998546</v>
      </c>
      <c r="F645" s="8">
        <v>26.469336647300288</v>
      </c>
      <c r="G645" s="8">
        <v>0.83358291336390544</v>
      </c>
      <c r="H645" s="8">
        <v>69.951830286422833</v>
      </c>
      <c r="I645" s="8">
        <v>67.835184697908403</v>
      </c>
      <c r="J645" s="8">
        <v>48.952778564010011</v>
      </c>
      <c r="K645" s="8">
        <v>26.17011107445833</v>
      </c>
      <c r="L645" s="8">
        <v>0.72720388669562774</v>
      </c>
      <c r="M645" s="8">
        <v>72.846587502490266</v>
      </c>
      <c r="N645" s="8">
        <v>76.72639667505284</v>
      </c>
      <c r="O645" s="8">
        <v>289.745</v>
      </c>
      <c r="P645" s="8">
        <v>283.14299999999997</v>
      </c>
      <c r="Q645" s="8">
        <v>101.259</v>
      </c>
      <c r="R645" s="8">
        <v>-0.81375399999999998</v>
      </c>
      <c r="S645" s="8">
        <v>-4.1542599999999999E-2</v>
      </c>
      <c r="T645" s="7">
        <f>C645-D645</f>
        <v>12.189112891853654</v>
      </c>
      <c r="U645" s="8">
        <f>D645/C645</f>
        <v>0.86076072648402158</v>
      </c>
      <c r="V645" s="8">
        <v>40.490867067377103</v>
      </c>
      <c r="W645" s="8">
        <v>27.364494279358329</v>
      </c>
      <c r="X645" s="8">
        <v>0.71539193474132234</v>
      </c>
      <c r="Y645" s="8">
        <v>66.259013861497394</v>
      </c>
      <c r="Z645" s="8">
        <v>71.763335289732296</v>
      </c>
      <c r="AA645" s="7">
        <v>44.721822815693557</v>
      </c>
      <c r="AB645" s="7">
        <v>26.767302676908329</v>
      </c>
      <c r="AC645" s="7">
        <v>0.72129791071847504</v>
      </c>
      <c r="AD645" s="7">
        <v>69.55280068199383</v>
      </c>
      <c r="AE645" s="7">
        <v>74.244865982392568</v>
      </c>
      <c r="AF645" s="8">
        <v>47.431297845646469</v>
      </c>
      <c r="AG645" s="8">
        <v>24.860895459828889</v>
      </c>
      <c r="AH645" s="8">
        <v>0.69259085469750303</v>
      </c>
      <c r="AI645" s="8">
        <v>74.043585368080542</v>
      </c>
      <c r="AJ645" s="8">
        <v>73.904089479531791</v>
      </c>
      <c r="AK645" s="8">
        <v>49.045154656345197</v>
      </c>
      <c r="AL645" s="8">
        <v>26.24959957605023</v>
      </c>
      <c r="AM645" s="8">
        <v>0.72930540306797997</v>
      </c>
      <c r="AN645" s="8">
        <v>72.773912256578697</v>
      </c>
      <c r="AO645" s="8">
        <v>76.897751925858856</v>
      </c>
      <c r="AP645" s="8">
        <v>43.961553602775773</v>
      </c>
      <c r="AQ645" s="8">
        <v>26.848694468329299</v>
      </c>
      <c r="AR645" s="8">
        <v>0.71503588888496861</v>
      </c>
      <c r="AS645" s="8">
        <v>69.114277474817015</v>
      </c>
      <c r="AT645" s="8">
        <v>73.983262044400206</v>
      </c>
      <c r="AU645" s="8">
        <v>49.088764744348083</v>
      </c>
      <c r="AV645" s="8">
        <v>31.630833829647859</v>
      </c>
      <c r="AW645" s="8">
        <v>0.86482376829763918</v>
      </c>
      <c r="AX645" s="8">
        <v>69.62048799344727</v>
      </c>
      <c r="AY645" s="8">
        <v>82.749584096391914</v>
      </c>
      <c r="AZ645" s="8">
        <v>47.928304511721038</v>
      </c>
      <c r="BA645" s="8">
        <v>26.37785260576263</v>
      </c>
      <c r="BB645" s="8">
        <v>0.73763450317015</v>
      </c>
      <c r="BC645" s="8">
        <v>72.185564394477169</v>
      </c>
      <c r="BD645" s="8">
        <v>74.996500319129751</v>
      </c>
      <c r="BE645" s="8"/>
      <c r="BF645" s="8"/>
      <c r="BG645" s="8"/>
      <c r="BH645" s="8"/>
      <c r="BI645" s="8"/>
    </row>
    <row r="646" spans="1:61" s="5" customFormat="1" x14ac:dyDescent="0.15">
      <c r="A646" s="7">
        <v>2018</v>
      </c>
      <c r="B646" s="7">
        <v>59</v>
      </c>
      <c r="C646" s="7">
        <v>42.853838636089556</v>
      </c>
      <c r="D646" s="7">
        <v>6.6179178136485515</v>
      </c>
      <c r="E646" s="8">
        <v>43.499606881471003</v>
      </c>
      <c r="F646" s="8">
        <v>31.11392026428053</v>
      </c>
      <c r="G646" s="8">
        <v>0.8337223128950626</v>
      </c>
      <c r="H646" s="8">
        <v>74.736047565200622</v>
      </c>
      <c r="I646" s="8">
        <v>67.908856487042939</v>
      </c>
      <c r="J646" s="8">
        <v>46.878570152542373</v>
      </c>
      <c r="K646" s="8">
        <v>32.629738725849172</v>
      </c>
      <c r="L646" s="8">
        <v>0.77704563147673467</v>
      </c>
      <c r="M646" s="8">
        <v>76.095767151051859</v>
      </c>
      <c r="N646" s="8">
        <v>76.819445593359788</v>
      </c>
      <c r="O646" s="8">
        <v>289.13600000000002</v>
      </c>
      <c r="P646" s="8">
        <v>284.09800000000001</v>
      </c>
      <c r="Q646" s="8">
        <v>101.53</v>
      </c>
      <c r="R646" s="8">
        <v>-1.0099</v>
      </c>
      <c r="S646" s="8">
        <v>-0.18978400000000001</v>
      </c>
      <c r="T646" s="7">
        <f>C646-D646</f>
        <v>36.235920822441003</v>
      </c>
      <c r="U646" s="8">
        <f>D646/C646</f>
        <v>0.15442998863759294</v>
      </c>
      <c r="V646" s="8">
        <v>44.754269350250873</v>
      </c>
      <c r="W646" s="8">
        <v>30.488697321156245</v>
      </c>
      <c r="X646" s="8">
        <v>0.82911110024805157</v>
      </c>
      <c r="Y646" s="8">
        <v>75.146785072783643</v>
      </c>
      <c r="Z646" s="8">
        <v>65.455333135588305</v>
      </c>
      <c r="AA646" s="7">
        <v>45.816419751396623</v>
      </c>
      <c r="AB646" s="7">
        <v>31.559218023502709</v>
      </c>
      <c r="AC646" s="7">
        <v>0.80307836586239312</v>
      </c>
      <c r="AD646" s="7">
        <v>75.621276111917751</v>
      </c>
      <c r="AE646" s="7">
        <v>71.137389364474046</v>
      </c>
      <c r="AF646" s="8">
        <v>44.757224078537831</v>
      </c>
      <c r="AG646" s="8">
        <v>30.980028415826808</v>
      </c>
      <c r="AH646" s="8">
        <v>0.81114537838303524</v>
      </c>
      <c r="AI646" s="8">
        <v>74.835283214662681</v>
      </c>
      <c r="AJ646" s="8">
        <v>72.197878475875655</v>
      </c>
      <c r="AK646" s="8">
        <v>47.10762246988017</v>
      </c>
      <c r="AL646" s="8">
        <v>32.807866177129831</v>
      </c>
      <c r="AM646" s="8">
        <v>0.77336371170643692</v>
      </c>
      <c r="AN646" s="8">
        <v>76.231867889227019</v>
      </c>
      <c r="AO646" s="8">
        <v>77.318459248398923</v>
      </c>
      <c r="AP646" s="8">
        <v>44.451255101047977</v>
      </c>
      <c r="AQ646" s="8">
        <v>30.788610783604589</v>
      </c>
      <c r="AR646" s="8">
        <v>0.75982683973637677</v>
      </c>
      <c r="AS646" s="8">
        <v>76.495278336555614</v>
      </c>
      <c r="AT646" s="8">
        <v>69.03093280840244</v>
      </c>
      <c r="AU646" s="8">
        <v>43.544350481216817</v>
      </c>
      <c r="AV646" s="8">
        <v>33.677551027152717</v>
      </c>
      <c r="AW646" s="8">
        <v>0.76010691466102065</v>
      </c>
      <c r="AX646" s="8">
        <v>74.854318557694242</v>
      </c>
      <c r="AY646" s="8">
        <v>77.668334350976281</v>
      </c>
      <c r="AZ646" s="8">
        <v>47.270031732738467</v>
      </c>
      <c r="BA646" s="8">
        <v>33.414918809483311</v>
      </c>
      <c r="BB646" s="8">
        <v>0.76230582075863962</v>
      </c>
      <c r="BC646" s="8">
        <v>76.065479290348421</v>
      </c>
      <c r="BD646" s="8">
        <v>78.943601717526448</v>
      </c>
      <c r="BE646" s="8"/>
      <c r="BF646" s="8"/>
      <c r="BG646" s="8"/>
      <c r="BH646" s="8"/>
      <c r="BI646" s="8"/>
    </row>
    <row r="647" spans="1:61" s="5" customFormat="1" x14ac:dyDescent="0.15">
      <c r="A647" s="7">
        <v>2020</v>
      </c>
      <c r="B647" s="7">
        <v>42</v>
      </c>
      <c r="C647" s="7">
        <v>12.695580180380528</v>
      </c>
      <c r="D647" s="7">
        <v>9.4104177094309485</v>
      </c>
      <c r="E647" s="8">
        <v>30.893805200421621</v>
      </c>
      <c r="F647" s="8">
        <v>27.701138338569908</v>
      </c>
      <c r="G647" s="8">
        <v>0.83484483969590706</v>
      </c>
      <c r="H647" s="8">
        <v>75.46899272808885</v>
      </c>
      <c r="I647" s="8">
        <v>63.870630674574578</v>
      </c>
      <c r="J647" s="8">
        <v>34.676088813058627</v>
      </c>
      <c r="K647" s="8">
        <v>34.016497937307598</v>
      </c>
      <c r="L647" s="8">
        <v>0.78826741550009616</v>
      </c>
      <c r="M647" s="8">
        <v>62.902537481764917</v>
      </c>
      <c r="N647" s="8">
        <v>77.128253335281826</v>
      </c>
      <c r="O647" s="8">
        <v>282.32600000000002</v>
      </c>
      <c r="P647" s="8">
        <v>270.84199999999998</v>
      </c>
      <c r="Q647" s="8">
        <v>87.395300000000006</v>
      </c>
      <c r="R647" s="8">
        <v>0.714144</v>
      </c>
      <c r="S647" s="8">
        <v>2.9471500000000001E-2</v>
      </c>
      <c r="T647" s="7">
        <f>C647-D647</f>
        <v>3.2851624709495795</v>
      </c>
      <c r="U647" s="8">
        <f>D647/C647</f>
        <v>0.74123573525009923</v>
      </c>
      <c r="V647" s="8">
        <v>35.01998110787855</v>
      </c>
      <c r="W647" s="8">
        <v>33.409278039420279</v>
      </c>
      <c r="X647" s="8">
        <v>0.7878859234692579</v>
      </c>
      <c r="Y647" s="8">
        <v>63.545717341601168</v>
      </c>
      <c r="Z647" s="8">
        <v>76.649742429752521</v>
      </c>
      <c r="AA647" s="7">
        <v>34.848034960468588</v>
      </c>
      <c r="AB647" s="7">
        <v>33.712887988363939</v>
      </c>
      <c r="AC647" s="7">
        <v>0.78807666948467703</v>
      </c>
      <c r="AD647" s="7">
        <v>63.224127411683043</v>
      </c>
      <c r="AE647" s="7">
        <v>76.888997882517174</v>
      </c>
      <c r="AF647" s="8">
        <v>34.926660166946021</v>
      </c>
      <c r="AG647" s="8">
        <v>33.810796797718417</v>
      </c>
      <c r="AH647" s="8">
        <v>0.79657919017236067</v>
      </c>
      <c r="AI647" s="8">
        <v>63.117388714659462</v>
      </c>
      <c r="AJ647" s="8">
        <v>76.22114302314651</v>
      </c>
      <c r="AK647" s="8">
        <v>34.634700467155469</v>
      </c>
      <c r="AL647" s="8">
        <v>34.050474805716171</v>
      </c>
      <c r="AM647" s="8">
        <v>0.78689451073717043</v>
      </c>
      <c r="AN647" s="8">
        <v>62.86704923856869</v>
      </c>
      <c r="AO647" s="8">
        <v>77.278086086665866</v>
      </c>
      <c r="AP647" s="8">
        <v>33.335962064636803</v>
      </c>
      <c r="AQ647" s="8">
        <v>33.247456432643673</v>
      </c>
      <c r="AR647" s="8">
        <v>0.74511471416059749</v>
      </c>
      <c r="AS647" s="8">
        <v>63.139995597777322</v>
      </c>
      <c r="AT647" s="8">
        <v>73.963784636794202</v>
      </c>
      <c r="AU647" s="8">
        <v>35.229514502344742</v>
      </c>
      <c r="AV647" s="8">
        <v>33.892623981444508</v>
      </c>
      <c r="AW647" s="8">
        <v>0.79853053911119709</v>
      </c>
      <c r="AX647" s="8">
        <v>63.174953062378961</v>
      </c>
      <c r="AY647" s="8">
        <v>77.759716926029554</v>
      </c>
      <c r="AZ647" s="8">
        <v>36.222337842406809</v>
      </c>
      <c r="BA647" s="8">
        <v>33.784117573802213</v>
      </c>
      <c r="BB647" s="8">
        <v>0.82471368685064061</v>
      </c>
      <c r="BC647" s="8">
        <v>64.113340510633478</v>
      </c>
      <c r="BD647" s="8">
        <v>80.70585494647635</v>
      </c>
      <c r="BE647" s="8">
        <v>32.321413946452843</v>
      </c>
      <c r="BF647" s="8">
        <v>32.822607371332552</v>
      </c>
      <c r="BG647" s="8">
        <v>0.7118513686372917</v>
      </c>
      <c r="BH647" s="8">
        <v>63.989486429618552</v>
      </c>
      <c r="BI647" s="8">
        <v>77.211709106376986</v>
      </c>
    </row>
    <row r="648" spans="1:61" s="5" customFormat="1" x14ac:dyDescent="0.15">
      <c r="A648" s="7">
        <v>2018</v>
      </c>
      <c r="B648" s="7">
        <v>105</v>
      </c>
      <c r="C648" s="7">
        <v>56.809856520961127</v>
      </c>
      <c r="D648" s="7">
        <v>34.087019979755603</v>
      </c>
      <c r="E648" s="8">
        <v>45.257288075893513</v>
      </c>
      <c r="F648" s="8">
        <v>24.331086550017421</v>
      </c>
      <c r="G648" s="8">
        <v>0.86983631973546749</v>
      </c>
      <c r="H648" s="8">
        <v>74.935956598706881</v>
      </c>
      <c r="I648" s="8">
        <v>66.662515204568805</v>
      </c>
      <c r="J648" s="8">
        <v>52.974108625711317</v>
      </c>
      <c r="K648" s="8">
        <v>29.102047248106039</v>
      </c>
      <c r="L648" s="8">
        <v>0.8033303626673417</v>
      </c>
      <c r="M648" s="8">
        <v>74.743408436737028</v>
      </c>
      <c r="N648" s="8">
        <v>83.137437160515901</v>
      </c>
      <c r="O648" s="8">
        <v>289.50299999999999</v>
      </c>
      <c r="P648" s="8">
        <v>284.16800000000001</v>
      </c>
      <c r="Q648" s="8">
        <v>100.34099999999999</v>
      </c>
      <c r="R648" s="8">
        <v>-0.56859599999999999</v>
      </c>
      <c r="S648" s="8">
        <v>-0.38117499999999999</v>
      </c>
      <c r="T648" s="7">
        <f>C648-D648</f>
        <v>22.722836541205524</v>
      </c>
      <c r="U648" s="8">
        <f>D648/C648</f>
        <v>0.60001946963514186</v>
      </c>
      <c r="V648" s="8">
        <v>49.418494160604844</v>
      </c>
      <c r="W648" s="8">
        <v>26.296010916084782</v>
      </c>
      <c r="X648" s="8">
        <v>0.84475380028820746</v>
      </c>
      <c r="Y648" s="8">
        <v>76.450115261226031</v>
      </c>
      <c r="Z648" s="8">
        <v>78.875554807553726</v>
      </c>
      <c r="AA648" s="7">
        <v>51.19630139315808</v>
      </c>
      <c r="AB648" s="7">
        <v>27.699029082095411</v>
      </c>
      <c r="AC648" s="7">
        <v>0.82404208147777458</v>
      </c>
      <c r="AD648" s="7">
        <v>75.596761848981529</v>
      </c>
      <c r="AE648" s="7">
        <v>81.006495984034814</v>
      </c>
      <c r="AF648" s="8">
        <v>53.622046573734863</v>
      </c>
      <c r="AG648" s="8">
        <v>26.71710486090246</v>
      </c>
      <c r="AH648" s="8">
        <v>0.80679528395199929</v>
      </c>
      <c r="AI648" s="8">
        <v>77.029524501594253</v>
      </c>
      <c r="AJ648" s="8">
        <v>81.984372141902313</v>
      </c>
      <c r="AK648" s="8">
        <v>52.879060505052628</v>
      </c>
      <c r="AL648" s="8">
        <v>29.451902187879931</v>
      </c>
      <c r="AM648" s="8">
        <v>0.80282208211772821</v>
      </c>
      <c r="AN648" s="8">
        <v>74.408050650956511</v>
      </c>
      <c r="AO648" s="8">
        <v>83.306584010690102</v>
      </c>
      <c r="AP648" s="8">
        <v>52.803502545243681</v>
      </c>
      <c r="AQ648" s="8">
        <v>28.635023422359389</v>
      </c>
      <c r="AR648" s="8">
        <v>0.80921440622183272</v>
      </c>
      <c r="AS648" s="8">
        <v>76.067968620417162</v>
      </c>
      <c r="AT648" s="8">
        <v>85.28300361433287</v>
      </c>
      <c r="AU648" s="8">
        <v>50.410381431157703</v>
      </c>
      <c r="AV648" s="8">
        <v>31.229880182392741</v>
      </c>
      <c r="AW648" s="8">
        <v>0.86976048401947226</v>
      </c>
      <c r="AX648" s="8">
        <v>72.319050595879546</v>
      </c>
      <c r="AY648" s="8">
        <v>87.28408556728462</v>
      </c>
      <c r="AZ648" s="8">
        <v>53.500790657268332</v>
      </c>
      <c r="BA648" s="8">
        <v>29.0998840666795</v>
      </c>
      <c r="BB648" s="8">
        <v>0.81119663927177266</v>
      </c>
      <c r="BC648" s="8">
        <v>75.088769031596769</v>
      </c>
      <c r="BD648" s="8">
        <v>85.051947180583497</v>
      </c>
      <c r="BE648" s="8">
        <v>48.050299374091779</v>
      </c>
      <c r="BF648" s="8">
        <v>32.937535261758903</v>
      </c>
      <c r="BG648" s="8">
        <v>0.88571787556699044</v>
      </c>
      <c r="BH648" s="8">
        <v>71.594236245230135</v>
      </c>
      <c r="BI648" s="8">
        <v>86.219939214076589</v>
      </c>
    </row>
    <row r="649" spans="1:61" s="5" customFormat="1" x14ac:dyDescent="0.15">
      <c r="A649" s="7">
        <v>2020</v>
      </c>
      <c r="B649" s="7">
        <v>84</v>
      </c>
      <c r="C649" s="7">
        <v>67.306618265796658</v>
      </c>
      <c r="D649" s="7">
        <v>55.122885812098787</v>
      </c>
      <c r="E649" s="8">
        <v>47.644826374493057</v>
      </c>
      <c r="F649" s="8">
        <v>34.00204018204856</v>
      </c>
      <c r="G649" s="8">
        <v>0.87062427600601033</v>
      </c>
      <c r="H649" s="8">
        <v>67.934596665605241</v>
      </c>
      <c r="I649" s="8">
        <v>68.907674446107237</v>
      </c>
      <c r="J649" s="8">
        <v>50.289664225800507</v>
      </c>
      <c r="K649" s="8">
        <v>34.251152221054838</v>
      </c>
      <c r="L649" s="8">
        <v>0.79898802376995937</v>
      </c>
      <c r="M649" s="8">
        <v>70.218293040867749</v>
      </c>
      <c r="N649" s="8">
        <v>87.405733565525907</v>
      </c>
      <c r="O649" s="8">
        <v>287.80700000000002</v>
      </c>
      <c r="P649" s="8">
        <v>279.08100000000002</v>
      </c>
      <c r="Q649" s="8">
        <v>101.428</v>
      </c>
      <c r="R649" s="8">
        <v>-2.55956E-2</v>
      </c>
      <c r="S649" s="8">
        <v>0.48822199999999999</v>
      </c>
      <c r="T649" s="7">
        <f>C649-D649</f>
        <v>12.183732453697871</v>
      </c>
      <c r="U649" s="8">
        <f>D649/C649</f>
        <v>0.81898165785742194</v>
      </c>
      <c r="V649" s="8">
        <v>50.743756459561993</v>
      </c>
      <c r="W649" s="8">
        <v>44.228033019590882</v>
      </c>
      <c r="X649" s="8">
        <v>0.85246366350325409</v>
      </c>
      <c r="Y649" s="8">
        <v>64.488884161805814</v>
      </c>
      <c r="Z649" s="8">
        <v>76.026711578092034</v>
      </c>
      <c r="AA649" s="7">
        <v>50.51671034268125</v>
      </c>
      <c r="AB649" s="7">
        <v>39.23959262032286</v>
      </c>
      <c r="AC649" s="7">
        <v>0.82572584363660673</v>
      </c>
      <c r="AD649" s="7">
        <v>67.353588601336781</v>
      </c>
      <c r="AE649" s="7">
        <v>81.71622257180897</v>
      </c>
      <c r="AF649" s="8">
        <v>50.501483982021433</v>
      </c>
      <c r="AG649" s="8">
        <v>33.25317574656178</v>
      </c>
      <c r="AH649" s="8">
        <v>0.80841151778641362</v>
      </c>
      <c r="AI649" s="8">
        <v>71.384519300406723</v>
      </c>
      <c r="AJ649" s="8">
        <v>88.651323721266891</v>
      </c>
      <c r="AK649" s="8">
        <v>50.261720326600482</v>
      </c>
      <c r="AL649" s="8">
        <v>34.382808278566948</v>
      </c>
      <c r="AM649" s="8">
        <v>0.79774484810209045</v>
      </c>
      <c r="AN649" s="8">
        <v>70.064440965771482</v>
      </c>
      <c r="AO649" s="8">
        <v>87.241411566588923</v>
      </c>
      <c r="AP649" s="8">
        <v>50.801222095221803</v>
      </c>
      <c r="AQ649" s="8">
        <v>40.59535158419483</v>
      </c>
      <c r="AR649" s="8">
        <v>0.83187204748870813</v>
      </c>
      <c r="AS649" s="8">
        <v>66.619245781653689</v>
      </c>
      <c r="AT649" s="8">
        <v>80.918267999252009</v>
      </c>
      <c r="AU649" s="8">
        <v>52.863419194011037</v>
      </c>
      <c r="AV649" s="8">
        <v>33.666950187287703</v>
      </c>
      <c r="AW649" s="8">
        <v>0.87998880937634383</v>
      </c>
      <c r="AX649" s="8">
        <v>69.43542759650505</v>
      </c>
      <c r="AY649" s="8">
        <v>94.930197888754634</v>
      </c>
      <c r="AZ649" s="8">
        <v>49.699504775474097</v>
      </c>
      <c r="BA649" s="8">
        <v>35.026456286685658</v>
      </c>
      <c r="BB649" s="8">
        <v>0.8041870578652951</v>
      </c>
      <c r="BC649" s="8">
        <v>69.742497077846835</v>
      </c>
      <c r="BD649" s="8">
        <v>84.53559387194602</v>
      </c>
      <c r="BE649" s="8">
        <v>48.921940561003808</v>
      </c>
      <c r="BF649" s="8">
        <v>38.528375900713478</v>
      </c>
      <c r="BG649" s="8">
        <v>0.91744700072521446</v>
      </c>
      <c r="BH649" s="8">
        <v>64.309445353730709</v>
      </c>
      <c r="BI649" s="8">
        <v>85.312850043739033</v>
      </c>
    </row>
    <row r="650" spans="1:61" s="5" customFormat="1" x14ac:dyDescent="0.15">
      <c r="A650" s="7">
        <v>2018</v>
      </c>
      <c r="B650" s="7">
        <v>66</v>
      </c>
      <c r="C650" s="7">
        <v>70.999812308230432</v>
      </c>
      <c r="D650" s="7">
        <v>30.522593776784628</v>
      </c>
      <c r="E650" s="8">
        <v>40.703160924978427</v>
      </c>
      <c r="F650" s="8">
        <v>30.105970517522721</v>
      </c>
      <c r="G650" s="8">
        <v>0.8722660162706164</v>
      </c>
      <c r="H650" s="8">
        <v>74.654596241005748</v>
      </c>
      <c r="I650" s="8">
        <v>72.504576383611592</v>
      </c>
      <c r="J650" s="8">
        <v>56.040647810340047</v>
      </c>
      <c r="K650" s="8">
        <v>39.889410444050213</v>
      </c>
      <c r="L650" s="8">
        <v>0.99506617674024012</v>
      </c>
      <c r="M650" s="8">
        <v>72.235628616537099</v>
      </c>
      <c r="N650" s="8">
        <v>95.989384534391633</v>
      </c>
      <c r="O650" s="8">
        <v>287.25099999999998</v>
      </c>
      <c r="P650" s="8">
        <v>277.75400000000002</v>
      </c>
      <c r="Q650" s="8">
        <v>101.577</v>
      </c>
      <c r="R650" s="8">
        <v>-0.27014899999999997</v>
      </c>
      <c r="S650" s="8">
        <v>0.330731</v>
      </c>
      <c r="T650" s="7">
        <f>C650-D650</f>
        <v>40.4772185314458</v>
      </c>
      <c r="U650" s="8">
        <f>D650/C650</f>
        <v>0.42989682344901625</v>
      </c>
      <c r="V650" s="8">
        <v>58.193394591873712</v>
      </c>
      <c r="W650" s="8">
        <v>40.759650472709083</v>
      </c>
      <c r="X650" s="8">
        <v>1.033482139875908</v>
      </c>
      <c r="Y650" s="8">
        <v>66.489744405610082</v>
      </c>
      <c r="Z650" s="8">
        <v>91.252725112538087</v>
      </c>
      <c r="AA650" s="7">
        <v>57.11702120110688</v>
      </c>
      <c r="AB650" s="7">
        <v>40.324530458379648</v>
      </c>
      <c r="AC650" s="7">
        <v>1.0142741583080741</v>
      </c>
      <c r="AD650" s="7">
        <v>69.362686511073591</v>
      </c>
      <c r="AE650" s="7">
        <v>93.62105482346486</v>
      </c>
      <c r="AF650" s="8">
        <v>54.179759953726027</v>
      </c>
      <c r="AG650" s="8">
        <v>38.18851984204737</v>
      </c>
      <c r="AH650" s="8">
        <v>1.001631877337843</v>
      </c>
      <c r="AI650" s="8">
        <v>74.652417196269596</v>
      </c>
      <c r="AJ650" s="8">
        <v>93.758013369942276</v>
      </c>
      <c r="AK650" s="8">
        <v>56.262627625989808</v>
      </c>
      <c r="AL650" s="8">
        <v>40.092304659803773</v>
      </c>
      <c r="AM650" s="8">
        <v>0.99428297370998375</v>
      </c>
      <c r="AN650" s="8">
        <v>71.947337045668547</v>
      </c>
      <c r="AO650" s="8">
        <v>96.255558209484533</v>
      </c>
      <c r="AP650" s="8">
        <v>58.198021881098327</v>
      </c>
      <c r="AQ650" s="8">
        <v>40.605929185195649</v>
      </c>
      <c r="AR650" s="8">
        <v>1.0281321052226109</v>
      </c>
      <c r="AS650" s="8">
        <v>68.50557537891801</v>
      </c>
      <c r="AT650" s="8">
        <v>93.516757389502146</v>
      </c>
      <c r="AU650" s="8">
        <v>51.087875541291687</v>
      </c>
      <c r="AV650" s="8">
        <v>38.549999327231212</v>
      </c>
      <c r="AW650" s="8">
        <v>1.0263061504754301</v>
      </c>
      <c r="AX650" s="8">
        <v>71.585572155672708</v>
      </c>
      <c r="AY650" s="8">
        <v>90.529530692795561</v>
      </c>
      <c r="AZ650" s="8">
        <v>56.273029147559797</v>
      </c>
      <c r="BA650" s="8">
        <v>40.769189663532401</v>
      </c>
      <c r="BB650" s="8">
        <v>0.99299037165589588</v>
      </c>
      <c r="BC650" s="8">
        <v>71.502047418694175</v>
      </c>
      <c r="BD650" s="8">
        <v>97.288912176049351</v>
      </c>
      <c r="BE650" s="8">
        <v>50.966011777390626</v>
      </c>
      <c r="BF650" s="8">
        <v>40.292699683292703</v>
      </c>
      <c r="BG650" s="8">
        <v>0.99499171944521325</v>
      </c>
      <c r="BH650" s="8">
        <v>71.21355386287253</v>
      </c>
      <c r="BI650" s="8">
        <v>94.713500809821213</v>
      </c>
    </row>
    <row r="651" spans="1:61" s="5" customFormat="1" x14ac:dyDescent="0.15">
      <c r="A651" s="7">
        <v>2019</v>
      </c>
      <c r="B651" s="7">
        <v>67</v>
      </c>
      <c r="C651" s="7">
        <v>137.76832521816175</v>
      </c>
      <c r="D651" s="7">
        <v>81.095311909926068</v>
      </c>
      <c r="E651" s="8">
        <v>49.442801230505488</v>
      </c>
      <c r="F651" s="8">
        <v>29.09754222050233</v>
      </c>
      <c r="G651" s="8">
        <v>0.87368619934275016</v>
      </c>
      <c r="H651" s="8">
        <v>79.537869967355718</v>
      </c>
      <c r="I651" s="8">
        <v>84.100083527963506</v>
      </c>
      <c r="J651" s="8">
        <v>56.580509321000797</v>
      </c>
      <c r="K651" s="8">
        <v>35.559074516886483</v>
      </c>
      <c r="L651" s="8">
        <v>0.96144929789481859</v>
      </c>
      <c r="M651" s="8">
        <v>71.813096524998159</v>
      </c>
      <c r="N651" s="8">
        <v>101.76226259055559</v>
      </c>
      <c r="O651" s="8">
        <v>287.19400000000002</v>
      </c>
      <c r="P651" s="8">
        <v>277.39999999999998</v>
      </c>
      <c r="Q651" s="8">
        <v>97.530500000000004</v>
      </c>
      <c r="R651" s="8">
        <v>7.9814300000000005E-2</v>
      </c>
      <c r="S651" s="8">
        <v>0.16638</v>
      </c>
      <c r="T651" s="7">
        <f>C651-D651</f>
        <v>56.673013308235682</v>
      </c>
      <c r="U651" s="8">
        <f>D651/C651</f>
        <v>0.58863539047533853</v>
      </c>
      <c r="V651" s="8">
        <v>57.261735476357977</v>
      </c>
      <c r="W651" s="8">
        <v>36.09240455107529</v>
      </c>
      <c r="X651" s="8">
        <v>0.97201595293739285</v>
      </c>
      <c r="Y651" s="8">
        <v>72.047426730247551</v>
      </c>
      <c r="Z651" s="8">
        <v>89.906078386133089</v>
      </c>
      <c r="AA651" s="7">
        <v>56.921122398679387</v>
      </c>
      <c r="AB651" s="7">
        <v>35.825739533980887</v>
      </c>
      <c r="AC651" s="7">
        <v>0.96673262541610572</v>
      </c>
      <c r="AD651" s="7">
        <v>71.930261627622855</v>
      </c>
      <c r="AE651" s="7">
        <v>95.834170488344341</v>
      </c>
      <c r="AF651" s="8">
        <v>55.657173403381648</v>
      </c>
      <c r="AG651" s="8">
        <v>34.744326062314578</v>
      </c>
      <c r="AH651" s="8">
        <v>0.94545817061944959</v>
      </c>
      <c r="AI651" s="8">
        <v>73.901515659241795</v>
      </c>
      <c r="AJ651" s="8">
        <v>99.134850960642567</v>
      </c>
      <c r="AK651" s="8">
        <v>56.676015570509932</v>
      </c>
      <c r="AL651" s="8">
        <v>35.643348904684792</v>
      </c>
      <c r="AM651" s="8">
        <v>0.96310335744384179</v>
      </c>
      <c r="AN651" s="8">
        <v>71.597078632583603</v>
      </c>
      <c r="AO651" s="8">
        <v>102.034031754845</v>
      </c>
      <c r="AP651" s="8">
        <v>60.311101960223972</v>
      </c>
      <c r="AQ651" s="8">
        <v>37.361136860691317</v>
      </c>
      <c r="AR651" s="8">
        <v>0.97794159282000936</v>
      </c>
      <c r="AS651" s="8">
        <v>71.091415937546785</v>
      </c>
      <c r="AT651" s="8">
        <v>97.262247958267665</v>
      </c>
      <c r="AU651" s="8">
        <v>43.413480322916662</v>
      </c>
      <c r="AV651" s="8">
        <v>31.476290637310349</v>
      </c>
      <c r="AW651" s="8">
        <v>0.9348587950800552</v>
      </c>
      <c r="AX651" s="8">
        <v>72.545129408987805</v>
      </c>
      <c r="AY651" s="8">
        <v>79.608837177631855</v>
      </c>
      <c r="AZ651" s="8">
        <v>55.386633185371181</v>
      </c>
      <c r="BA651" s="8">
        <v>35.664535375303913</v>
      </c>
      <c r="BB651" s="8">
        <v>0.984555419385852</v>
      </c>
      <c r="BC651" s="8">
        <v>71.274972116153663</v>
      </c>
      <c r="BD651" s="8">
        <v>102.73501407008359</v>
      </c>
      <c r="BE651" s="8">
        <v>56.301677133109223</v>
      </c>
      <c r="BF651" s="8">
        <v>40.004036677232868</v>
      </c>
      <c r="BG651" s="8">
        <v>0.99270532756053798</v>
      </c>
      <c r="BH651" s="8">
        <v>69.123110988738205</v>
      </c>
      <c r="BI651" s="8">
        <v>106.8364660814679</v>
      </c>
    </row>
    <row r="652" spans="1:61" s="5" customFormat="1" x14ac:dyDescent="0.15">
      <c r="A652" s="7">
        <v>2018</v>
      </c>
      <c r="B652" s="7">
        <v>134</v>
      </c>
      <c r="C652" s="7">
        <v>19.318805325326906</v>
      </c>
      <c r="D652" s="7">
        <v>2.9142208051048102</v>
      </c>
      <c r="E652" s="8">
        <v>22.855715475317069</v>
      </c>
      <c r="F652" s="8">
        <v>17.961408970612698</v>
      </c>
      <c r="G652" s="8">
        <v>0.87725112495309054</v>
      </c>
      <c r="H652" s="8">
        <v>56.794433434608528</v>
      </c>
      <c r="I652" s="8">
        <v>41.322370455229382</v>
      </c>
      <c r="J652" s="8">
        <v>27.382543089896242</v>
      </c>
      <c r="K652" s="8">
        <v>20.00046217436735</v>
      </c>
      <c r="L652" s="8">
        <v>0.8753099764862099</v>
      </c>
      <c r="M652" s="8">
        <v>54.661521863440861</v>
      </c>
      <c r="N652" s="8">
        <v>46.955223729778567</v>
      </c>
      <c r="O652" s="8">
        <v>290.96499999999997</v>
      </c>
      <c r="P652" s="8">
        <v>284.875</v>
      </c>
      <c r="Q652" s="8">
        <v>82.764699999999991</v>
      </c>
      <c r="R652" s="8">
        <v>0.47858299999999998</v>
      </c>
      <c r="S652" s="8">
        <v>1.1884600000000001</v>
      </c>
      <c r="T652" s="7">
        <f>C652-D652</f>
        <v>16.404584520222095</v>
      </c>
      <c r="U652" s="8">
        <f>D652/C652</f>
        <v>0.15084891410362078</v>
      </c>
      <c r="V652" s="8">
        <v>22.47246986799016</v>
      </c>
      <c r="W652" s="8">
        <v>15.757108413337932</v>
      </c>
      <c r="X652" s="8">
        <v>0.80588154640667276</v>
      </c>
      <c r="Y652" s="8">
        <v>56.61427109022744</v>
      </c>
      <c r="Z652" s="8">
        <v>40.604681010968449</v>
      </c>
      <c r="AA652" s="7">
        <v>24.927506478943201</v>
      </c>
      <c r="AB652" s="7">
        <v>17.878785293852641</v>
      </c>
      <c r="AC652" s="7">
        <v>0.84059576144644133</v>
      </c>
      <c r="AD652" s="7">
        <v>55.63789647683415</v>
      </c>
      <c r="AE652" s="7">
        <v>43.779952370373508</v>
      </c>
      <c r="AF652" s="8">
        <v>28.21255518041195</v>
      </c>
      <c r="AG652" s="8">
        <v>19.92903051947604</v>
      </c>
      <c r="AH652" s="8">
        <v>0.91791240764878768</v>
      </c>
      <c r="AI652" s="8">
        <v>55.582579789459757</v>
      </c>
      <c r="AJ652" s="8">
        <v>46.454742999130993</v>
      </c>
      <c r="AK652" s="8">
        <v>27.28070265918284</v>
      </c>
      <c r="AL652" s="8">
        <v>20.00922666175714</v>
      </c>
      <c r="AM652" s="8">
        <v>0.870082763547252</v>
      </c>
      <c r="AN652" s="8">
        <v>54.54851033388654</v>
      </c>
      <c r="AO652" s="8">
        <v>47.016631477635883</v>
      </c>
      <c r="AP652" s="8">
        <v>28.69898549997334</v>
      </c>
      <c r="AQ652" s="8">
        <v>17.342413405562681</v>
      </c>
      <c r="AR652" s="8">
        <v>0.79084136212646317</v>
      </c>
      <c r="AS652" s="8">
        <v>53.121193210548562</v>
      </c>
      <c r="AT652" s="8">
        <v>48.4640133292896</v>
      </c>
      <c r="AU652" s="8">
        <v>27.696609216428602</v>
      </c>
      <c r="AV652" s="8">
        <v>17.238155990278759</v>
      </c>
      <c r="AW652" s="8">
        <v>0.7121083293366961</v>
      </c>
      <c r="AX652" s="8">
        <v>54.758588557813788</v>
      </c>
      <c r="AY652" s="8">
        <v>46.152403734817518</v>
      </c>
      <c r="AZ652" s="8">
        <v>25.394259917312269</v>
      </c>
      <c r="BA652" s="8">
        <v>24.480232995294131</v>
      </c>
      <c r="BB652" s="8">
        <v>0.87702286678393115</v>
      </c>
      <c r="BC652" s="8">
        <v>52.827987669733332</v>
      </c>
      <c r="BD652" s="8">
        <v>45.683049835183702</v>
      </c>
      <c r="BE652" s="8">
        <v>21.897243624523281</v>
      </c>
      <c r="BF652" s="8">
        <v>25.04761293418732</v>
      </c>
      <c r="BG652" s="8">
        <v>0.77453453668066807</v>
      </c>
      <c r="BH652" s="8">
        <v>51.596880741227707</v>
      </c>
      <c r="BI652" s="8">
        <v>43.858700010987206</v>
      </c>
    </row>
    <row r="653" spans="1:61" s="5" customFormat="1" x14ac:dyDescent="0.15">
      <c r="A653" s="7">
        <v>2017</v>
      </c>
      <c r="B653" s="7">
        <v>28</v>
      </c>
      <c r="C653" s="7">
        <v>59.442527959529833</v>
      </c>
      <c r="D653" s="7">
        <v>28.293512894645723</v>
      </c>
      <c r="E653" s="8">
        <v>52.431891697949048</v>
      </c>
      <c r="F653" s="8">
        <v>32.325176026281653</v>
      </c>
      <c r="G653" s="8">
        <v>0.88084558399479096</v>
      </c>
      <c r="H653" s="8">
        <v>79.167326839329363</v>
      </c>
      <c r="I653" s="8">
        <v>86.705433872362676</v>
      </c>
      <c r="J653" s="8">
        <v>63.073965438958453</v>
      </c>
      <c r="K653" s="8">
        <v>36.354481336985543</v>
      </c>
      <c r="L653" s="8">
        <v>0.95138898831475238</v>
      </c>
      <c r="M653" s="8">
        <v>74.452335997538114</v>
      </c>
      <c r="N653" s="8">
        <v>106.70428512656309</v>
      </c>
      <c r="O653" s="8">
        <v>288.85599999999999</v>
      </c>
      <c r="P653" s="8">
        <v>282.25700000000001</v>
      </c>
      <c r="Q653" s="8">
        <v>101.127</v>
      </c>
      <c r="R653" s="8">
        <v>-0.56511</v>
      </c>
      <c r="S653" s="8">
        <v>0.193606</v>
      </c>
      <c r="T653" s="7">
        <f>C653-D653</f>
        <v>31.149015064884111</v>
      </c>
      <c r="U653" s="8">
        <f>D653/C653</f>
        <v>0.47598098307509318</v>
      </c>
      <c r="V653" s="8">
        <v>63.777670173686886</v>
      </c>
      <c r="W653" s="8">
        <v>36.083407821573303</v>
      </c>
      <c r="X653" s="8">
        <v>1.0747732113990836</v>
      </c>
      <c r="Y653" s="8">
        <v>72.910713708284248</v>
      </c>
      <c r="Z653" s="8">
        <v>99.471583061667303</v>
      </c>
      <c r="AA653" s="7">
        <v>63.425817806322669</v>
      </c>
      <c r="AB653" s="7">
        <v>36.218944579279423</v>
      </c>
      <c r="AC653" s="7">
        <v>1.013081099856918</v>
      </c>
      <c r="AD653" s="7">
        <v>73.681524852911181</v>
      </c>
      <c r="AE653" s="7">
        <v>103.0879340941152</v>
      </c>
      <c r="AF653" s="8">
        <v>62.03751086796008</v>
      </c>
      <c r="AG653" s="8">
        <v>36.026334619158533</v>
      </c>
      <c r="AH653" s="8">
        <v>0.94744451400915131</v>
      </c>
      <c r="AI653" s="8">
        <v>75.640226674366048</v>
      </c>
      <c r="AJ653" s="8">
        <v>102.961809967797</v>
      </c>
      <c r="AK653" s="8">
        <v>63.217680658513302</v>
      </c>
      <c r="AL653" s="8">
        <v>36.399982296620742</v>
      </c>
      <c r="AM653" s="8">
        <v>0.95193593075364014</v>
      </c>
      <c r="AN653" s="8">
        <v>74.287622584905805</v>
      </c>
      <c r="AO653" s="8">
        <v>107.2232182801915</v>
      </c>
      <c r="AP653" s="8">
        <v>63.948353484007932</v>
      </c>
      <c r="AQ653" s="8">
        <v>36.544686577655938</v>
      </c>
      <c r="AR653" s="8">
        <v>1.0349828349092649</v>
      </c>
      <c r="AS653" s="8">
        <v>73.250267784585503</v>
      </c>
      <c r="AT653" s="8">
        <v>102.2459061894841</v>
      </c>
      <c r="AU653" s="8">
        <v>58.307494053896193</v>
      </c>
      <c r="AV653" s="8">
        <v>34.312104804195258</v>
      </c>
      <c r="AW653" s="8">
        <v>0.96421962195889321</v>
      </c>
      <c r="AX653" s="8">
        <v>71.980935190501029</v>
      </c>
      <c r="AY653" s="8">
        <v>104.6235707841527</v>
      </c>
      <c r="AZ653" s="8">
        <v>62.716058330348552</v>
      </c>
      <c r="BA653" s="8">
        <v>35.662381924442307</v>
      </c>
      <c r="BB653" s="8">
        <v>0.97049650530518028</v>
      </c>
      <c r="BC653" s="8">
        <v>74.450059457327825</v>
      </c>
      <c r="BD653" s="8">
        <v>107.575376718491</v>
      </c>
      <c r="BE653" s="8">
        <v>54.620528509245773</v>
      </c>
      <c r="BF653" s="8">
        <v>37.246962802967268</v>
      </c>
      <c r="BG653" s="8">
        <v>0.9513296709036122</v>
      </c>
      <c r="BH653" s="8">
        <v>72.372374483084414</v>
      </c>
      <c r="BI653" s="8">
        <v>97.886650010728587</v>
      </c>
    </row>
    <row r="654" spans="1:61" s="5" customFormat="1" x14ac:dyDescent="0.15">
      <c r="A654" s="7">
        <v>2021</v>
      </c>
      <c r="B654" s="7">
        <v>27</v>
      </c>
      <c r="C654" s="7">
        <v>59.493967332378638</v>
      </c>
      <c r="D654" s="7">
        <v>20.272987931159999</v>
      </c>
      <c r="E654" s="8">
        <v>34.031044342310622</v>
      </c>
      <c r="F654" s="8">
        <v>29.189165437492491</v>
      </c>
      <c r="G654" s="8">
        <v>0.88225994237265448</v>
      </c>
      <c r="H654" s="8">
        <v>60.639369271399289</v>
      </c>
      <c r="I654" s="8">
        <v>50.781036689092183</v>
      </c>
      <c r="J654" s="8">
        <v>36.603949657755592</v>
      </c>
      <c r="K654" s="8">
        <v>32.168882934665241</v>
      </c>
      <c r="L654" s="8">
        <v>0.84597348277121109</v>
      </c>
      <c r="M654" s="8">
        <v>60.280870905879873</v>
      </c>
      <c r="N654" s="8">
        <v>55.010008992298438</v>
      </c>
      <c r="O654" s="8">
        <v>285.08300000000003</v>
      </c>
      <c r="P654" s="8">
        <v>276.685</v>
      </c>
      <c r="Q654" s="8">
        <v>99.732500000000002</v>
      </c>
      <c r="R654" s="8">
        <v>0.28837400000000002</v>
      </c>
      <c r="S654" s="8">
        <v>-8.3174999999999999E-2</v>
      </c>
      <c r="T654" s="7">
        <f>C654-D654</f>
        <v>39.220979401218642</v>
      </c>
      <c r="U654" s="8">
        <f>D654/C654</f>
        <v>0.34075703537973256</v>
      </c>
      <c r="V654" s="8">
        <v>35.618782677912392</v>
      </c>
      <c r="W654" s="8">
        <v>32.947543172729034</v>
      </c>
      <c r="X654" s="8">
        <v>0.8330462625147903</v>
      </c>
      <c r="Y654" s="8">
        <v>62.171101101935172</v>
      </c>
      <c r="Z654" s="8">
        <v>54.396880212499738</v>
      </c>
      <c r="AA654" s="7">
        <v>36.111366167833992</v>
      </c>
      <c r="AB654" s="7">
        <v>32.558213053697138</v>
      </c>
      <c r="AC654" s="7">
        <v>0.8395098726430007</v>
      </c>
      <c r="AD654" s="7">
        <v>61.225986003907522</v>
      </c>
      <c r="AE654" s="7">
        <v>54.703444602399088</v>
      </c>
      <c r="AF654" s="8">
        <v>36.018378142633367</v>
      </c>
      <c r="AG654" s="8">
        <v>32.410039377205607</v>
      </c>
      <c r="AH654" s="8">
        <v>0.84968003452134577</v>
      </c>
      <c r="AI654" s="8">
        <v>59.631589266586182</v>
      </c>
      <c r="AJ654" s="8">
        <v>49.928988048264401</v>
      </c>
      <c r="AK654" s="8">
        <v>36.668513225971218</v>
      </c>
      <c r="AL654" s="8">
        <v>32.142293662430333</v>
      </c>
      <c r="AM654" s="8">
        <v>0.84556480816770907</v>
      </c>
      <c r="AN654" s="8">
        <v>60.352458984068647</v>
      </c>
      <c r="AO654" s="8">
        <v>55.570228937861771</v>
      </c>
      <c r="AP654" s="8">
        <v>36.346801472487293</v>
      </c>
      <c r="AQ654" s="8">
        <v>33.304493986875279</v>
      </c>
      <c r="AR654" s="8">
        <v>0.83024183786005501</v>
      </c>
      <c r="AS654" s="8">
        <v>61.326934567450991</v>
      </c>
      <c r="AT654" s="8">
        <v>54.38393823422323</v>
      </c>
      <c r="AU654" s="8">
        <v>33.976199581615852</v>
      </c>
      <c r="AV654" s="8">
        <v>29.314685953025901</v>
      </c>
      <c r="AW654" s="8">
        <v>0.90003175391373669</v>
      </c>
      <c r="AX654" s="8">
        <v>62.289124080054741</v>
      </c>
      <c r="AY654" s="8">
        <v>55.094081330879767</v>
      </c>
      <c r="AZ654" s="8">
        <v>37.288785336081588</v>
      </c>
      <c r="BA654" s="8">
        <v>32.416053528211727</v>
      </c>
      <c r="BB654" s="8">
        <v>0.84400359100009725</v>
      </c>
      <c r="BC654" s="8">
        <v>60.854640282965718</v>
      </c>
      <c r="BD654" s="8">
        <v>57.986924154028372</v>
      </c>
      <c r="BE654" s="8">
        <v>40.880175546750408</v>
      </c>
      <c r="BF654" s="8">
        <v>33.042594140380977</v>
      </c>
      <c r="BG654" s="8">
        <v>0.8123638466847759</v>
      </c>
      <c r="BH654" s="8">
        <v>61.919826881730138</v>
      </c>
      <c r="BI654" s="8">
        <v>77.622695136437457</v>
      </c>
    </row>
    <row r="655" spans="1:61" s="5" customFormat="1" x14ac:dyDescent="0.15">
      <c r="A655" s="7">
        <v>2020</v>
      </c>
      <c r="B655" s="7">
        <v>81</v>
      </c>
      <c r="C655" s="7">
        <v>51.237239081741123</v>
      </c>
      <c r="D655" s="7">
        <v>4.9818323487162681</v>
      </c>
      <c r="E655" s="8">
        <v>44.200831181585379</v>
      </c>
      <c r="F655" s="8">
        <v>36.090051749705992</v>
      </c>
      <c r="G655" s="8">
        <v>0.88326914553781588</v>
      </c>
      <c r="H655" s="8">
        <v>66.362090998855706</v>
      </c>
      <c r="I655" s="8">
        <v>67.15603209784733</v>
      </c>
      <c r="J655" s="8">
        <v>37.090791186887067</v>
      </c>
      <c r="K655" s="8">
        <v>30.615389291581099</v>
      </c>
      <c r="L655" s="8">
        <v>0.91357137206402106</v>
      </c>
      <c r="M655" s="8">
        <v>60.182933503920573</v>
      </c>
      <c r="N655" s="8">
        <v>80.282971405691555</v>
      </c>
      <c r="O655" s="8">
        <v>279.05</v>
      </c>
      <c r="P655" s="8">
        <v>266.495</v>
      </c>
      <c r="Q655" s="8">
        <v>86.549000000000007</v>
      </c>
      <c r="R655" s="8">
        <v>1.8250500000000001</v>
      </c>
      <c r="S655" s="8">
        <v>0.28952800000000001</v>
      </c>
      <c r="T655" s="7">
        <f>C655-D655</f>
        <v>46.255406733024856</v>
      </c>
      <c r="U655" s="8">
        <f>D655/C655</f>
        <v>9.7230694666598297E-2</v>
      </c>
      <c r="V655" s="8">
        <v>29.881713391160098</v>
      </c>
      <c r="W655" s="8">
        <v>23.898851808762561</v>
      </c>
      <c r="X655" s="8">
        <v>0.5338732357478575</v>
      </c>
      <c r="Y655" s="8">
        <v>64.667736599418873</v>
      </c>
      <c r="Z655" s="8">
        <v>52.412905031790629</v>
      </c>
      <c r="AA655" s="7">
        <v>33.486252289023582</v>
      </c>
      <c r="AB655" s="7">
        <v>27.25712055017183</v>
      </c>
      <c r="AC655" s="7">
        <v>0.72372230390593928</v>
      </c>
      <c r="AD655" s="7">
        <v>62.425335051669727</v>
      </c>
      <c r="AE655" s="7">
        <v>66.347938218741092</v>
      </c>
      <c r="AF655" s="8">
        <v>40.080226379655898</v>
      </c>
      <c r="AG655" s="8">
        <v>34.921049857117403</v>
      </c>
      <c r="AH655" s="8">
        <v>1.070521427674519</v>
      </c>
      <c r="AI655" s="8">
        <v>58.500682036913922</v>
      </c>
      <c r="AJ655" s="8">
        <v>83.259054859948876</v>
      </c>
      <c r="AK655" s="8">
        <v>36.929947843207003</v>
      </c>
      <c r="AL655" s="8">
        <v>30.383727858081091</v>
      </c>
      <c r="AM655" s="8">
        <v>0.90512684321247505</v>
      </c>
      <c r="AN655" s="8">
        <v>60.273445233868237</v>
      </c>
      <c r="AO655" s="8">
        <v>80.122846437934598</v>
      </c>
      <c r="AP655" s="8">
        <v>29.852464419081929</v>
      </c>
      <c r="AQ655" s="8">
        <v>24.78450977897268</v>
      </c>
      <c r="AR655" s="8">
        <v>0.71181333428442894</v>
      </c>
      <c r="AS655" s="8">
        <v>65.181408182851925</v>
      </c>
      <c r="AT655" s="8">
        <v>64.684697800271181</v>
      </c>
      <c r="AU655" s="8">
        <v>33.941887932200721</v>
      </c>
      <c r="AV655" s="8">
        <v>27.50951657807418</v>
      </c>
      <c r="AW655" s="8">
        <v>0.71590159900093975</v>
      </c>
      <c r="AX655" s="8">
        <v>61.995190293730168</v>
      </c>
      <c r="AY655" s="8">
        <v>66.095032889723797</v>
      </c>
      <c r="AZ655" s="8">
        <v>37.673417734052052</v>
      </c>
      <c r="BA655" s="8">
        <v>31.862022017478338</v>
      </c>
      <c r="BB655" s="8">
        <v>0.95975943700864197</v>
      </c>
      <c r="BC655" s="8">
        <v>59.895925983378298</v>
      </c>
      <c r="BD655" s="8">
        <v>83.190265878311465</v>
      </c>
      <c r="BE655" s="8">
        <v>34.014838032875552</v>
      </c>
      <c r="BF655" s="8">
        <v>28.74179881641513</v>
      </c>
      <c r="BG655" s="8">
        <v>0.76536595121797857</v>
      </c>
      <c r="BH655" s="8">
        <v>63.114398957676961</v>
      </c>
      <c r="BI655" s="8">
        <v>71.278885317657199</v>
      </c>
    </row>
    <row r="656" spans="1:61" s="5" customFormat="1" x14ac:dyDescent="0.15">
      <c r="A656" s="7">
        <v>2017</v>
      </c>
      <c r="B656" s="7">
        <v>26</v>
      </c>
      <c r="C656" s="7">
        <v>33.729699790692869</v>
      </c>
      <c r="D656" s="7">
        <v>16.017064199576041</v>
      </c>
      <c r="E656" s="8">
        <v>42.361413764036541</v>
      </c>
      <c r="F656" s="8">
        <v>33.575125558390738</v>
      </c>
      <c r="G656" s="8">
        <v>0.88485012128141061</v>
      </c>
      <c r="H656" s="8">
        <v>76.098727066685186</v>
      </c>
      <c r="I656" s="8">
        <v>72.541168538304092</v>
      </c>
      <c r="J656" s="8">
        <v>40.068912852173717</v>
      </c>
      <c r="K656" s="8">
        <v>28.017004670004109</v>
      </c>
      <c r="L656" s="8">
        <v>0.87306547922960331</v>
      </c>
      <c r="M656" s="8">
        <v>77.582873998430614</v>
      </c>
      <c r="N656" s="8">
        <v>79.586771563096704</v>
      </c>
      <c r="O656" s="8">
        <v>286.70299999999997</v>
      </c>
      <c r="P656" s="8">
        <v>280.36799999999999</v>
      </c>
      <c r="Q656" s="8">
        <v>101.279</v>
      </c>
      <c r="R656" s="8">
        <v>0.31733699999999998</v>
      </c>
      <c r="S656" s="8">
        <v>3.2488700000000002E-2</v>
      </c>
      <c r="T656" s="7">
        <f>C656-D656</f>
        <v>17.712635591116829</v>
      </c>
      <c r="U656" s="8">
        <f>D656/C656</f>
        <v>0.4748653056199354</v>
      </c>
      <c r="V656" s="8">
        <v>45.724191811375057</v>
      </c>
      <c r="W656" s="8">
        <v>34.172661906809935</v>
      </c>
      <c r="X656" s="8">
        <v>0.98160503968675616</v>
      </c>
      <c r="Y656" s="8">
        <v>75.16007858932187</v>
      </c>
      <c r="Z656" s="8">
        <v>79.018756153246272</v>
      </c>
      <c r="AA656" s="7">
        <v>42.896552331774387</v>
      </c>
      <c r="AB656" s="7">
        <v>31.09483328840702</v>
      </c>
      <c r="AC656" s="7">
        <v>0.92733525945817974</v>
      </c>
      <c r="AD656" s="7">
        <v>76.371476293876242</v>
      </c>
      <c r="AE656" s="7">
        <v>79.302763858171488</v>
      </c>
      <c r="AF656" s="8">
        <v>39.667708993387258</v>
      </c>
      <c r="AG656" s="8">
        <v>27.711171509811521</v>
      </c>
      <c r="AH656" s="8">
        <v>0.88591068922390759</v>
      </c>
      <c r="AI656" s="8">
        <v>78.199291723177737</v>
      </c>
      <c r="AJ656" s="8">
        <v>77.35717188168185</v>
      </c>
      <c r="AK656" s="8">
        <v>40.107973717378037</v>
      </c>
      <c r="AL656" s="8">
        <v>28.046780325406409</v>
      </c>
      <c r="AM656" s="8">
        <v>0.87181488054985368</v>
      </c>
      <c r="AN656" s="8">
        <v>77.522860094953373</v>
      </c>
      <c r="AO656" s="8">
        <v>79.803843484784537</v>
      </c>
      <c r="AP656" s="8">
        <v>43.776737918106917</v>
      </c>
      <c r="AQ656" s="8">
        <v>31.66238756787391</v>
      </c>
      <c r="AR656" s="8">
        <v>0.96414607532661833</v>
      </c>
      <c r="AS656" s="8">
        <v>75.727537562211978</v>
      </c>
      <c r="AT656" s="8">
        <v>79.892342421865294</v>
      </c>
      <c r="AU656" s="8">
        <v>45.194560543258213</v>
      </c>
      <c r="AV656" s="8">
        <v>32.409886892698637</v>
      </c>
      <c r="AW656" s="8">
        <v>1.0045355776919349</v>
      </c>
      <c r="AX656" s="8">
        <v>75.111159370234972</v>
      </c>
      <c r="AY656" s="8">
        <v>76.620999769934514</v>
      </c>
      <c r="AZ656" s="8">
        <v>41.361896134877249</v>
      </c>
      <c r="BA656" s="8">
        <v>28.176723212871622</v>
      </c>
      <c r="BB656" s="8">
        <v>0.86928962918279395</v>
      </c>
      <c r="BC656" s="8">
        <v>77.796043957159114</v>
      </c>
      <c r="BD656" s="8">
        <v>85.378740911313855</v>
      </c>
      <c r="BE656" s="8">
        <v>45.296768355520733</v>
      </c>
      <c r="BF656" s="8">
        <v>33.251659468864972</v>
      </c>
      <c r="BG656" s="8">
        <v>0.83383761190710737</v>
      </c>
      <c r="BH656" s="8">
        <v>74.325586448436439</v>
      </c>
      <c r="BI656" s="8">
        <v>82.498241273630398</v>
      </c>
    </row>
    <row r="657" spans="1:61" s="5" customFormat="1" x14ac:dyDescent="0.15">
      <c r="A657" s="7">
        <v>2017</v>
      </c>
      <c r="B657" s="7">
        <v>60</v>
      </c>
      <c r="C657" s="7">
        <v>8.9589566136864374</v>
      </c>
      <c r="D657" s="7">
        <v>7.9456646127812851</v>
      </c>
      <c r="E657" s="8">
        <v>38.465623970726043</v>
      </c>
      <c r="F657" s="8">
        <v>18.11390680779617</v>
      </c>
      <c r="G657" s="8">
        <v>0.88774697651440015</v>
      </c>
      <c r="H657" s="8">
        <v>70.500976820135804</v>
      </c>
      <c r="I657" s="8">
        <v>57.738656889945773</v>
      </c>
      <c r="J657" s="8">
        <v>46.725332255325988</v>
      </c>
      <c r="K657" s="8">
        <v>20.208450285514299</v>
      </c>
      <c r="L657" s="8">
        <v>0.99961537346612606</v>
      </c>
      <c r="M657" s="8">
        <v>66.846718827626091</v>
      </c>
      <c r="N657" s="8">
        <v>68.87899759928645</v>
      </c>
      <c r="O657" s="8">
        <v>291.10399999999998</v>
      </c>
      <c r="P657" s="8">
        <v>286.82100000000003</v>
      </c>
      <c r="Q657" s="8">
        <v>100.29</v>
      </c>
      <c r="R657" s="8">
        <v>-0.39272600000000002</v>
      </c>
      <c r="S657" s="8">
        <v>-0.63324499999999995</v>
      </c>
      <c r="T657" s="7">
        <f>C657-D657</f>
        <v>1.0132920009051523</v>
      </c>
      <c r="U657" s="8">
        <f>D657/C657</f>
        <v>0.88689620403371927</v>
      </c>
      <c r="V657" s="8">
        <v>40.937803715215118</v>
      </c>
      <c r="W657" s="8">
        <v>19.817880444384659</v>
      </c>
      <c r="X657" s="8">
        <v>0.83867981757203613</v>
      </c>
      <c r="Y657" s="8">
        <v>67.407607139508542</v>
      </c>
      <c r="Z657" s="8">
        <v>60.539295314910859</v>
      </c>
      <c r="AA657" s="7">
        <v>43.831567985270553</v>
      </c>
      <c r="AB657" s="7">
        <v>20.013165364949479</v>
      </c>
      <c r="AC657" s="7">
        <v>0.9191475955190811</v>
      </c>
      <c r="AD657" s="7">
        <v>67.127162983567317</v>
      </c>
      <c r="AE657" s="7">
        <v>64.709146457098655</v>
      </c>
      <c r="AF657" s="8">
        <v>47.321567611868851</v>
      </c>
      <c r="AG657" s="8">
        <v>21.33777287753259</v>
      </c>
      <c r="AH657" s="8">
        <v>1.01242803828989</v>
      </c>
      <c r="AI657" s="8">
        <v>67.028913892385731</v>
      </c>
      <c r="AJ657" s="8">
        <v>68.849627441112389</v>
      </c>
      <c r="AK657" s="8">
        <v>46.631177300838978</v>
      </c>
      <c r="AL657" s="8">
        <v>20.030112459543751</v>
      </c>
      <c r="AM657" s="8">
        <v>0.99759205186987987</v>
      </c>
      <c r="AN657" s="8">
        <v>66.817947357028189</v>
      </c>
      <c r="AO657" s="8">
        <v>68.88363560989049</v>
      </c>
      <c r="AP657" s="8">
        <v>47.333867640219182</v>
      </c>
      <c r="AQ657" s="8">
        <v>20.28917105675907</v>
      </c>
      <c r="AR657" s="8">
        <v>0.91489815016707765</v>
      </c>
      <c r="AS657" s="8">
        <v>65.865185869941129</v>
      </c>
      <c r="AT657" s="8">
        <v>69.316934599220616</v>
      </c>
      <c r="AU657" s="8">
        <v>40.892213995494522</v>
      </c>
      <c r="AV657" s="8">
        <v>19.642511801044179</v>
      </c>
      <c r="AW657" s="8">
        <v>0.92733309467793024</v>
      </c>
      <c r="AX657" s="8">
        <v>65.809299902337969</v>
      </c>
      <c r="AY657" s="8">
        <v>62.411334773968903</v>
      </c>
      <c r="AZ657" s="8">
        <v>46.117828440131753</v>
      </c>
      <c r="BA657" s="8">
        <v>21.719535187401981</v>
      </c>
      <c r="BB657" s="8">
        <v>1.0713300472110781</v>
      </c>
      <c r="BC657" s="8">
        <v>66.712523972196934</v>
      </c>
      <c r="BD657" s="8">
        <v>69.386087811878852</v>
      </c>
      <c r="BE657" s="8">
        <v>42.704699725115923</v>
      </c>
      <c r="BF657" s="8">
        <v>25.138400011016099</v>
      </c>
      <c r="BG657" s="8">
        <v>0.72801384224650034</v>
      </c>
      <c r="BH657" s="8">
        <v>63.028355371777153</v>
      </c>
      <c r="BI657" s="8">
        <v>68.58106328924265</v>
      </c>
    </row>
    <row r="658" spans="1:61" s="5" customFormat="1" x14ac:dyDescent="0.15">
      <c r="A658" s="7">
        <v>2019</v>
      </c>
      <c r="B658" s="7">
        <v>114</v>
      </c>
      <c r="C658" s="7">
        <v>85.599704616562832</v>
      </c>
      <c r="D658" s="7">
        <v>40.290007886448187</v>
      </c>
      <c r="E658" s="8">
        <v>51.488666794142937</v>
      </c>
      <c r="F658" s="8">
        <v>35.110620267233202</v>
      </c>
      <c r="G658" s="8">
        <v>0.88912305544129144</v>
      </c>
      <c r="H658" s="8">
        <v>71.623876383452355</v>
      </c>
      <c r="I658" s="8">
        <v>85.469012323634729</v>
      </c>
      <c r="J658" s="8">
        <v>54.547798158329883</v>
      </c>
      <c r="K658" s="8">
        <v>36.754300718197847</v>
      </c>
      <c r="L658" s="8">
        <v>0.93593862810631556</v>
      </c>
      <c r="M658" s="8">
        <v>71.319914025398305</v>
      </c>
      <c r="N658" s="8">
        <v>98.306981522886787</v>
      </c>
      <c r="O658" s="8">
        <v>287.98399999999998</v>
      </c>
      <c r="P658" s="8">
        <v>278.43799999999999</v>
      </c>
      <c r="Q658" s="8">
        <v>101.577</v>
      </c>
      <c r="R658" s="8">
        <v>-6.4922400000000005E-2</v>
      </c>
      <c r="S658" s="8">
        <v>0.329233</v>
      </c>
      <c r="T658" s="7">
        <f>C658-D658</f>
        <v>45.309696730114645</v>
      </c>
      <c r="U658" s="8">
        <f>D658/C658</f>
        <v>0.47067928641721513</v>
      </c>
      <c r="V658" s="8">
        <v>52.91950394851473</v>
      </c>
      <c r="W658" s="8">
        <v>38.985861907217448</v>
      </c>
      <c r="X658" s="8">
        <v>0.96332474517531397</v>
      </c>
      <c r="Y658" s="8">
        <v>69.905011253258465</v>
      </c>
      <c r="Z658" s="8">
        <v>81.316986769966149</v>
      </c>
      <c r="AA658" s="7">
        <v>53.733651053422307</v>
      </c>
      <c r="AB658" s="7">
        <v>37.870081312707647</v>
      </c>
      <c r="AC658" s="7">
        <v>0.94963168664081476</v>
      </c>
      <c r="AD658" s="7">
        <v>70.612462639328385</v>
      </c>
      <c r="AE658" s="7">
        <v>89.811984146426468</v>
      </c>
      <c r="AF658" s="8">
        <v>54.499071726656162</v>
      </c>
      <c r="AG658" s="8">
        <v>35.088564633914423</v>
      </c>
      <c r="AH658" s="8">
        <v>0.94142394877175106</v>
      </c>
      <c r="AI658" s="8">
        <v>72.345772038755001</v>
      </c>
      <c r="AJ658" s="8">
        <v>99.506811145172691</v>
      </c>
      <c r="AK658" s="8">
        <v>54.551692953099582</v>
      </c>
      <c r="AL658" s="8">
        <v>36.887446117233573</v>
      </c>
      <c r="AM658" s="8">
        <v>0.93550017617162484</v>
      </c>
      <c r="AN658" s="8">
        <v>71.237915276718297</v>
      </c>
      <c r="AO658" s="8">
        <v>98.211076898293797</v>
      </c>
      <c r="AP658" s="8">
        <v>55.336068056904928</v>
      </c>
      <c r="AQ658" s="8">
        <v>38.640960303231488</v>
      </c>
      <c r="AR658" s="8">
        <v>0.9636083443242689</v>
      </c>
      <c r="AS658" s="8">
        <v>70.138474582876825</v>
      </c>
      <c r="AT658" s="8">
        <v>91.188900207179927</v>
      </c>
      <c r="AU658" s="8">
        <v>55.610495620834953</v>
      </c>
      <c r="AV658" s="8">
        <v>35.40237212489167</v>
      </c>
      <c r="AW658" s="8">
        <v>0.92269024229940544</v>
      </c>
      <c r="AX658" s="8">
        <v>71.811214109391301</v>
      </c>
      <c r="AY658" s="8">
        <v>102.95252584718671</v>
      </c>
      <c r="AZ658" s="8">
        <v>53.361386293533137</v>
      </c>
      <c r="BA658" s="8">
        <v>36.757798311760517</v>
      </c>
      <c r="BB658" s="8">
        <v>0.91239224753434078</v>
      </c>
      <c r="BC658" s="8">
        <v>71.244767316523721</v>
      </c>
      <c r="BD658" s="8">
        <v>95.769109404541609</v>
      </c>
      <c r="BE658" s="8">
        <v>48.853170041610198</v>
      </c>
      <c r="BF658" s="8">
        <v>38.512272638370312</v>
      </c>
      <c r="BG658" s="8">
        <v>0.9293208434256538</v>
      </c>
      <c r="BH658" s="8">
        <v>70.711855034968835</v>
      </c>
      <c r="BI658" s="8">
        <v>80.485006324164928</v>
      </c>
    </row>
    <row r="659" spans="1:61" s="5" customFormat="1" x14ac:dyDescent="0.15">
      <c r="A659" s="7">
        <v>2018</v>
      </c>
      <c r="B659" s="7">
        <v>131</v>
      </c>
      <c r="C659" s="7">
        <v>50.526745335613164</v>
      </c>
      <c r="D659" s="7">
        <v>0.78564359679951057</v>
      </c>
      <c r="E659" s="8">
        <v>50.687380993219527</v>
      </c>
      <c r="F659" s="8">
        <v>31.11323397782915</v>
      </c>
      <c r="G659" s="8">
        <v>0.89450544974233126</v>
      </c>
      <c r="H659" s="8">
        <v>78.138834014500986</v>
      </c>
      <c r="I659" s="8">
        <v>87.032919385406373</v>
      </c>
      <c r="J659" s="8">
        <v>62.262787541376809</v>
      </c>
      <c r="K659" s="8">
        <v>39.573807863780431</v>
      </c>
      <c r="L659" s="8">
        <v>1.065891272218503</v>
      </c>
      <c r="M659" s="8">
        <v>71.616484254265387</v>
      </c>
      <c r="N659" s="8">
        <v>114.8627181786284</v>
      </c>
      <c r="O659" s="8">
        <v>286.74799999999999</v>
      </c>
      <c r="P659" s="8">
        <v>277.09899999999999</v>
      </c>
      <c r="Q659" s="8">
        <v>98.0154</v>
      </c>
      <c r="R659" s="8">
        <v>4.3892E-2</v>
      </c>
      <c r="S659" s="8">
        <v>0.13525999999999999</v>
      </c>
      <c r="T659" s="7">
        <f>C659-D659</f>
        <v>49.741101738813654</v>
      </c>
      <c r="U659" s="8">
        <f>D659/C659</f>
        <v>1.5549063997315482E-2</v>
      </c>
      <c r="V659" s="8">
        <v>62.899131530085171</v>
      </c>
      <c r="W659" s="8">
        <v>39.62991749002677</v>
      </c>
      <c r="X659" s="8">
        <v>1.0017750109655492</v>
      </c>
      <c r="Y659" s="8">
        <v>68.797127364471507</v>
      </c>
      <c r="Z659" s="8">
        <v>102.8100939538042</v>
      </c>
      <c r="AA659" s="7">
        <v>62.58095953573099</v>
      </c>
      <c r="AB659" s="7">
        <v>39.6018626769036</v>
      </c>
      <c r="AC659" s="7">
        <v>1.0338331415920261</v>
      </c>
      <c r="AD659" s="7">
        <v>70.206805809368447</v>
      </c>
      <c r="AE659" s="7">
        <v>108.8364060662163</v>
      </c>
      <c r="AF659" s="8">
        <v>56.438368162086903</v>
      </c>
      <c r="AG659" s="8">
        <v>36.071260143661682</v>
      </c>
      <c r="AH659" s="8">
        <v>1.0379457183939089</v>
      </c>
      <c r="AI659" s="8">
        <v>75.497216916755818</v>
      </c>
      <c r="AJ659" s="8">
        <v>106.3411177481981</v>
      </c>
      <c r="AK659" s="8">
        <v>62.856448122836063</v>
      </c>
      <c r="AL659" s="8">
        <v>39.930809030885271</v>
      </c>
      <c r="AM659" s="8">
        <v>1.068739654632672</v>
      </c>
      <c r="AN659" s="8">
        <v>71.220936156013082</v>
      </c>
      <c r="AO659" s="8">
        <v>115.73129201183841</v>
      </c>
      <c r="AP659" s="8">
        <v>65.145919114434562</v>
      </c>
      <c r="AQ659" s="8">
        <v>41.171111229106103</v>
      </c>
      <c r="AR659" s="8">
        <v>1.0462944010873161</v>
      </c>
      <c r="AS659" s="8">
        <v>68.333861746271978</v>
      </c>
      <c r="AT659" s="8">
        <v>111.5379831960575</v>
      </c>
      <c r="AU659" s="8">
        <v>53.453635069433851</v>
      </c>
      <c r="AV659" s="8">
        <v>35.397593829140916</v>
      </c>
      <c r="AW659" s="8">
        <v>0.98749355870019684</v>
      </c>
      <c r="AX659" s="8">
        <v>72.690108220164177</v>
      </c>
      <c r="AY659" s="8">
        <v>92.401488145974142</v>
      </c>
      <c r="AZ659" s="8">
        <v>62.798640203569953</v>
      </c>
      <c r="BA659" s="8">
        <v>39.875175668957759</v>
      </c>
      <c r="BB659" s="8">
        <v>1.069554829763629</v>
      </c>
      <c r="BC659" s="8">
        <v>71.527729726647337</v>
      </c>
      <c r="BD659" s="8">
        <v>114.971389612408</v>
      </c>
      <c r="BE659" s="8">
        <v>55.549177938973052</v>
      </c>
      <c r="BF659" s="8">
        <v>40.22586458462429</v>
      </c>
      <c r="BG659" s="8">
        <v>1.027764762583512</v>
      </c>
      <c r="BH659" s="8">
        <v>70.321075018612987</v>
      </c>
      <c r="BI659" s="8">
        <v>106.8805724640585</v>
      </c>
    </row>
    <row r="660" spans="1:61" s="5" customFormat="1" x14ac:dyDescent="0.15">
      <c r="A660" s="7">
        <v>2018</v>
      </c>
      <c r="B660" s="7">
        <v>101</v>
      </c>
      <c r="C660" s="7">
        <v>8.43575013144814</v>
      </c>
      <c r="D660" s="7">
        <v>0.22369225195273129</v>
      </c>
      <c r="E660" s="8">
        <v>58.360771781041322</v>
      </c>
      <c r="F660" s="8">
        <v>30.752470328107279</v>
      </c>
      <c r="G660" s="8">
        <v>0.89844620462865732</v>
      </c>
      <c r="H660" s="8">
        <v>75.613057541100531</v>
      </c>
      <c r="I660" s="8">
        <v>90.864359620240577</v>
      </c>
      <c r="J660" s="8">
        <v>60.823627697531514</v>
      </c>
      <c r="K660" s="8">
        <v>33.726162768200361</v>
      </c>
      <c r="L660" s="8">
        <v>0.91485933628467719</v>
      </c>
      <c r="M660" s="8">
        <v>76.192014907776695</v>
      </c>
      <c r="N660" s="8">
        <v>104.70437332048741</v>
      </c>
      <c r="O660" s="8">
        <v>289.34300000000002</v>
      </c>
      <c r="P660" s="8">
        <v>282.03399999999999</v>
      </c>
      <c r="Q660" s="8">
        <v>101.05800000000001</v>
      </c>
      <c r="R660" s="8">
        <v>-0.55809200000000003</v>
      </c>
      <c r="S660" s="8">
        <v>9.4852500000000006E-2</v>
      </c>
      <c r="T660" s="7">
        <f>C660-D660</f>
        <v>8.2120578794954096</v>
      </c>
      <c r="U660" s="8">
        <f>D660/C660</f>
        <v>2.6517173750656209E-2</v>
      </c>
      <c r="V660" s="8">
        <v>65.7855845210442</v>
      </c>
      <c r="W660" s="8">
        <v>38.558954955752874</v>
      </c>
      <c r="X660" s="8">
        <v>1.1677481734953488</v>
      </c>
      <c r="Y660" s="8">
        <v>70.69073335399554</v>
      </c>
      <c r="Z660" s="8">
        <v>106.26861074227</v>
      </c>
      <c r="AA660" s="7">
        <v>63.304606109287853</v>
      </c>
      <c r="AB660" s="7">
        <v>36.142558861976617</v>
      </c>
      <c r="AC660" s="7">
        <v>1.041303754890013</v>
      </c>
      <c r="AD660" s="7">
        <v>73.441374130886118</v>
      </c>
      <c r="AE660" s="7">
        <v>105.4864920313787</v>
      </c>
      <c r="AF660" s="8">
        <v>60.733457620184382</v>
      </c>
      <c r="AG660" s="8">
        <v>32.244536111964337</v>
      </c>
      <c r="AH660" s="8">
        <v>0.87012847581493991</v>
      </c>
      <c r="AI660" s="8">
        <v>77.712926993227327</v>
      </c>
      <c r="AJ660" s="8">
        <v>104.1078251300269</v>
      </c>
      <c r="AK660" s="8">
        <v>60.83626519533869</v>
      </c>
      <c r="AL660" s="8">
        <v>33.933815397211397</v>
      </c>
      <c r="AM660" s="8">
        <v>0.92112844647878223</v>
      </c>
      <c r="AN660" s="8">
        <v>75.978856355513045</v>
      </c>
      <c r="AO660" s="8">
        <v>104.7879806176155</v>
      </c>
      <c r="AP660" s="8">
        <v>64.044016142898855</v>
      </c>
      <c r="AQ660" s="8">
        <v>37.075981580183708</v>
      </c>
      <c r="AR660" s="8">
        <v>1.0799298597887801</v>
      </c>
      <c r="AS660" s="8">
        <v>72.607412794123135</v>
      </c>
      <c r="AT660" s="8">
        <v>105.7976722687858</v>
      </c>
      <c r="AU660" s="8">
        <v>56.110240237051713</v>
      </c>
      <c r="AV660" s="8">
        <v>33.083874156825949</v>
      </c>
      <c r="AW660" s="8">
        <v>0.97642541486939882</v>
      </c>
      <c r="AX660" s="8">
        <v>73.63659976163926</v>
      </c>
      <c r="AY660" s="8">
        <v>99.39268927108462</v>
      </c>
      <c r="AZ660" s="8">
        <v>60.420940146357843</v>
      </c>
      <c r="BA660" s="8">
        <v>32.520349245247893</v>
      </c>
      <c r="BB660" s="8">
        <v>0.88996000399222164</v>
      </c>
      <c r="BC660" s="8">
        <v>76.726753495486463</v>
      </c>
      <c r="BD660" s="8">
        <v>104.5156084866783</v>
      </c>
      <c r="BE660" s="8">
        <v>49.613647993465833</v>
      </c>
      <c r="BF660" s="8">
        <v>27.869561885877172</v>
      </c>
      <c r="BG660" s="8">
        <v>0.85525677276298773</v>
      </c>
      <c r="BH660" s="8">
        <v>68.402580007829897</v>
      </c>
      <c r="BI660" s="8">
        <v>90.782465093422957</v>
      </c>
    </row>
    <row r="661" spans="1:61" s="5" customFormat="1" x14ac:dyDescent="0.15">
      <c r="A661" s="7">
        <v>2017</v>
      </c>
      <c r="B661" s="7">
        <v>59</v>
      </c>
      <c r="C661" s="7">
        <v>26.592087478006288</v>
      </c>
      <c r="D661" s="7">
        <v>7.6106964750082158</v>
      </c>
      <c r="E661" s="8">
        <v>42.752707493625273</v>
      </c>
      <c r="F661" s="8">
        <v>31.998611970238599</v>
      </c>
      <c r="G661" s="8">
        <v>0.90025006677671293</v>
      </c>
      <c r="H661" s="8">
        <v>76.047654781003985</v>
      </c>
      <c r="I661" s="8">
        <v>70.936350291449003</v>
      </c>
      <c r="J661" s="8">
        <v>52.963500514919609</v>
      </c>
      <c r="K661" s="8">
        <v>35.156495523641773</v>
      </c>
      <c r="L661" s="8">
        <v>0.79534201447096042</v>
      </c>
      <c r="M661" s="8">
        <v>77.002365690619598</v>
      </c>
      <c r="N661" s="8">
        <v>84.566167230229965</v>
      </c>
      <c r="O661" s="8">
        <v>289.36099999999999</v>
      </c>
      <c r="P661" s="8">
        <v>283.733</v>
      </c>
      <c r="Q661" s="8">
        <v>101.569</v>
      </c>
      <c r="R661" s="8">
        <v>-0.73133199999999998</v>
      </c>
      <c r="S661" s="8">
        <v>8.7040999999999993E-2</v>
      </c>
      <c r="T661" s="7">
        <f>C661-D661</f>
        <v>18.981391002998073</v>
      </c>
      <c r="U661" s="8">
        <f>D661/C661</f>
        <v>0.2862015432712024</v>
      </c>
      <c r="V661" s="8">
        <v>52.389922858689296</v>
      </c>
      <c r="W661" s="8">
        <v>31.871892816844031</v>
      </c>
      <c r="X661" s="8">
        <v>0.81929291741130927</v>
      </c>
      <c r="Y661" s="8">
        <v>74.213930849609369</v>
      </c>
      <c r="Z661" s="8">
        <v>78.965149290419888</v>
      </c>
      <c r="AA661" s="7">
        <v>52.676711686804452</v>
      </c>
      <c r="AB661" s="7">
        <v>33.514194170242902</v>
      </c>
      <c r="AC661" s="7">
        <v>0.80731746594113485</v>
      </c>
      <c r="AD661" s="7">
        <v>75.608148270114484</v>
      </c>
      <c r="AE661" s="7">
        <v>81.765658260324926</v>
      </c>
      <c r="AF661" s="8">
        <v>52.732419856729663</v>
      </c>
      <c r="AG661" s="8">
        <v>35.518039628727607</v>
      </c>
      <c r="AH661" s="8">
        <v>0.81921547079381518</v>
      </c>
      <c r="AI661" s="8">
        <v>76.346701340538559</v>
      </c>
      <c r="AJ661" s="8">
        <v>82.115397816978998</v>
      </c>
      <c r="AK661" s="8">
        <v>52.989257179644767</v>
      </c>
      <c r="AL661" s="8">
        <v>35.116197169071583</v>
      </c>
      <c r="AM661" s="8">
        <v>0.7926810361997586</v>
      </c>
      <c r="AN661" s="8">
        <v>77.075447215354558</v>
      </c>
      <c r="AO661" s="8">
        <v>84.839334385760139</v>
      </c>
      <c r="AP661" s="8">
        <v>52.532713466825832</v>
      </c>
      <c r="AQ661" s="8">
        <v>33.168632923955848</v>
      </c>
      <c r="AR661" s="8">
        <v>0.76557068622522151</v>
      </c>
      <c r="AS661" s="8">
        <v>75.977147597148317</v>
      </c>
      <c r="AT661" s="8">
        <v>81.697662924024584</v>
      </c>
      <c r="AU661" s="8">
        <v>47.663731131870037</v>
      </c>
      <c r="AV661" s="8">
        <v>35.041347034885341</v>
      </c>
      <c r="AW661" s="8">
        <v>0.99130385394412646</v>
      </c>
      <c r="AX661" s="8">
        <v>74.012505670101675</v>
      </c>
      <c r="AY661" s="8">
        <v>76.915265769198911</v>
      </c>
      <c r="AZ661" s="8">
        <v>53.18221145833877</v>
      </c>
      <c r="BA661" s="8">
        <v>35.435811207740457</v>
      </c>
      <c r="BB661" s="8">
        <v>0.80337740365954302</v>
      </c>
      <c r="BC661" s="8">
        <v>76.342221325077801</v>
      </c>
      <c r="BD661" s="8">
        <v>85.624319472386546</v>
      </c>
      <c r="BE661" s="8"/>
      <c r="BF661" s="8"/>
      <c r="BG661" s="8"/>
      <c r="BH661" s="8"/>
      <c r="BI661" s="8"/>
    </row>
    <row r="662" spans="1:61" s="5" customFormat="1" x14ac:dyDescent="0.15">
      <c r="A662" s="7">
        <v>2017</v>
      </c>
      <c r="B662" s="7">
        <v>50</v>
      </c>
      <c r="C662" s="7">
        <v>140.74164386354528</v>
      </c>
      <c r="D662" s="7">
        <v>62.030313550066872</v>
      </c>
      <c r="E662" s="8">
        <v>38.131900843440171</v>
      </c>
      <c r="F662" s="8">
        <v>29.513851661543441</v>
      </c>
      <c r="G662" s="8">
        <v>0.90055739823171732</v>
      </c>
      <c r="H662" s="8">
        <v>78.787125609091078</v>
      </c>
      <c r="I662" s="8">
        <v>82.920115411297346</v>
      </c>
      <c r="J662" s="8">
        <v>54.39666364523557</v>
      </c>
      <c r="K662" s="8">
        <v>43.891332525442387</v>
      </c>
      <c r="L662" s="8">
        <v>1.23041594947893</v>
      </c>
      <c r="M662" s="8">
        <v>63.54528609806006</v>
      </c>
      <c r="N662" s="8">
        <v>108.42890313685569</v>
      </c>
      <c r="O662" s="8">
        <v>281.77600000000001</v>
      </c>
      <c r="P662" s="8">
        <v>272.267</v>
      </c>
      <c r="Q662" s="8">
        <v>86.869900000000001</v>
      </c>
      <c r="R662" s="8">
        <v>0.58738100000000004</v>
      </c>
      <c r="S662" s="8">
        <v>-0.15515100000000001</v>
      </c>
      <c r="T662" s="7">
        <f>C662-D662</f>
        <v>78.711330313478413</v>
      </c>
      <c r="U662" s="8">
        <f>D662/C662</f>
        <v>0.44073887335157014</v>
      </c>
      <c r="V662" s="8">
        <v>32.905822569475497</v>
      </c>
      <c r="W662" s="8">
        <v>30.298252747554933</v>
      </c>
      <c r="X662" s="8">
        <v>0.91751669416935799</v>
      </c>
      <c r="Y662" s="8">
        <v>74.97663881853741</v>
      </c>
      <c r="Z662" s="8">
        <v>77.839876082188937</v>
      </c>
      <c r="AA662" s="7">
        <v>43.651243107355533</v>
      </c>
      <c r="AB662" s="7">
        <v>37.09479263649866</v>
      </c>
      <c r="AC662" s="7">
        <v>1.073966321824144</v>
      </c>
      <c r="AD662" s="7">
        <v>69.260962458298735</v>
      </c>
      <c r="AE662" s="7">
        <v>93.134389609522316</v>
      </c>
      <c r="AF662" s="8">
        <v>53.111171593723988</v>
      </c>
      <c r="AG662" s="8">
        <v>42.245364541743648</v>
      </c>
      <c r="AH662" s="8">
        <v>1.1891235964100191</v>
      </c>
      <c r="AI662" s="8">
        <v>63.438442966464343</v>
      </c>
      <c r="AJ662" s="8">
        <v>108.2854958576613</v>
      </c>
      <c r="AK662" s="8">
        <v>54.603105192936567</v>
      </c>
      <c r="AL662" s="8">
        <v>44.155664131088272</v>
      </c>
      <c r="AM662" s="8">
        <v>1.237047229124524</v>
      </c>
      <c r="AN662" s="8">
        <v>63.562444400534133</v>
      </c>
      <c r="AO662" s="8">
        <v>108.45193340035181</v>
      </c>
      <c r="AP662" s="8">
        <v>51.407551448908698</v>
      </c>
      <c r="AQ662" s="8">
        <v>44.289156659491603</v>
      </c>
      <c r="AR662" s="8">
        <v>1.1970790364613939</v>
      </c>
      <c r="AS662" s="8">
        <v>63.877632703349398</v>
      </c>
      <c r="AT662" s="8">
        <v>101.76499114609091</v>
      </c>
      <c r="AU662" s="8">
        <v>39.161151188579332</v>
      </c>
      <c r="AV662" s="8">
        <v>35.708010427753628</v>
      </c>
      <c r="AW662" s="8">
        <v>1.064398789787977</v>
      </c>
      <c r="AX662" s="8">
        <v>67.700002221795515</v>
      </c>
      <c r="AY662" s="8">
        <v>89.688205607497721</v>
      </c>
      <c r="AZ662" s="8">
        <v>59.705689195136472</v>
      </c>
      <c r="BA662" s="8">
        <v>46.597667384612819</v>
      </c>
      <c r="BB662" s="8">
        <v>1.3071141730883651</v>
      </c>
      <c r="BC662" s="8">
        <v>62.938977423645348</v>
      </c>
      <c r="BD662" s="8">
        <v>114.7989061616304</v>
      </c>
      <c r="BE662" s="8">
        <v>40.884568975047877</v>
      </c>
      <c r="BF662" s="8">
        <v>39.606491936536912</v>
      </c>
      <c r="BG662" s="8">
        <v>1.28009652539594</v>
      </c>
      <c r="BH662" s="8">
        <v>65.309502200276214</v>
      </c>
      <c r="BI662" s="8">
        <v>87.632614266756562</v>
      </c>
    </row>
    <row r="663" spans="1:61" s="5" customFormat="1" x14ac:dyDescent="0.15">
      <c r="A663" s="7">
        <v>2020</v>
      </c>
      <c r="B663" s="7">
        <v>27</v>
      </c>
      <c r="C663" s="7">
        <v>148.20075534688431</v>
      </c>
      <c r="D663" s="7">
        <v>88.918994878229853</v>
      </c>
      <c r="E663" s="8">
        <v>36.555588041096939</v>
      </c>
      <c r="F663" s="8">
        <v>29.337813749451659</v>
      </c>
      <c r="G663" s="8">
        <v>0.90173004134901047</v>
      </c>
      <c r="H663" s="8">
        <v>61.487173370574183</v>
      </c>
      <c r="I663" s="8">
        <v>55.737236907685961</v>
      </c>
      <c r="J663" s="8">
        <v>40.088768700458218</v>
      </c>
      <c r="K663" s="8">
        <v>34.050182229459622</v>
      </c>
      <c r="L663" s="8">
        <v>0.91567835581642376</v>
      </c>
      <c r="M663" s="8">
        <v>60.168411582966627</v>
      </c>
      <c r="N663" s="8">
        <v>58.551375283179823</v>
      </c>
      <c r="O663" s="8">
        <v>285.19499999999999</v>
      </c>
      <c r="P663" s="8">
        <v>276.02499999999998</v>
      </c>
      <c r="Q663" s="8">
        <v>99.802499999999995</v>
      </c>
      <c r="R663" s="8">
        <v>0.41164600000000001</v>
      </c>
      <c r="S663" s="8">
        <v>-4.8802400000000003E-2</v>
      </c>
      <c r="T663" s="7">
        <f>C663-D663</f>
        <v>59.281760468654454</v>
      </c>
      <c r="U663" s="8">
        <f>D663/C663</f>
        <v>0.59999015976742276</v>
      </c>
      <c r="V663" s="8">
        <v>40.058176873283855</v>
      </c>
      <c r="W663" s="8">
        <v>34.238844910684477</v>
      </c>
      <c r="X663" s="8">
        <v>0.87896148506570781</v>
      </c>
      <c r="Y663" s="8">
        <v>59.642635983977854</v>
      </c>
      <c r="Z663" s="8">
        <v>61.025500486318236</v>
      </c>
      <c r="AA663" s="7">
        <v>40.073472786871037</v>
      </c>
      <c r="AB663" s="7">
        <v>34.14451357007205</v>
      </c>
      <c r="AC663" s="7">
        <v>0.89731992044106579</v>
      </c>
      <c r="AD663" s="7">
        <v>59.90552378347224</v>
      </c>
      <c r="AE663" s="7">
        <v>59.78843788474903</v>
      </c>
      <c r="AF663" s="8">
        <v>41.082496131657152</v>
      </c>
      <c r="AG663" s="8">
        <v>34.002092842548308</v>
      </c>
      <c r="AH663" s="8">
        <v>0.90372026173533349</v>
      </c>
      <c r="AI663" s="8">
        <v>60.662125503778412</v>
      </c>
      <c r="AJ663" s="8">
        <v>57.377738124451682</v>
      </c>
      <c r="AK663" s="8">
        <v>39.972670331093198</v>
      </c>
      <c r="AL663" s="8">
        <v>34.055800570293201</v>
      </c>
      <c r="AM663" s="8">
        <v>0.91707543431092897</v>
      </c>
      <c r="AN663" s="8">
        <v>60.110730392592409</v>
      </c>
      <c r="AO663" s="8">
        <v>58.688492722103852</v>
      </c>
      <c r="AP663" s="8">
        <v>41.276425495776643</v>
      </c>
      <c r="AQ663" s="8">
        <v>34.836228615004963</v>
      </c>
      <c r="AR663" s="8">
        <v>0.88536317719892732</v>
      </c>
      <c r="AS663" s="8">
        <v>58.848448738172927</v>
      </c>
      <c r="AT663" s="8">
        <v>60.999969928618313</v>
      </c>
      <c r="AU663" s="8">
        <v>35.624295074241942</v>
      </c>
      <c r="AV663" s="8">
        <v>29.79313236985795</v>
      </c>
      <c r="AW663" s="8">
        <v>0.99805953938344971</v>
      </c>
      <c r="AX663" s="8">
        <v>61.635264977537211</v>
      </c>
      <c r="AY663" s="8">
        <v>57.804859620983457</v>
      </c>
      <c r="AZ663" s="8">
        <v>40.258785155636332</v>
      </c>
      <c r="BA663" s="8">
        <v>34.636435251749127</v>
      </c>
      <c r="BB663" s="8">
        <v>0.92394730556053639</v>
      </c>
      <c r="BC663" s="8">
        <v>60.288634948001409</v>
      </c>
      <c r="BD663" s="8">
        <v>60.21731252298126</v>
      </c>
      <c r="BE663" s="8">
        <v>40.834820085197883</v>
      </c>
      <c r="BF663" s="8">
        <v>34.885601426213199</v>
      </c>
      <c r="BG663" s="8">
        <v>0.90327339854353117</v>
      </c>
      <c r="BH663" s="8">
        <v>62.966477887417561</v>
      </c>
      <c r="BI663" s="8">
        <v>71.37125479743905</v>
      </c>
    </row>
    <row r="664" spans="1:61" s="5" customFormat="1" x14ac:dyDescent="0.15">
      <c r="A664" s="7">
        <v>2018</v>
      </c>
      <c r="B664" s="7">
        <v>70</v>
      </c>
      <c r="C664" s="7">
        <v>35.405723848731292</v>
      </c>
      <c r="D664" s="7">
        <v>32.007818330369318</v>
      </c>
      <c r="E664" s="8">
        <v>58.359116359695633</v>
      </c>
      <c r="F664" s="8">
        <v>33.288254573725183</v>
      </c>
      <c r="G664" s="8">
        <v>0.90370370706549852</v>
      </c>
      <c r="H664" s="8">
        <v>77.6593558723483</v>
      </c>
      <c r="I664" s="8">
        <v>98.011241857168045</v>
      </c>
      <c r="J664" s="8">
        <v>61.433948551042967</v>
      </c>
      <c r="K664" s="8">
        <v>34.290112956717898</v>
      </c>
      <c r="L664" s="8">
        <v>1.0316217138718931</v>
      </c>
      <c r="M664" s="8">
        <v>76.293404919903708</v>
      </c>
      <c r="N664" s="8">
        <v>110.042499332649</v>
      </c>
      <c r="O664" s="8">
        <v>289.14999999999998</v>
      </c>
      <c r="P664" s="8">
        <v>280.803</v>
      </c>
      <c r="Q664" s="8">
        <v>101.035</v>
      </c>
      <c r="R664" s="8">
        <v>-0.40174100000000001</v>
      </c>
      <c r="S664" s="8">
        <v>0.18577099999999999</v>
      </c>
      <c r="T664" s="7">
        <f>C664-D664</f>
        <v>3.3979055183619735</v>
      </c>
      <c r="U664" s="8">
        <f>D664/C664</f>
        <v>0.90402948594189714</v>
      </c>
      <c r="V664" s="8">
        <v>68.521357631884541</v>
      </c>
      <c r="W664" s="8">
        <v>37.672743586014157</v>
      </c>
      <c r="X664" s="8">
        <v>1.2210082454463929</v>
      </c>
      <c r="Y664" s="8">
        <v>70.048745458513537</v>
      </c>
      <c r="Z664" s="8">
        <v>104.5936991526476</v>
      </c>
      <c r="AA664" s="7">
        <v>64.97765309146375</v>
      </c>
      <c r="AB664" s="7">
        <v>35.981428271366028</v>
      </c>
      <c r="AC664" s="7">
        <v>1.126314979659143</v>
      </c>
      <c r="AD664" s="7">
        <v>73.171075189208622</v>
      </c>
      <c r="AE664" s="7">
        <v>107.3180992426483</v>
      </c>
      <c r="AF664" s="8">
        <v>61.671212012926752</v>
      </c>
      <c r="AG664" s="8">
        <v>32.981532361648057</v>
      </c>
      <c r="AH664" s="8">
        <v>1.0322134996178669</v>
      </c>
      <c r="AI664" s="8">
        <v>77.598427281350496</v>
      </c>
      <c r="AJ664" s="8">
        <v>108.8230090123335</v>
      </c>
      <c r="AK664" s="8">
        <v>61.417540129461813</v>
      </c>
      <c r="AL664" s="8">
        <v>34.380610422725987</v>
      </c>
      <c r="AM664" s="8">
        <v>1.031580787764145</v>
      </c>
      <c r="AN664" s="8">
        <v>76.203153530543503</v>
      </c>
      <c r="AO664" s="8">
        <v>110.12683558539941</v>
      </c>
      <c r="AP664" s="8">
        <v>66.144589858942126</v>
      </c>
      <c r="AQ664" s="8">
        <v>36.681104468243532</v>
      </c>
      <c r="AR664" s="8">
        <v>1.1557384039101479</v>
      </c>
      <c r="AS664" s="8">
        <v>72.114773094639673</v>
      </c>
      <c r="AT664" s="8">
        <v>106.6837749428216</v>
      </c>
      <c r="AU664" s="8">
        <v>60.885026648416762</v>
      </c>
      <c r="AV664" s="8">
        <v>33.919617111933377</v>
      </c>
      <c r="AW664" s="8">
        <v>1.0287484697292579</v>
      </c>
      <c r="AX664" s="8">
        <v>71.727017506561666</v>
      </c>
      <c r="AY664" s="8">
        <v>108.68549804446219</v>
      </c>
      <c r="AZ664" s="8">
        <v>60.886257182501737</v>
      </c>
      <c r="BA664" s="8">
        <v>33.563650033629131</v>
      </c>
      <c r="BB664" s="8">
        <v>1.024069520959018</v>
      </c>
      <c r="BC664" s="8">
        <v>76.973788869142297</v>
      </c>
      <c r="BD664" s="8">
        <v>109.9822241640815</v>
      </c>
      <c r="BE664" s="8"/>
      <c r="BF664" s="8"/>
      <c r="BG664" s="8"/>
      <c r="BH664" s="8"/>
      <c r="BI664" s="8"/>
    </row>
    <row r="665" spans="1:61" s="5" customFormat="1" x14ac:dyDescent="0.15">
      <c r="A665" s="7">
        <v>2018</v>
      </c>
      <c r="B665" s="7">
        <v>55</v>
      </c>
      <c r="C665" s="7">
        <v>86.099344587513229</v>
      </c>
      <c r="D665" s="7">
        <v>61.020378037702599</v>
      </c>
      <c r="E665" s="8">
        <v>55.241700387073649</v>
      </c>
      <c r="F665" s="8">
        <v>33.141582285608401</v>
      </c>
      <c r="G665" s="8">
        <v>0.90433102353379369</v>
      </c>
      <c r="H665" s="8">
        <v>76.560484045936136</v>
      </c>
      <c r="I665" s="8">
        <v>92.504111699713945</v>
      </c>
      <c r="J665" s="8">
        <v>58.722991910088808</v>
      </c>
      <c r="K665" s="8">
        <v>33.915390143020637</v>
      </c>
      <c r="L665" s="8">
        <v>0.93469940342223545</v>
      </c>
      <c r="M665" s="8">
        <v>76.898427034034185</v>
      </c>
      <c r="N665" s="8">
        <v>107.00544571523081</v>
      </c>
      <c r="O665" s="8">
        <v>288.72199999999998</v>
      </c>
      <c r="P665" s="8">
        <v>281.01299999999998</v>
      </c>
      <c r="Q665" s="8">
        <v>100.88200000000001</v>
      </c>
      <c r="R665" s="8">
        <v>-0.64177399999999996</v>
      </c>
      <c r="S665" s="8">
        <v>0.32741300000000001</v>
      </c>
      <c r="T665" s="7">
        <f>C665-D665</f>
        <v>25.07896654981063</v>
      </c>
      <c r="U665" s="8">
        <f>D665/C665</f>
        <v>0.70872058701538865</v>
      </c>
      <c r="V665" s="8">
        <v>61.925613933272885</v>
      </c>
      <c r="W665" s="8">
        <v>38.500222728943818</v>
      </c>
      <c r="X665" s="8">
        <v>1.1505857276353226</v>
      </c>
      <c r="Y665" s="8">
        <v>69.754431212819625</v>
      </c>
      <c r="Z665" s="8">
        <v>98.39484042270378</v>
      </c>
      <c r="AA665" s="7">
        <v>60.324302921680847</v>
      </c>
      <c r="AB665" s="7">
        <v>36.207806435982228</v>
      </c>
      <c r="AC665" s="7">
        <v>1.042642565528779</v>
      </c>
      <c r="AD665" s="7">
        <v>73.326429123426905</v>
      </c>
      <c r="AE665" s="7">
        <v>102.70014306896729</v>
      </c>
      <c r="AF665" s="8">
        <v>58.567802622915067</v>
      </c>
      <c r="AG665" s="8">
        <v>32.935277328344881</v>
      </c>
      <c r="AH665" s="8">
        <v>0.92954829928582661</v>
      </c>
      <c r="AI665" s="8">
        <v>77.528539801569224</v>
      </c>
      <c r="AJ665" s="8">
        <v>105.9894914323724</v>
      </c>
      <c r="AK665" s="8">
        <v>58.733416815654373</v>
      </c>
      <c r="AL665" s="8">
        <v>33.981229633121217</v>
      </c>
      <c r="AM665" s="8">
        <v>0.93504543100673154</v>
      </c>
      <c r="AN665" s="8">
        <v>76.856098944145771</v>
      </c>
      <c r="AO665" s="8">
        <v>107.0736928710146</v>
      </c>
      <c r="AP665" s="8">
        <v>61.286801752260317</v>
      </c>
      <c r="AQ665" s="8">
        <v>37.372709108458338</v>
      </c>
      <c r="AR665" s="8">
        <v>1.096298304270197</v>
      </c>
      <c r="AS665" s="8">
        <v>71.82788229520871</v>
      </c>
      <c r="AT665" s="8">
        <v>103.0785497749587</v>
      </c>
      <c r="AU665" s="8">
        <v>53.633251843979373</v>
      </c>
      <c r="AV665" s="8">
        <v>35.091140159571779</v>
      </c>
      <c r="AW665" s="8">
        <v>1.0189735781787099</v>
      </c>
      <c r="AX665" s="8">
        <v>71.732414492352603</v>
      </c>
      <c r="AY665" s="8">
        <v>98.483922120711526</v>
      </c>
      <c r="AZ665" s="8">
        <v>58.50666546259621</v>
      </c>
      <c r="BA665" s="8">
        <v>34.079426903823553</v>
      </c>
      <c r="BB665" s="8">
        <v>0.94318421610441228</v>
      </c>
      <c r="BC665" s="8">
        <v>77.163476278926836</v>
      </c>
      <c r="BD665" s="8">
        <v>107.2974127036096</v>
      </c>
      <c r="BE665" s="8">
        <v>55.834801874490559</v>
      </c>
      <c r="BF665" s="8">
        <v>35.993423133901018</v>
      </c>
      <c r="BG665" s="8">
        <v>1.0070358287032439</v>
      </c>
      <c r="BH665" s="8">
        <v>75.110563389064254</v>
      </c>
      <c r="BI665" s="8">
        <v>107.7121185834315</v>
      </c>
    </row>
    <row r="666" spans="1:61" s="5" customFormat="1" x14ac:dyDescent="0.15">
      <c r="A666" s="7">
        <v>2018</v>
      </c>
      <c r="B666" s="7">
        <v>116</v>
      </c>
      <c r="C666" s="7">
        <v>58.219329211569246</v>
      </c>
      <c r="D666" s="7">
        <v>7.4562042402497442</v>
      </c>
      <c r="E666" s="8">
        <v>53.035408359409118</v>
      </c>
      <c r="F666" s="8">
        <v>26.98112691775674</v>
      </c>
      <c r="G666" s="8">
        <v>0.91024452300679548</v>
      </c>
      <c r="H666" s="8">
        <v>78.31475960701421</v>
      </c>
      <c r="I666" s="8">
        <v>86.405093516970865</v>
      </c>
      <c r="J666" s="8">
        <v>60.335082006578887</v>
      </c>
      <c r="K666" s="8">
        <v>32.995619321385092</v>
      </c>
      <c r="L666" s="8">
        <v>0.94868880721896243</v>
      </c>
      <c r="M666" s="8">
        <v>74.045424520381601</v>
      </c>
      <c r="N666" s="8">
        <v>105.41965309416619</v>
      </c>
      <c r="O666" s="8">
        <v>288.2</v>
      </c>
      <c r="P666" s="8">
        <v>280.95999999999998</v>
      </c>
      <c r="Q666" s="8">
        <v>97.753299999999996</v>
      </c>
      <c r="R666" s="8">
        <v>3.9532299999999999E-2</v>
      </c>
      <c r="S666" s="8">
        <v>-0.28927199999999997</v>
      </c>
      <c r="T666" s="7">
        <f>C666-D666</f>
        <v>50.763124971319499</v>
      </c>
      <c r="U666" s="8">
        <f>D666/C666</f>
        <v>0.12807094037710176</v>
      </c>
      <c r="V666" s="8">
        <v>53.003715384587096</v>
      </c>
      <c r="W666" s="8">
        <v>24.244594372928304</v>
      </c>
      <c r="X666" s="8">
        <v>0.90234493235183655</v>
      </c>
      <c r="Y666" s="8">
        <v>78.457962659355786</v>
      </c>
      <c r="Z666" s="8">
        <v>93.228963971900612</v>
      </c>
      <c r="AA666" s="7">
        <v>56.669398695582991</v>
      </c>
      <c r="AB666" s="7">
        <v>28.620106847156698</v>
      </c>
      <c r="AC666" s="7">
        <v>0.92551686978539949</v>
      </c>
      <c r="AD666" s="7">
        <v>76.251693589868694</v>
      </c>
      <c r="AE666" s="7">
        <v>99.324308533033403</v>
      </c>
      <c r="AF666" s="8">
        <v>59.666407854763882</v>
      </c>
      <c r="AG666" s="8">
        <v>32.040767505335687</v>
      </c>
      <c r="AH666" s="8">
        <v>0.95490507184872642</v>
      </c>
      <c r="AI666" s="8">
        <v>75.134869516540505</v>
      </c>
      <c r="AJ666" s="8">
        <v>102.68225499294221</v>
      </c>
      <c r="AK666" s="8">
        <v>60.478983250528501</v>
      </c>
      <c r="AL666" s="8">
        <v>33.201107097073887</v>
      </c>
      <c r="AM666" s="8">
        <v>0.94735104321161323</v>
      </c>
      <c r="AN666" s="8">
        <v>73.810971775742914</v>
      </c>
      <c r="AO666" s="8">
        <v>106.00875167212411</v>
      </c>
      <c r="AP666" s="8">
        <v>56.495176501826371</v>
      </c>
      <c r="AQ666" s="8">
        <v>27.989455275137239</v>
      </c>
      <c r="AR666" s="8">
        <v>0.92518675111034432</v>
      </c>
      <c r="AS666" s="8">
        <v>76.189823737601102</v>
      </c>
      <c r="AT666" s="8">
        <v>101.0215093850492</v>
      </c>
      <c r="AU666" s="8">
        <v>57.372998696840071</v>
      </c>
      <c r="AV666" s="8">
        <v>31.497062249406831</v>
      </c>
      <c r="AW666" s="8">
        <v>1.086969392100045</v>
      </c>
      <c r="AX666" s="8">
        <v>76.845761413579126</v>
      </c>
      <c r="AY666" s="8">
        <v>100.1511405265877</v>
      </c>
      <c r="AZ666" s="8">
        <v>60.689512476955173</v>
      </c>
      <c r="BA666" s="8">
        <v>32.476931416257379</v>
      </c>
      <c r="BB666" s="8">
        <v>0.93237582442568168</v>
      </c>
      <c r="BC666" s="8">
        <v>74.174130362785348</v>
      </c>
      <c r="BD666" s="8">
        <v>107.9220138855223</v>
      </c>
      <c r="BE666" s="8">
        <v>45.258307854981211</v>
      </c>
      <c r="BF666" s="8">
        <v>30.91538763875856</v>
      </c>
      <c r="BG666" s="8">
        <v>0.70171853010145802</v>
      </c>
      <c r="BH666" s="8">
        <v>64.501507215804821</v>
      </c>
      <c r="BI666" s="8">
        <v>74.153059542408968</v>
      </c>
    </row>
    <row r="667" spans="1:61" s="5" customFormat="1" x14ac:dyDescent="0.15">
      <c r="A667" s="7">
        <v>2017</v>
      </c>
      <c r="B667" s="7">
        <v>4</v>
      </c>
      <c r="C667" s="7">
        <v>262.32360545748895</v>
      </c>
      <c r="D667" s="7">
        <v>185.76805127443407</v>
      </c>
      <c r="E667" s="8">
        <v>33.88786488488806</v>
      </c>
      <c r="F667" s="8">
        <v>20.881787702488129</v>
      </c>
      <c r="G667" s="8">
        <v>0.91066375931382892</v>
      </c>
      <c r="H667" s="8">
        <v>66.858800168697513</v>
      </c>
      <c r="I667" s="8">
        <v>56.771712622110677</v>
      </c>
      <c r="J667" s="8">
        <v>40.210296210125307</v>
      </c>
      <c r="K667" s="8">
        <v>30.37360859920712</v>
      </c>
      <c r="L667" s="8">
        <v>0.89345393681296703</v>
      </c>
      <c r="M667" s="8">
        <v>50.602367509514437</v>
      </c>
      <c r="N667" s="8">
        <v>65.203254750408846</v>
      </c>
      <c r="O667" s="8">
        <v>289.32400000000001</v>
      </c>
      <c r="P667" s="8">
        <v>285.26100000000002</v>
      </c>
      <c r="Q667" s="8">
        <v>93.192899999999995</v>
      </c>
      <c r="R667" s="8">
        <v>-0.49689100000000003</v>
      </c>
      <c r="S667" s="8">
        <v>-0.13809099999999999</v>
      </c>
      <c r="T667" s="7">
        <f>C667-D667</f>
        <v>76.55555418305488</v>
      </c>
      <c r="U667" s="8">
        <f>D667/C667</f>
        <v>0.70816368565252452</v>
      </c>
      <c r="V667" s="8">
        <v>33.256654237472517</v>
      </c>
      <c r="W667" s="8">
        <v>19.616431891586561</v>
      </c>
      <c r="X667" s="8">
        <v>0.91203249412672971</v>
      </c>
      <c r="Y667" s="8">
        <v>68.419165755082588</v>
      </c>
      <c r="Z667" s="8">
        <v>55.10965128095819</v>
      </c>
      <c r="AA667" s="7">
        <v>36.733475223798912</v>
      </c>
      <c r="AB667" s="7">
        <v>24.995020245396841</v>
      </c>
      <c r="AC667" s="7">
        <v>0.90274321546984837</v>
      </c>
      <c r="AD667" s="7">
        <v>59.510766632298512</v>
      </c>
      <c r="AE667" s="7">
        <v>60.156453015683518</v>
      </c>
      <c r="AF667" s="8">
        <v>40.312770552529969</v>
      </c>
      <c r="AG667" s="8">
        <v>31.750156984366239</v>
      </c>
      <c r="AH667" s="8">
        <v>0.88677785281446719</v>
      </c>
      <c r="AI667" s="8">
        <v>50.139850953666937</v>
      </c>
      <c r="AJ667" s="8">
        <v>65.778471527844715</v>
      </c>
      <c r="AK667" s="8">
        <v>40.193451132849553</v>
      </c>
      <c r="AL667" s="8">
        <v>30.147326942963119</v>
      </c>
      <c r="AM667" s="8">
        <v>0.89455137396860329</v>
      </c>
      <c r="AN667" s="8">
        <v>50.678397537536533</v>
      </c>
      <c r="AO667" s="8">
        <v>65.108698680676156</v>
      </c>
      <c r="AP667" s="8">
        <v>39.744922493940891</v>
      </c>
      <c r="AQ667" s="8">
        <v>29.460861236372761</v>
      </c>
      <c r="AR667" s="8">
        <v>0.89246361949702124</v>
      </c>
      <c r="AS667" s="8">
        <v>51.512152250593793</v>
      </c>
      <c r="AT667" s="8">
        <v>63.796821694470708</v>
      </c>
      <c r="AU667" s="8">
        <v>33.211778288480701</v>
      </c>
      <c r="AV667" s="8">
        <v>22.801046125768028</v>
      </c>
      <c r="AW667" s="8">
        <v>0.88432968220422448</v>
      </c>
      <c r="AX667" s="8">
        <v>57.494405736522801</v>
      </c>
      <c r="AY667" s="8">
        <v>56.926364979377112</v>
      </c>
      <c r="AZ667" s="8">
        <v>43.0566216046265</v>
      </c>
      <c r="BA667" s="8">
        <v>35.245828703592657</v>
      </c>
      <c r="BB667" s="8">
        <v>0.87831563662826728</v>
      </c>
      <c r="BC667" s="8">
        <v>48.23371450946216</v>
      </c>
      <c r="BD667" s="8">
        <v>68.623082851849318</v>
      </c>
      <c r="BE667" s="8">
        <v>42.182091958121298</v>
      </c>
      <c r="BF667" s="8">
        <v>37.700974711933739</v>
      </c>
      <c r="BG667" s="8">
        <v>0.77170525624801023</v>
      </c>
      <c r="BH667" s="8">
        <v>54.830029743181768</v>
      </c>
      <c r="BI667" s="8">
        <v>76.79833161238011</v>
      </c>
    </row>
    <row r="668" spans="1:61" s="5" customFormat="1" x14ac:dyDescent="0.15">
      <c r="A668" s="7">
        <v>2017</v>
      </c>
      <c r="B668" s="7">
        <v>70</v>
      </c>
      <c r="C668" s="7">
        <v>47.279449319593859</v>
      </c>
      <c r="D668" s="7">
        <v>46.672270535721964</v>
      </c>
      <c r="E668" s="8">
        <v>59.298027429637862</v>
      </c>
      <c r="F668" s="8">
        <v>32.314128397672121</v>
      </c>
      <c r="G668" s="8">
        <v>0.91092148827210362</v>
      </c>
      <c r="H668" s="8">
        <v>79.397571453684151</v>
      </c>
      <c r="I668" s="8">
        <v>102.18030698393871</v>
      </c>
      <c r="J668" s="8">
        <v>66.165412731956437</v>
      </c>
      <c r="K668" s="8">
        <v>35.953599635004331</v>
      </c>
      <c r="L668" s="8">
        <v>1.2045953510921179</v>
      </c>
      <c r="M668" s="8">
        <v>74.406703354760296</v>
      </c>
      <c r="N668" s="8">
        <v>115.300857176845</v>
      </c>
      <c r="O668" s="8">
        <v>289.07499999999999</v>
      </c>
      <c r="P668" s="8">
        <v>281.01</v>
      </c>
      <c r="Q668" s="8">
        <v>101.06</v>
      </c>
      <c r="R668" s="8">
        <v>-0.20882100000000001</v>
      </c>
      <c r="S668" s="8">
        <v>0.382691</v>
      </c>
      <c r="T668" s="7">
        <f>C668-D668</f>
        <v>0.60717878387189472</v>
      </c>
      <c r="U668" s="8">
        <f>D668/C668</f>
        <v>0.98715765956224322</v>
      </c>
      <c r="V668" s="8">
        <v>69.248227140123433</v>
      </c>
      <c r="W668" s="8">
        <v>41.298469897481603</v>
      </c>
      <c r="X668" s="8">
        <v>1.4124473572279541</v>
      </c>
      <c r="Y668" s="8">
        <v>65.28285145988518</v>
      </c>
      <c r="Z668" s="8">
        <v>103.87005274176281</v>
      </c>
      <c r="AA668" s="7">
        <v>67.706819936039935</v>
      </c>
      <c r="AB668" s="7">
        <v>38.626034766242967</v>
      </c>
      <c r="AC668" s="7">
        <v>1.308521354160036</v>
      </c>
      <c r="AD668" s="7">
        <v>69.844777407322738</v>
      </c>
      <c r="AE668" s="7">
        <v>109.5854549593039</v>
      </c>
      <c r="AF668" s="8">
        <v>64.183206623352817</v>
      </c>
      <c r="AG668" s="8">
        <v>35.242727127500473</v>
      </c>
      <c r="AH668" s="8">
        <v>1.2098338632827099</v>
      </c>
      <c r="AI668" s="8">
        <v>77.670335615549178</v>
      </c>
      <c r="AJ668" s="8">
        <v>108.1977562795348</v>
      </c>
      <c r="AK668" s="8">
        <v>66.310983308660639</v>
      </c>
      <c r="AL668" s="8">
        <v>36.005805165211967</v>
      </c>
      <c r="AM668" s="8">
        <v>1.204210641733517</v>
      </c>
      <c r="AN668" s="8">
        <v>74.167026548049094</v>
      </c>
      <c r="AO668" s="8">
        <v>115.8224994467995</v>
      </c>
      <c r="AP668" s="8">
        <v>68.446709907308573</v>
      </c>
      <c r="AQ668" s="8">
        <v>39.398986955400318</v>
      </c>
      <c r="AR668" s="8">
        <v>1.342934090760936</v>
      </c>
      <c r="AS668" s="8">
        <v>68.311389687650106</v>
      </c>
      <c r="AT668" s="8">
        <v>107.7912966888824</v>
      </c>
      <c r="AU668" s="8">
        <v>65.760291795635126</v>
      </c>
      <c r="AV668" s="8">
        <v>37.823305136058643</v>
      </c>
      <c r="AW668" s="8">
        <v>1.160317687925833</v>
      </c>
      <c r="AX668" s="8">
        <v>69.350396626273394</v>
      </c>
      <c r="AY668" s="8">
        <v>118.7702928266294</v>
      </c>
      <c r="AZ668" s="8">
        <v>65.242483013353947</v>
      </c>
      <c r="BA668" s="8">
        <v>35.904273526722243</v>
      </c>
      <c r="BB668" s="8">
        <v>1.1964033138250101</v>
      </c>
      <c r="BC668" s="8">
        <v>75.319113843983274</v>
      </c>
      <c r="BD668" s="8">
        <v>116.6574466604352</v>
      </c>
      <c r="BE668" s="8"/>
      <c r="BF668" s="8"/>
      <c r="BG668" s="8"/>
      <c r="BH668" s="8"/>
      <c r="BI668" s="8"/>
    </row>
    <row r="669" spans="1:61" s="5" customFormat="1" x14ac:dyDescent="0.15">
      <c r="A669" s="7">
        <v>2018</v>
      </c>
      <c r="B669" s="7">
        <v>46</v>
      </c>
      <c r="C669" s="7">
        <v>194.05457017704438</v>
      </c>
      <c r="D669" s="7">
        <v>33.575005208383594</v>
      </c>
      <c r="E669" s="8">
        <v>51.879143773444419</v>
      </c>
      <c r="F669" s="8">
        <v>34.858208023146162</v>
      </c>
      <c r="G669" s="8">
        <v>0.91319627935612901</v>
      </c>
      <c r="H669" s="8">
        <v>73.40649069983678</v>
      </c>
      <c r="I669" s="8">
        <v>87.8621813078759</v>
      </c>
      <c r="J669" s="8">
        <v>52.503995454356982</v>
      </c>
      <c r="K669" s="8">
        <v>35.204401348907282</v>
      </c>
      <c r="L669" s="8">
        <v>0.841127068501619</v>
      </c>
      <c r="M669" s="8">
        <v>73.954552346499582</v>
      </c>
      <c r="N669" s="8">
        <v>101.9518404396098</v>
      </c>
      <c r="O669" s="8">
        <v>287.24400000000003</v>
      </c>
      <c r="P669" s="8">
        <v>280.32900000000001</v>
      </c>
      <c r="Q669" s="8">
        <v>99.514699999999991</v>
      </c>
      <c r="R669" s="8">
        <v>-0.48269400000000001</v>
      </c>
      <c r="S669" s="8">
        <v>2.0748800000000001E-2</v>
      </c>
      <c r="T669" s="7">
        <f>C669-D669</f>
        <v>160.47956496866078</v>
      </c>
      <c r="U669" s="8">
        <f>D669/C669</f>
        <v>0.17301836889361411</v>
      </c>
      <c r="V669" s="8">
        <v>50.841985988706995</v>
      </c>
      <c r="W669" s="8">
        <v>34.948525652253352</v>
      </c>
      <c r="X669" s="8">
        <v>0.92389784394840491</v>
      </c>
      <c r="Y669" s="8">
        <v>72.318864241137277</v>
      </c>
      <c r="Z669" s="8">
        <v>94.586523564020936</v>
      </c>
      <c r="AA669" s="7">
        <v>51.672990721531988</v>
      </c>
      <c r="AB669" s="7">
        <v>35.076463500580317</v>
      </c>
      <c r="AC669" s="7">
        <v>0.88251245622501195</v>
      </c>
      <c r="AD669" s="7">
        <v>73.13670829381843</v>
      </c>
      <c r="AE669" s="7">
        <v>98.269182001815366</v>
      </c>
      <c r="AF669" s="8">
        <v>51.912537868785428</v>
      </c>
      <c r="AG669" s="8">
        <v>33.74411366274699</v>
      </c>
      <c r="AH669" s="8">
        <v>0.84414600117348504</v>
      </c>
      <c r="AI669" s="8">
        <v>74.870987488817718</v>
      </c>
      <c r="AJ669" s="8">
        <v>103.5134277237247</v>
      </c>
      <c r="AK669" s="8">
        <v>52.540457469425917</v>
      </c>
      <c r="AL669" s="8">
        <v>35.29442476380067</v>
      </c>
      <c r="AM669" s="8">
        <v>0.84094095816799741</v>
      </c>
      <c r="AN669" s="8">
        <v>73.898056204114994</v>
      </c>
      <c r="AO669" s="8">
        <v>101.8555721348761</v>
      </c>
      <c r="AP669" s="8">
        <v>51.432461038395758</v>
      </c>
      <c r="AQ669" s="8">
        <v>35.240216011688602</v>
      </c>
      <c r="AR669" s="8">
        <v>0.89080458935705731</v>
      </c>
      <c r="AS669" s="8">
        <v>72.776483053760884</v>
      </c>
      <c r="AT669" s="8">
        <v>98.760220441635013</v>
      </c>
      <c r="AU669" s="8">
        <v>51.056234714337293</v>
      </c>
      <c r="AV669" s="8">
        <v>35.465887215056782</v>
      </c>
      <c r="AW669" s="8">
        <v>0.9969676298929856</v>
      </c>
      <c r="AX669" s="8">
        <v>70.673697624493812</v>
      </c>
      <c r="AY669" s="8">
        <v>96.673598165927302</v>
      </c>
      <c r="AZ669" s="8">
        <v>52.603833658046213</v>
      </c>
      <c r="BA669" s="8">
        <v>34.899593319405668</v>
      </c>
      <c r="BB669" s="8">
        <v>0.83677009295792504</v>
      </c>
      <c r="BC669" s="8">
        <v>74.15042337920454</v>
      </c>
      <c r="BD669" s="8">
        <v>101.2401180165086</v>
      </c>
      <c r="BE669" s="8">
        <v>46.707316739833708</v>
      </c>
      <c r="BF669" s="8">
        <v>32.886831296883017</v>
      </c>
      <c r="BG669" s="8">
        <v>0.92174242466999035</v>
      </c>
      <c r="BH669" s="8">
        <v>76.463633618943746</v>
      </c>
      <c r="BI669" s="8">
        <v>88.906223585145952</v>
      </c>
    </row>
    <row r="670" spans="1:61" s="5" customFormat="1" x14ac:dyDescent="0.15">
      <c r="A670" s="7">
        <v>2017</v>
      </c>
      <c r="B670" s="7">
        <v>8</v>
      </c>
      <c r="C670" s="7">
        <v>216.74605937660203</v>
      </c>
      <c r="D670" s="7">
        <v>184.24616345750957</v>
      </c>
      <c r="E670" s="8">
        <v>47.083685899342832</v>
      </c>
      <c r="F670" s="8">
        <v>22.770435032874659</v>
      </c>
      <c r="G670" s="8">
        <v>0.91331192835671726</v>
      </c>
      <c r="H670" s="8">
        <v>75.893604050456346</v>
      </c>
      <c r="I670" s="8">
        <v>70.679065973549541</v>
      </c>
      <c r="J670" s="8">
        <v>50.749992208800471</v>
      </c>
      <c r="K670" s="8">
        <v>31.56988758248476</v>
      </c>
      <c r="L670" s="8">
        <v>1.0808086627922331</v>
      </c>
      <c r="M670" s="8">
        <v>65.146284169868338</v>
      </c>
      <c r="N670" s="8">
        <v>79.172917620418104</v>
      </c>
      <c r="O670" s="8">
        <v>290.80599999999998</v>
      </c>
      <c r="P670" s="8">
        <v>286.12900000000002</v>
      </c>
      <c r="Q670" s="8">
        <v>101.026</v>
      </c>
      <c r="R670" s="8">
        <v>-0.54803900000000005</v>
      </c>
      <c r="S670" s="8">
        <v>-0.555697</v>
      </c>
      <c r="T670" s="7">
        <f>C670-D670</f>
        <v>32.499895919092467</v>
      </c>
      <c r="U670" s="8">
        <f>D670/C670</f>
        <v>0.85005542424823033</v>
      </c>
      <c r="V670" s="8">
        <v>50.028019146680982</v>
      </c>
      <c r="W670" s="8">
        <v>24.486369562172762</v>
      </c>
      <c r="X670" s="8">
        <v>0.84207971440264884</v>
      </c>
      <c r="Y670" s="8">
        <v>68.341138615550207</v>
      </c>
      <c r="Z670" s="8">
        <v>71.616626297093745</v>
      </c>
      <c r="AA670" s="7">
        <v>50.389005677740727</v>
      </c>
      <c r="AB670" s="7">
        <v>28.028128572328761</v>
      </c>
      <c r="AC670" s="7">
        <v>0.96144418859744096</v>
      </c>
      <c r="AD670" s="7">
        <v>66.743711392709272</v>
      </c>
      <c r="AE670" s="7">
        <v>75.394771958755925</v>
      </c>
      <c r="AF670" s="8">
        <v>51.670267599943656</v>
      </c>
      <c r="AG670" s="8">
        <v>31.79456070430842</v>
      </c>
      <c r="AH670" s="8">
        <v>1.0579913693153431</v>
      </c>
      <c r="AI670" s="8">
        <v>65.124221855266043</v>
      </c>
      <c r="AJ670" s="8">
        <v>80.302470531976027</v>
      </c>
      <c r="AK670" s="8">
        <v>50.611883134468123</v>
      </c>
      <c r="AL670" s="8">
        <v>31.536170070117208</v>
      </c>
      <c r="AM670" s="8">
        <v>1.084232936994489</v>
      </c>
      <c r="AN670" s="8">
        <v>65.149595141645548</v>
      </c>
      <c r="AO670" s="8">
        <v>79.003401507604423</v>
      </c>
      <c r="AP670" s="8">
        <v>50.511050172612109</v>
      </c>
      <c r="AQ670" s="8">
        <v>27.782892991455221</v>
      </c>
      <c r="AR670" s="8">
        <v>0.93511328775795666</v>
      </c>
      <c r="AS670" s="8">
        <v>67.355876070168975</v>
      </c>
      <c r="AT670" s="8">
        <v>76.095712065237521</v>
      </c>
      <c r="AU670" s="8">
        <v>49.045542144337382</v>
      </c>
      <c r="AV670" s="8">
        <v>31.349424677234321</v>
      </c>
      <c r="AW670" s="8">
        <v>0.88534338259718759</v>
      </c>
      <c r="AX670" s="8">
        <v>70.108216810969097</v>
      </c>
      <c r="AY670" s="8">
        <v>78.353819446818619</v>
      </c>
      <c r="AZ670" s="8">
        <v>50.602986439142477</v>
      </c>
      <c r="BA670" s="8">
        <v>34.000567751993842</v>
      </c>
      <c r="BB670" s="8">
        <v>1.0978054033750819</v>
      </c>
      <c r="BC670" s="8">
        <v>63.869246904192359</v>
      </c>
      <c r="BD670" s="8">
        <v>79.466323205658597</v>
      </c>
      <c r="BE670" s="8">
        <v>50.018622126676973</v>
      </c>
      <c r="BF670" s="8">
        <v>34.207077920589903</v>
      </c>
      <c r="BG670" s="8">
        <v>0.89823395048863053</v>
      </c>
      <c r="BH670" s="8">
        <v>66.173840932666451</v>
      </c>
      <c r="BI670" s="8">
        <v>84.55075688503797</v>
      </c>
    </row>
    <row r="671" spans="1:61" s="5" customFormat="1" x14ac:dyDescent="0.15">
      <c r="A671" s="7">
        <v>2018</v>
      </c>
      <c r="B671" s="7">
        <v>67</v>
      </c>
      <c r="C671" s="7">
        <v>38.789746476572311</v>
      </c>
      <c r="D671" s="7">
        <v>26.963715081964381</v>
      </c>
      <c r="E671" s="8">
        <v>50.716235325436458</v>
      </c>
      <c r="F671" s="8">
        <v>29.3928615659187</v>
      </c>
      <c r="G671" s="8">
        <v>0.91504877480040692</v>
      </c>
      <c r="H671" s="8">
        <v>81.275357120040979</v>
      </c>
      <c r="I671" s="8">
        <v>87.295768651840859</v>
      </c>
      <c r="J671" s="8">
        <v>61.233292842357017</v>
      </c>
      <c r="K671" s="8">
        <v>37.586288154120503</v>
      </c>
      <c r="L671" s="8">
        <v>1.160776245367539</v>
      </c>
      <c r="M671" s="8">
        <v>73.018861230941823</v>
      </c>
      <c r="N671" s="8">
        <v>115.06790961944689</v>
      </c>
      <c r="O671" s="8">
        <v>287.041</v>
      </c>
      <c r="P671" s="8">
        <v>277.51499999999999</v>
      </c>
      <c r="Q671" s="8">
        <v>97.525100000000009</v>
      </c>
      <c r="R671" s="8">
        <v>1.5985200000000001E-2</v>
      </c>
      <c r="S671" s="8">
        <v>2.2097599999999998E-2</v>
      </c>
      <c r="T671" s="7">
        <f>C671-D671</f>
        <v>11.826031394607931</v>
      </c>
      <c r="U671" s="8">
        <f>D671/C671</f>
        <v>0.6951248082595628</v>
      </c>
      <c r="V671" s="8">
        <v>62.986077004035025</v>
      </c>
      <c r="W671" s="8">
        <v>37.176937559053023</v>
      </c>
      <c r="X671" s="8">
        <v>1.088414174225711</v>
      </c>
      <c r="Y671" s="8">
        <v>71.479502961728443</v>
      </c>
      <c r="Z671" s="8">
        <v>104.8750337521859</v>
      </c>
      <c r="AA671" s="7">
        <v>62.109684923196021</v>
      </c>
      <c r="AB671" s="7">
        <v>37.381612856586763</v>
      </c>
      <c r="AC671" s="7">
        <v>1.124595209796625</v>
      </c>
      <c r="AD671" s="7">
        <v>72.249182096335133</v>
      </c>
      <c r="AE671" s="7">
        <v>109.9714716858164</v>
      </c>
      <c r="AF671" s="8">
        <v>58.747402372513072</v>
      </c>
      <c r="AG671" s="8">
        <v>35.813114057251219</v>
      </c>
      <c r="AH671" s="8">
        <v>1.2017023665431801</v>
      </c>
      <c r="AI671" s="8">
        <v>75.607978792526865</v>
      </c>
      <c r="AJ671" s="8">
        <v>110.5423516809341</v>
      </c>
      <c r="AK671" s="8">
        <v>61.486220764737993</v>
      </c>
      <c r="AL671" s="8">
        <v>37.766700463424343</v>
      </c>
      <c r="AM671" s="8">
        <v>1.1566122007623401</v>
      </c>
      <c r="AN671" s="8">
        <v>72.755430426730641</v>
      </c>
      <c r="AO671" s="8">
        <v>115.5283643260755</v>
      </c>
      <c r="AP671" s="8">
        <v>65.679809061636448</v>
      </c>
      <c r="AQ671" s="8">
        <v>39.069765875077977</v>
      </c>
      <c r="AR671" s="8">
        <v>1.154676396139833</v>
      </c>
      <c r="AS671" s="8">
        <v>70.097925455435217</v>
      </c>
      <c r="AT671" s="8">
        <v>114.28315448208571</v>
      </c>
      <c r="AU671" s="8">
        <v>51.995278054489667</v>
      </c>
      <c r="AV671" s="8">
        <v>33.0999063495576</v>
      </c>
      <c r="AW671" s="8">
        <v>1.059829051748381</v>
      </c>
      <c r="AX671" s="8">
        <v>76.320789337451728</v>
      </c>
      <c r="AY671" s="8">
        <v>90.184505529426318</v>
      </c>
      <c r="AZ671" s="8">
        <v>60.428262736650723</v>
      </c>
      <c r="BA671" s="8">
        <v>37.377284958035091</v>
      </c>
      <c r="BB671" s="8">
        <v>1.14685698221848</v>
      </c>
      <c r="BC671" s="8">
        <v>73.309787423983607</v>
      </c>
      <c r="BD671" s="8">
        <v>114.7477434077578</v>
      </c>
      <c r="BE671" s="8">
        <v>61.344200529101791</v>
      </c>
      <c r="BF671" s="8">
        <v>40.713064614478007</v>
      </c>
      <c r="BG671" s="8">
        <v>1.0338008528272811</v>
      </c>
      <c r="BH671" s="8">
        <v>72.198366785946703</v>
      </c>
      <c r="BI671" s="8">
        <v>115.1068450392938</v>
      </c>
    </row>
    <row r="672" spans="1:61" s="5" customFormat="1" x14ac:dyDescent="0.15">
      <c r="A672" s="7">
        <v>2018</v>
      </c>
      <c r="B672" s="7">
        <v>128</v>
      </c>
      <c r="C672" s="7">
        <v>31.923017133271408</v>
      </c>
      <c r="D672" s="7">
        <v>23.966625454180278</v>
      </c>
      <c r="E672" s="8">
        <v>60.272410501316443</v>
      </c>
      <c r="F672" s="8">
        <v>28.09722587580081</v>
      </c>
      <c r="G672" s="8">
        <v>0.92973543956506866</v>
      </c>
      <c r="H672" s="8">
        <v>79.818576841155291</v>
      </c>
      <c r="I672" s="8">
        <v>95.870581950136852</v>
      </c>
      <c r="J672" s="8">
        <v>61.867732401647153</v>
      </c>
      <c r="K672" s="8">
        <v>34.618684031112899</v>
      </c>
      <c r="L672" s="8">
        <v>1.0585002207132079</v>
      </c>
      <c r="M672" s="8">
        <v>75.545688695038422</v>
      </c>
      <c r="N672" s="8">
        <v>109.5265591645252</v>
      </c>
      <c r="O672" s="8">
        <v>289.44600000000003</v>
      </c>
      <c r="P672" s="8">
        <v>281.005</v>
      </c>
      <c r="Q672" s="8">
        <v>100.785</v>
      </c>
      <c r="R672" s="8">
        <v>-0.37235000000000001</v>
      </c>
      <c r="S672" s="8">
        <v>-7.6015200000000005E-2</v>
      </c>
      <c r="T672" s="7">
        <f>C672-D672</f>
        <v>7.95639167909113</v>
      </c>
      <c r="U672" s="8">
        <f>D672/C672</f>
        <v>0.75076316734489768</v>
      </c>
      <c r="V672" s="8">
        <v>64.787593206545381</v>
      </c>
      <c r="W672" s="8">
        <v>35.725767787587422</v>
      </c>
      <c r="X672" s="8">
        <v>1.1503620533300041</v>
      </c>
      <c r="Y672" s="8">
        <v>70.715158539555944</v>
      </c>
      <c r="Z672" s="8">
        <v>109.9088737142728</v>
      </c>
      <c r="AA672" s="7">
        <v>63.327662804096263</v>
      </c>
      <c r="AB672" s="7">
        <v>35.172225909350161</v>
      </c>
      <c r="AC672" s="7">
        <v>1.104431137021606</v>
      </c>
      <c r="AD672" s="7">
        <v>73.130423617297183</v>
      </c>
      <c r="AE672" s="7">
        <v>109.717716439399</v>
      </c>
      <c r="AF672" s="8">
        <v>62.288476811522152</v>
      </c>
      <c r="AG672" s="8">
        <v>33.891806274679062</v>
      </c>
      <c r="AH672" s="8">
        <v>1.047622793594376</v>
      </c>
      <c r="AI672" s="8">
        <v>76.317326507714853</v>
      </c>
      <c r="AJ672" s="8">
        <v>108.9004738781783</v>
      </c>
      <c r="AK672" s="8">
        <v>61.780817167493943</v>
      </c>
      <c r="AL672" s="8">
        <v>34.768838730541873</v>
      </c>
      <c r="AM672" s="8">
        <v>1.0607472241262741</v>
      </c>
      <c r="AN672" s="8">
        <v>75.38628769149291</v>
      </c>
      <c r="AO672" s="8">
        <v>109.6558926695833</v>
      </c>
      <c r="AP672" s="8">
        <v>63.833823478051848</v>
      </c>
      <c r="AQ672" s="8">
        <v>35.46742250440402</v>
      </c>
      <c r="AR672" s="8">
        <v>1.118272807006383</v>
      </c>
      <c r="AS672" s="8">
        <v>72.321023104703002</v>
      </c>
      <c r="AT672" s="8">
        <v>109.8369912221699</v>
      </c>
      <c r="AU672" s="8">
        <v>62.38167057507215</v>
      </c>
      <c r="AV672" s="8">
        <v>39.130453011606058</v>
      </c>
      <c r="AW672" s="8">
        <v>1.0950837895733021</v>
      </c>
      <c r="AX672" s="8">
        <v>71.895072645021003</v>
      </c>
      <c r="AY672" s="8">
        <v>112.0981878669312</v>
      </c>
      <c r="AZ672" s="8">
        <v>61.314297261857497</v>
      </c>
      <c r="BA672" s="8">
        <v>33.993703391443063</v>
      </c>
      <c r="BB672" s="8">
        <v>1.0506544784856</v>
      </c>
      <c r="BC672" s="8">
        <v>76.506483070740941</v>
      </c>
      <c r="BD672" s="8">
        <v>109.58144422272611</v>
      </c>
      <c r="BE672" s="8">
        <v>59.407508704857648</v>
      </c>
      <c r="BF672" s="8">
        <v>38.344089938565581</v>
      </c>
      <c r="BG672" s="8">
        <v>1.05816514212254</v>
      </c>
      <c r="BH672" s="8">
        <v>70.437379395983186</v>
      </c>
      <c r="BI672" s="8">
        <v>108.3232966339441</v>
      </c>
    </row>
    <row r="673" spans="1:61" s="5" customFormat="1" x14ac:dyDescent="0.15">
      <c r="A673" s="7">
        <v>2017</v>
      </c>
      <c r="B673" s="7">
        <v>46</v>
      </c>
      <c r="C673" s="7">
        <v>210.38939456509692</v>
      </c>
      <c r="D673" s="7">
        <v>203.95823575827626</v>
      </c>
      <c r="E673" s="8">
        <v>54.111183345208161</v>
      </c>
      <c r="F673" s="8">
        <v>35.515778827619691</v>
      </c>
      <c r="G673" s="8">
        <v>0.93301632068786289</v>
      </c>
      <c r="H673" s="8">
        <v>76.575779415963893</v>
      </c>
      <c r="I673" s="8">
        <v>96.154192838411902</v>
      </c>
      <c r="J673" s="8">
        <v>58.221972995058501</v>
      </c>
      <c r="K673" s="8">
        <v>35.340933567795879</v>
      </c>
      <c r="L673" s="8">
        <v>1.0160258655105829</v>
      </c>
      <c r="M673" s="8">
        <v>75.160141977021439</v>
      </c>
      <c r="N673" s="8">
        <v>105.16497600380519</v>
      </c>
      <c r="O673" s="8">
        <v>287.42899999999997</v>
      </c>
      <c r="P673" s="8">
        <v>280.32799999999997</v>
      </c>
      <c r="Q673" s="8">
        <v>99.535899999999998</v>
      </c>
      <c r="R673" s="8">
        <v>-0.18901899999999999</v>
      </c>
      <c r="S673" s="8">
        <v>0.1318</v>
      </c>
      <c r="T673" s="7">
        <f>C673-D673</f>
        <v>6.4311588068206618</v>
      </c>
      <c r="U673" s="8">
        <f>D673/C673</f>
        <v>0.96943211505449345</v>
      </c>
      <c r="V673" s="8">
        <v>58.619126159042686</v>
      </c>
      <c r="W673" s="8">
        <v>37.788614607316866</v>
      </c>
      <c r="X673" s="8">
        <v>1.1036615763554629</v>
      </c>
      <c r="Y673" s="8">
        <v>68.060892276233048</v>
      </c>
      <c r="Z673" s="8">
        <v>99.567807621360615</v>
      </c>
      <c r="AA673" s="7">
        <v>58.420549577050593</v>
      </c>
      <c r="AB673" s="7">
        <v>36.564774087556373</v>
      </c>
      <c r="AC673" s="7">
        <v>1.0598437209330229</v>
      </c>
      <c r="AD673" s="7">
        <v>71.610517126627244</v>
      </c>
      <c r="AE673" s="7">
        <v>102.3663918125829</v>
      </c>
      <c r="AF673" s="8">
        <v>57.117473177098717</v>
      </c>
      <c r="AG673" s="8">
        <v>34.195527769796882</v>
      </c>
      <c r="AH673" s="8">
        <v>0.96093983636563385</v>
      </c>
      <c r="AI673" s="8">
        <v>78.961680027254573</v>
      </c>
      <c r="AJ673" s="8">
        <v>107.898040506467</v>
      </c>
      <c r="AK673" s="8">
        <v>58.293913092497093</v>
      </c>
      <c r="AL673" s="8">
        <v>35.415538020757211</v>
      </c>
      <c r="AM673" s="8">
        <v>1.0196138192972239</v>
      </c>
      <c r="AN673" s="8">
        <v>74.91253395273452</v>
      </c>
      <c r="AO673" s="8">
        <v>104.986961554703</v>
      </c>
      <c r="AP673" s="8">
        <v>59.189348763793262</v>
      </c>
      <c r="AQ673" s="8">
        <v>37.439828424594488</v>
      </c>
      <c r="AR673" s="8">
        <v>1.0921406100611399</v>
      </c>
      <c r="AS673" s="8">
        <v>69.704476155006887</v>
      </c>
      <c r="AT673" s="8">
        <v>102.33099950114121</v>
      </c>
      <c r="AU673" s="8">
        <v>54.914022119569573</v>
      </c>
      <c r="AV673" s="8">
        <v>37.525737420039661</v>
      </c>
      <c r="AW673" s="8">
        <v>1.047906626851409</v>
      </c>
      <c r="AX673" s="8">
        <v>69.719459051359294</v>
      </c>
      <c r="AY673" s="8">
        <v>103.6283989041909</v>
      </c>
      <c r="AZ673" s="8">
        <v>57.979924772541793</v>
      </c>
      <c r="BA673" s="8">
        <v>34.246696564940251</v>
      </c>
      <c r="BB673" s="8">
        <v>1.0054626291973801</v>
      </c>
      <c r="BC673" s="8">
        <v>76.391286157954085</v>
      </c>
      <c r="BD673" s="8">
        <v>106.18201112120749</v>
      </c>
      <c r="BE673" s="8">
        <v>46.200735789833487</v>
      </c>
      <c r="BF673" s="8">
        <v>31.38250226048206</v>
      </c>
      <c r="BG673" s="8">
        <v>0.98759225878671486</v>
      </c>
      <c r="BH673" s="8">
        <v>75.337812029701013</v>
      </c>
      <c r="BI673" s="8">
        <v>87.303481490787064</v>
      </c>
    </row>
    <row r="674" spans="1:61" s="5" customFormat="1" x14ac:dyDescent="0.15">
      <c r="A674" s="7">
        <v>2018</v>
      </c>
      <c r="B674" s="7">
        <v>64</v>
      </c>
      <c r="C674" s="7">
        <v>42.257125885067317</v>
      </c>
      <c r="D674" s="7">
        <v>12.486536529191582</v>
      </c>
      <c r="E674" s="8">
        <v>51.931193574680577</v>
      </c>
      <c r="F674" s="8">
        <v>35.287239744374872</v>
      </c>
      <c r="G674" s="8">
        <v>0.93312184661312958</v>
      </c>
      <c r="H674" s="8">
        <v>71.946851978069219</v>
      </c>
      <c r="I674" s="8">
        <v>86.947185055154918</v>
      </c>
      <c r="J674" s="8">
        <v>57.590691549485193</v>
      </c>
      <c r="K674" s="8">
        <v>37.468433190205431</v>
      </c>
      <c r="L674" s="8">
        <v>1.0933138448711881</v>
      </c>
      <c r="M674" s="8">
        <v>73.407514573960881</v>
      </c>
      <c r="N674" s="8">
        <v>106.1635741555633</v>
      </c>
      <c r="O674" s="8">
        <v>287.20699999999999</v>
      </c>
      <c r="P674" s="8">
        <v>278.44</v>
      </c>
      <c r="Q674" s="8">
        <v>99.638499999999993</v>
      </c>
      <c r="R674" s="8">
        <v>-0.12687399999999999</v>
      </c>
      <c r="S674" s="8">
        <v>0.36496000000000001</v>
      </c>
      <c r="T674" s="7">
        <f>C674-D674</f>
        <v>29.770589355875735</v>
      </c>
      <c r="U674" s="8">
        <f>D674/C674</f>
        <v>0.29548948887704718</v>
      </c>
      <c r="V674" s="8">
        <v>54.674888354910472</v>
      </c>
      <c r="W674" s="8">
        <v>36.917192645503675</v>
      </c>
      <c r="X674" s="8">
        <v>1.0803895198458859</v>
      </c>
      <c r="Y674" s="8">
        <v>70.178459144318438</v>
      </c>
      <c r="Z674" s="8">
        <v>89.654126338882989</v>
      </c>
      <c r="AA674" s="7">
        <v>56.132789952197832</v>
      </c>
      <c r="AB674" s="7">
        <v>37.192812917854553</v>
      </c>
      <c r="AC674" s="7">
        <v>1.086851682358537</v>
      </c>
      <c r="AD674" s="7">
        <v>71.79298685913966</v>
      </c>
      <c r="AE674" s="7">
        <v>97.908850247223143</v>
      </c>
      <c r="AF674" s="8">
        <v>57.216991664961412</v>
      </c>
      <c r="AG674" s="8">
        <v>36.96965963586311</v>
      </c>
      <c r="AH674" s="8">
        <v>1.066480003504142</v>
      </c>
      <c r="AI674" s="8">
        <v>74.078723235137403</v>
      </c>
      <c r="AJ674" s="8">
        <v>106.4366116010942</v>
      </c>
      <c r="AK674" s="8">
        <v>57.618434002721258</v>
      </c>
      <c r="AL674" s="8">
        <v>37.505460769232833</v>
      </c>
      <c r="AM674" s="8">
        <v>1.095305915567752</v>
      </c>
      <c r="AN674" s="8">
        <v>73.357685886114041</v>
      </c>
      <c r="AO674" s="8">
        <v>106.143304605376</v>
      </c>
      <c r="AP674" s="8">
        <v>57.310426235398332</v>
      </c>
      <c r="AQ674" s="8">
        <v>37.811253165548301</v>
      </c>
      <c r="AR674" s="8">
        <v>1.1343508101976949</v>
      </c>
      <c r="AS674" s="8">
        <v>70.950097302486299</v>
      </c>
      <c r="AT674" s="8">
        <v>98.304789488588028</v>
      </c>
      <c r="AU674" s="8">
        <v>54.159419459600443</v>
      </c>
      <c r="AV674" s="8">
        <v>36.310131685700171</v>
      </c>
      <c r="AW674" s="8">
        <v>1.0999171141316859</v>
      </c>
      <c r="AX674" s="8">
        <v>72.275416647432095</v>
      </c>
      <c r="AY674" s="8">
        <v>93.637230682075469</v>
      </c>
      <c r="AZ674" s="8">
        <v>56.729885709137143</v>
      </c>
      <c r="BA674" s="8">
        <v>37.220498943534572</v>
      </c>
      <c r="BB674" s="8">
        <v>1.0680859522590129</v>
      </c>
      <c r="BC674" s="8">
        <v>73.786896563835995</v>
      </c>
      <c r="BD674" s="8">
        <v>106.0527870937434</v>
      </c>
      <c r="BE674" s="8">
        <v>56.325527820312068</v>
      </c>
      <c r="BF674" s="8">
        <v>39.607520456261767</v>
      </c>
      <c r="BG674" s="8">
        <v>1.0477324324469599</v>
      </c>
      <c r="BH674" s="8">
        <v>75.093349700838289</v>
      </c>
      <c r="BI674" s="8">
        <v>107.7753967303225</v>
      </c>
    </row>
    <row r="675" spans="1:61" s="5" customFormat="1" x14ac:dyDescent="0.15">
      <c r="A675" s="7">
        <v>2017</v>
      </c>
      <c r="B675" s="7">
        <v>45</v>
      </c>
      <c r="C675" s="7">
        <v>62.575673164615203</v>
      </c>
      <c r="D675" s="7">
        <v>52.547347094122479</v>
      </c>
      <c r="E675" s="8">
        <v>40.951401207329887</v>
      </c>
      <c r="F675" s="8">
        <v>18.626320368971498</v>
      </c>
      <c r="G675" s="8">
        <v>0.93344144966879938</v>
      </c>
      <c r="H675" s="8">
        <v>78.041978095281308</v>
      </c>
      <c r="I675" s="8">
        <v>63.19031473592959</v>
      </c>
      <c r="J675" s="8">
        <v>53.816851232999149</v>
      </c>
      <c r="K675" s="8">
        <v>29.410941943328169</v>
      </c>
      <c r="L675" s="8">
        <v>1.0375657695217579</v>
      </c>
      <c r="M675" s="8">
        <v>67.661687679633559</v>
      </c>
      <c r="N675" s="8">
        <v>84.223804387813004</v>
      </c>
      <c r="O675" s="8">
        <v>288.78300000000002</v>
      </c>
      <c r="P675" s="8">
        <v>283.52</v>
      </c>
      <c r="Q675" s="8">
        <v>97.093399999999988</v>
      </c>
      <c r="R675" s="8">
        <v>-0.32462600000000003</v>
      </c>
      <c r="S675" s="8">
        <v>-9.4872999999999999E-2</v>
      </c>
      <c r="T675" s="7">
        <f>C675-D675</f>
        <v>10.028326070492724</v>
      </c>
      <c r="U675" s="8">
        <f>D675/C675</f>
        <v>0.83974081998108707</v>
      </c>
      <c r="V675" s="8">
        <v>44.491035496259236</v>
      </c>
      <c r="W675" s="8">
        <v>19.743802497452933</v>
      </c>
      <c r="X675" s="8">
        <v>0.92660371449593915</v>
      </c>
      <c r="Y675" s="8">
        <v>74.052635179278042</v>
      </c>
      <c r="Z675" s="8">
        <v>64.917868855130649</v>
      </c>
      <c r="AA675" s="7">
        <v>49.153943364629193</v>
      </c>
      <c r="AB675" s="7">
        <v>24.577372220390551</v>
      </c>
      <c r="AC675" s="7">
        <v>0.98208474200884854</v>
      </c>
      <c r="AD675" s="7">
        <v>70.8571614294558</v>
      </c>
      <c r="AE675" s="7">
        <v>74.570836621471827</v>
      </c>
      <c r="AF675" s="8">
        <v>53.157714137007048</v>
      </c>
      <c r="AG675" s="8">
        <v>28.143184244504351</v>
      </c>
      <c r="AH675" s="8">
        <v>1.047352207371691</v>
      </c>
      <c r="AI675" s="8">
        <v>68.903364003394458</v>
      </c>
      <c r="AJ675" s="8">
        <v>82.497723575096487</v>
      </c>
      <c r="AK675" s="8">
        <v>53.945202091605729</v>
      </c>
      <c r="AL675" s="8">
        <v>29.6578068067057</v>
      </c>
      <c r="AM675" s="8">
        <v>1.0356600996567531</v>
      </c>
      <c r="AN675" s="8">
        <v>67.419901527351698</v>
      </c>
      <c r="AO675" s="8">
        <v>84.559916489049016</v>
      </c>
      <c r="AP675" s="8">
        <v>55.402996834054839</v>
      </c>
      <c r="AQ675" s="8">
        <v>29.04994296230343</v>
      </c>
      <c r="AR675" s="8">
        <v>1.0203695086867861</v>
      </c>
      <c r="AS675" s="8">
        <v>65.225331558455963</v>
      </c>
      <c r="AT675" s="8">
        <v>82.980020356550213</v>
      </c>
      <c r="AU675" s="8">
        <v>48.50351549153595</v>
      </c>
      <c r="AV675" s="8">
        <v>29.81970041760956</v>
      </c>
      <c r="AW675" s="8">
        <v>0.96881744518817792</v>
      </c>
      <c r="AX675" s="8">
        <v>70.509838284417526</v>
      </c>
      <c r="AY675" s="8">
        <v>78.711782961211753</v>
      </c>
      <c r="AZ675" s="8">
        <v>55.595390484731787</v>
      </c>
      <c r="BA675" s="8">
        <v>31.259427820114499</v>
      </c>
      <c r="BB675" s="8">
        <v>1.0614059136269021</v>
      </c>
      <c r="BC675" s="8">
        <v>65.968972144500711</v>
      </c>
      <c r="BD675" s="8">
        <v>86.601136384913104</v>
      </c>
      <c r="BE675" s="8">
        <v>55.38715624959233</v>
      </c>
      <c r="BF675" s="8">
        <v>41.067429987783939</v>
      </c>
      <c r="BG675" s="8">
        <v>1.0214191168420981</v>
      </c>
      <c r="BH675" s="8">
        <v>67.600047901262656</v>
      </c>
      <c r="BI675" s="8">
        <v>99.579419019460289</v>
      </c>
    </row>
    <row r="676" spans="1:61" s="5" customFormat="1" x14ac:dyDescent="0.15">
      <c r="A676" s="7">
        <v>2018</v>
      </c>
      <c r="B676" s="7">
        <v>135</v>
      </c>
      <c r="C676" s="7">
        <v>46.925259631441584</v>
      </c>
      <c r="D676" s="7">
        <v>24.47139854147947</v>
      </c>
      <c r="E676" s="8">
        <v>54.237947483181273</v>
      </c>
      <c r="F676" s="8">
        <v>29.863435833362679</v>
      </c>
      <c r="G676" s="8">
        <v>0.9335365983172228</v>
      </c>
      <c r="H676" s="8">
        <v>82.211193559663116</v>
      </c>
      <c r="I676" s="8">
        <v>95.28994608244443</v>
      </c>
      <c r="J676" s="8">
        <v>61.687427382053777</v>
      </c>
      <c r="K676" s="8">
        <v>37.310768388047791</v>
      </c>
      <c r="L676" s="8">
        <v>1.2110092339301091</v>
      </c>
      <c r="M676" s="8">
        <v>74.002596756861038</v>
      </c>
      <c r="N676" s="8">
        <v>112.2663141227046</v>
      </c>
      <c r="O676" s="8">
        <v>288.12700000000001</v>
      </c>
      <c r="P676" s="8">
        <v>278.59399999999999</v>
      </c>
      <c r="Q676" s="8">
        <v>98.754100000000008</v>
      </c>
      <c r="R676" s="8">
        <v>2.4574800000000002E-3</v>
      </c>
      <c r="S676" s="8">
        <v>-0.16711699999999999</v>
      </c>
      <c r="T676" s="7">
        <f>C676-D676</f>
        <v>22.453861089962114</v>
      </c>
      <c r="U676" s="8">
        <f>D676/C676</f>
        <v>0.52149734990667518</v>
      </c>
      <c r="V676" s="8">
        <v>64.028657384348065</v>
      </c>
      <c r="W676" s="8">
        <v>36.395689098017215</v>
      </c>
      <c r="X676" s="8">
        <v>1.132959408855793</v>
      </c>
      <c r="Y676" s="8">
        <v>72.281675923969345</v>
      </c>
      <c r="Z676" s="8">
        <v>102.73373479093659</v>
      </c>
      <c r="AA676" s="7">
        <v>62.858042383200917</v>
      </c>
      <c r="AB676" s="7">
        <v>36.853228743032503</v>
      </c>
      <c r="AC676" s="7">
        <v>1.1719843213929511</v>
      </c>
      <c r="AD676" s="7">
        <v>73.142136340415192</v>
      </c>
      <c r="AE676" s="7">
        <v>107.5000244568206</v>
      </c>
      <c r="AF676" s="8">
        <v>61.125335832099083</v>
      </c>
      <c r="AG676" s="8">
        <v>36.274580766507633</v>
      </c>
      <c r="AH676" s="8">
        <v>1.226653430101931</v>
      </c>
      <c r="AI676" s="8">
        <v>75.461185418930043</v>
      </c>
      <c r="AJ676" s="8">
        <v>110.78098696686649</v>
      </c>
      <c r="AK676" s="8">
        <v>61.744593946687957</v>
      </c>
      <c r="AL676" s="8">
        <v>37.416152086921549</v>
      </c>
      <c r="AM676" s="8">
        <v>1.2094181675785891</v>
      </c>
      <c r="AN676" s="8">
        <v>73.854253478917158</v>
      </c>
      <c r="AO676" s="8">
        <v>112.4173767936592</v>
      </c>
      <c r="AP676" s="8">
        <v>65.438659793724156</v>
      </c>
      <c r="AQ676" s="8">
        <v>38.282088802527888</v>
      </c>
      <c r="AR676" s="8">
        <v>1.2008567512847961</v>
      </c>
      <c r="AS676" s="8">
        <v>71.115155562875614</v>
      </c>
      <c r="AT676" s="8">
        <v>108.6643565385256</v>
      </c>
      <c r="AU676" s="8">
        <v>55.588933790370923</v>
      </c>
      <c r="AV676" s="8">
        <v>32.74782254333347</v>
      </c>
      <c r="AW676" s="8">
        <v>1.1946862093926931</v>
      </c>
      <c r="AX676" s="8">
        <v>78.040931859813611</v>
      </c>
      <c r="AY676" s="8">
        <v>100.2412170351767</v>
      </c>
      <c r="AZ676" s="8">
        <v>60.272084063437951</v>
      </c>
      <c r="BA676" s="8">
        <v>36.686660510812487</v>
      </c>
      <c r="BB676" s="8">
        <v>1.1917938090655</v>
      </c>
      <c r="BC676" s="8">
        <v>74.172315994645643</v>
      </c>
      <c r="BD676" s="8">
        <v>112.31291541976481</v>
      </c>
      <c r="BE676" s="8">
        <v>57.741260260708152</v>
      </c>
      <c r="BF676" s="8">
        <v>38.667149832693028</v>
      </c>
      <c r="BG676" s="8">
        <v>0.99989227310054196</v>
      </c>
      <c r="BH676" s="8">
        <v>70.890518840208671</v>
      </c>
      <c r="BI676" s="8">
        <v>108.8143407752012</v>
      </c>
    </row>
    <row r="677" spans="1:61" s="5" customFormat="1" x14ac:dyDescent="0.15">
      <c r="A677" s="7">
        <v>2017</v>
      </c>
      <c r="B677" s="7">
        <v>15</v>
      </c>
      <c r="C677" s="7">
        <v>23.070960455517135</v>
      </c>
      <c r="D677" s="7">
        <v>5.9271307032418274</v>
      </c>
      <c r="E677" s="8">
        <v>37.134757628615738</v>
      </c>
      <c r="F677" s="8">
        <v>18.349210015094719</v>
      </c>
      <c r="G677" s="8">
        <v>0.93489870928089136</v>
      </c>
      <c r="H677" s="8">
        <v>66.815992254398964</v>
      </c>
      <c r="I677" s="8">
        <v>54.699233134458581</v>
      </c>
      <c r="J677" s="8">
        <v>47.427103305950148</v>
      </c>
      <c r="K677" s="8">
        <v>25.56605384712384</v>
      </c>
      <c r="L677" s="8">
        <v>1.008975790782785</v>
      </c>
      <c r="M677" s="8">
        <v>62.42123489089844</v>
      </c>
      <c r="N677" s="8">
        <v>71.30855189249209</v>
      </c>
      <c r="O677" s="8">
        <v>291.25299999999999</v>
      </c>
      <c r="P677" s="8">
        <v>286.95999999999998</v>
      </c>
      <c r="Q677" s="8">
        <v>99.668899999999994</v>
      </c>
      <c r="R677" s="8">
        <v>-0.11017</v>
      </c>
      <c r="S677" s="8">
        <v>-0.65763099999999997</v>
      </c>
      <c r="T677" s="7">
        <f>C677-D677</f>
        <v>17.143829752275309</v>
      </c>
      <c r="U677" s="8">
        <f>D677/C677</f>
        <v>0.25690871061349452</v>
      </c>
      <c r="V677" s="8">
        <v>35.906298666313667</v>
      </c>
      <c r="W677" s="8">
        <v>14.06833559572766</v>
      </c>
      <c r="X677" s="8">
        <v>0.87837005288028314</v>
      </c>
      <c r="Y677" s="8">
        <v>67.240581761878332</v>
      </c>
      <c r="Z677" s="8">
        <v>52.380616973992105</v>
      </c>
      <c r="AA677" s="7">
        <v>41.666700986131907</v>
      </c>
      <c r="AB677" s="7">
        <v>19.81719472142575</v>
      </c>
      <c r="AC677" s="7">
        <v>0.94367292183153406</v>
      </c>
      <c r="AD677" s="7">
        <v>64.830908326388382</v>
      </c>
      <c r="AE677" s="7">
        <v>61.844584433242098</v>
      </c>
      <c r="AF677" s="8">
        <v>47.455441829485864</v>
      </c>
      <c r="AG677" s="8">
        <v>25.763269091653431</v>
      </c>
      <c r="AH677" s="8">
        <v>0.98925069872388682</v>
      </c>
      <c r="AI677" s="8">
        <v>62.127471608128687</v>
      </c>
      <c r="AJ677" s="8">
        <v>69.388297895133064</v>
      </c>
      <c r="AK677" s="8">
        <v>47.422535360548387</v>
      </c>
      <c r="AL677" s="8">
        <v>25.534264312701868</v>
      </c>
      <c r="AM677" s="8">
        <v>1.0121553192947841</v>
      </c>
      <c r="AN677" s="8">
        <v>62.468587203909493</v>
      </c>
      <c r="AO677" s="8">
        <v>71.618081618216706</v>
      </c>
      <c r="AP677" s="8">
        <v>46.193922578962272</v>
      </c>
      <c r="AQ677" s="8">
        <v>20.19554007014003</v>
      </c>
      <c r="AR677" s="8">
        <v>0.94256802230721459</v>
      </c>
      <c r="AS677" s="8">
        <v>63.135759928575162</v>
      </c>
      <c r="AT677" s="8">
        <v>68.762576540449771</v>
      </c>
      <c r="AU677" s="8">
        <v>42.999381895950528</v>
      </c>
      <c r="AV677" s="8">
        <v>24.22898761536813</v>
      </c>
      <c r="AW677" s="8">
        <v>0.89740552231235338</v>
      </c>
      <c r="AX677" s="8">
        <v>65.039312298463614</v>
      </c>
      <c r="AY677" s="8">
        <v>70.73349130017246</v>
      </c>
      <c r="AZ677" s="8">
        <v>48.070723854648598</v>
      </c>
      <c r="BA677" s="8">
        <v>27.909244220052891</v>
      </c>
      <c r="BB677" s="8">
        <v>1.017704104904384</v>
      </c>
      <c r="BC677" s="8">
        <v>61.544482620272483</v>
      </c>
      <c r="BD677" s="8">
        <v>73.289254707325867</v>
      </c>
      <c r="BE677" s="8">
        <v>43.264336168587462</v>
      </c>
      <c r="BF677" s="8">
        <v>28.003317727457819</v>
      </c>
      <c r="BG677" s="8">
        <v>0.85142061759761445</v>
      </c>
      <c r="BH677" s="8">
        <v>61.233257681485647</v>
      </c>
      <c r="BI677" s="8">
        <v>76.069679927417297</v>
      </c>
    </row>
    <row r="678" spans="1:61" s="5" customFormat="1" x14ac:dyDescent="0.15">
      <c r="A678" s="7">
        <v>2017</v>
      </c>
      <c r="B678" s="7">
        <v>27</v>
      </c>
      <c r="C678" s="7">
        <v>13.718775064627698</v>
      </c>
      <c r="D678" s="7">
        <v>10.192179427562289</v>
      </c>
      <c r="E678" s="8">
        <v>41.959227570725467</v>
      </c>
      <c r="F678" s="8">
        <v>31.163248807141802</v>
      </c>
      <c r="G678" s="8">
        <v>0.94111168689176672</v>
      </c>
      <c r="H678" s="8">
        <v>66.82563002222129</v>
      </c>
      <c r="I678" s="8">
        <v>76.415926692575979</v>
      </c>
      <c r="J678" s="8">
        <v>55.099802904813608</v>
      </c>
      <c r="K678" s="8">
        <v>48.584194629008493</v>
      </c>
      <c r="L678" s="8">
        <v>1.3750200699791071</v>
      </c>
      <c r="M678" s="8">
        <v>60.248898850270052</v>
      </c>
      <c r="N678" s="8">
        <v>96.265805854374335</v>
      </c>
      <c r="O678" s="8">
        <v>285.54300000000001</v>
      </c>
      <c r="P678" s="8">
        <v>275.68700000000001</v>
      </c>
      <c r="Q678" s="8">
        <v>99.769499999999994</v>
      </c>
      <c r="R678" s="8">
        <v>0.43219400000000002</v>
      </c>
      <c r="S678" s="8">
        <v>7.9919299999999999E-2</v>
      </c>
      <c r="T678" s="7">
        <f>C678-D678</f>
        <v>3.5265956370654088</v>
      </c>
      <c r="U678" s="8">
        <f>D678/C678</f>
        <v>0.74293655078882848</v>
      </c>
      <c r="V678" s="8">
        <v>51.190705142128074</v>
      </c>
      <c r="W678" s="8">
        <v>39.45661737071228</v>
      </c>
      <c r="X678" s="8">
        <v>1.1076562665431728</v>
      </c>
      <c r="Y678" s="8">
        <v>66.494711338334511</v>
      </c>
      <c r="Z678" s="8">
        <v>90.420642333588617</v>
      </c>
      <c r="AA678" s="7">
        <v>53.145254023470841</v>
      </c>
      <c r="AB678" s="7">
        <v>44.020405999860387</v>
      </c>
      <c r="AC678" s="7">
        <v>1.24133816826114</v>
      </c>
      <c r="AD678" s="7">
        <v>63.371805094302282</v>
      </c>
      <c r="AE678" s="7">
        <v>93.343224093981476</v>
      </c>
      <c r="AF678" s="8">
        <v>56.531138665511342</v>
      </c>
      <c r="AG678" s="8">
        <v>48.490430235970372</v>
      </c>
      <c r="AH678" s="8">
        <v>1.422206952682314</v>
      </c>
      <c r="AI678" s="8">
        <v>59.884208073256353</v>
      </c>
      <c r="AJ678" s="8">
        <v>96.677869476285821</v>
      </c>
      <c r="AK678" s="8">
        <v>54.873144720278781</v>
      </c>
      <c r="AL678" s="8">
        <v>48.599042624624587</v>
      </c>
      <c r="AM678" s="8">
        <v>1.367547823801065</v>
      </c>
      <c r="AN678" s="8">
        <v>60.306649206059546</v>
      </c>
      <c r="AO678" s="8">
        <v>96.200553804492088</v>
      </c>
      <c r="AP678" s="8">
        <v>56.091826622680223</v>
      </c>
      <c r="AQ678" s="8">
        <v>46.077220147699627</v>
      </c>
      <c r="AR678" s="8">
        <v>1.2939198678328589</v>
      </c>
      <c r="AS678" s="8">
        <v>62.674873756427992</v>
      </c>
      <c r="AT678" s="8">
        <v>97.082982596801713</v>
      </c>
      <c r="AU678" s="8">
        <v>46.040374553959062</v>
      </c>
      <c r="AV678" s="8">
        <v>37.11627797095651</v>
      </c>
      <c r="AW678" s="8">
        <v>1.1636773092069539</v>
      </c>
      <c r="AX678" s="8">
        <v>63.467780494842557</v>
      </c>
      <c r="AY678" s="8">
        <v>85.737019463988503</v>
      </c>
      <c r="AZ678" s="8">
        <v>54.500788231478772</v>
      </c>
      <c r="BA678" s="8">
        <v>48.340177519730503</v>
      </c>
      <c r="BB678" s="8">
        <v>1.349505236333528</v>
      </c>
      <c r="BC678" s="8">
        <v>60.272262549994437</v>
      </c>
      <c r="BD678" s="8">
        <v>97.364016110156925</v>
      </c>
      <c r="BE678" s="8">
        <v>53.288380081854051</v>
      </c>
      <c r="BF678" s="8">
        <v>39.574787672928828</v>
      </c>
      <c r="BG678" s="8">
        <v>1.245433372126926</v>
      </c>
      <c r="BH678" s="8">
        <v>67.779293408830071</v>
      </c>
      <c r="BI678" s="8">
        <v>99.637569410758729</v>
      </c>
    </row>
    <row r="679" spans="1:61" s="5" customFormat="1" x14ac:dyDescent="0.15">
      <c r="A679" s="7">
        <v>2017</v>
      </c>
      <c r="B679" s="7">
        <v>81</v>
      </c>
      <c r="C679" s="7">
        <v>19.602779214234371</v>
      </c>
      <c r="D679" s="7">
        <v>10.942344537000061</v>
      </c>
      <c r="E679" s="8">
        <v>35.135354914612932</v>
      </c>
      <c r="F679" s="8">
        <v>31.768242849030301</v>
      </c>
      <c r="G679" s="8">
        <v>0.94214731824365883</v>
      </c>
      <c r="H679" s="8">
        <v>72.504663332310841</v>
      </c>
      <c r="I679" s="8">
        <v>82.499307859883189</v>
      </c>
      <c r="J679" s="8">
        <v>40.499983346738382</v>
      </c>
      <c r="K679" s="8">
        <v>36.851266606710901</v>
      </c>
      <c r="L679" s="8">
        <v>1.17004992353383</v>
      </c>
      <c r="M679" s="8">
        <v>69.667898211926413</v>
      </c>
      <c r="N679" s="8">
        <v>95.425148661800492</v>
      </c>
      <c r="O679" s="8">
        <v>280.08</v>
      </c>
      <c r="P679" s="8">
        <v>266.25299999999999</v>
      </c>
      <c r="Q679" s="8">
        <v>86.527899999999988</v>
      </c>
      <c r="R679" s="8">
        <v>1.6440300000000001</v>
      </c>
      <c r="S679" s="8">
        <v>0.115008</v>
      </c>
      <c r="T679" s="7">
        <f>C679-D679</f>
        <v>8.6604346772343099</v>
      </c>
      <c r="U679" s="8">
        <f>D679/C679</f>
        <v>0.55820373312445315</v>
      </c>
      <c r="V679" s="8">
        <v>32.086066538859278</v>
      </c>
      <c r="W679" s="8">
        <v>23.297011224769541</v>
      </c>
      <c r="X679" s="8">
        <v>0.88055998007209624</v>
      </c>
      <c r="Y679" s="8">
        <v>67.751892908949301</v>
      </c>
      <c r="Z679" s="8">
        <v>80.549627966061493</v>
      </c>
      <c r="AA679" s="7">
        <v>36.29302494279883</v>
      </c>
      <c r="AB679" s="7">
        <v>30.074138915740221</v>
      </c>
      <c r="AC679" s="7">
        <v>1.0253049518029631</v>
      </c>
      <c r="AD679" s="7">
        <v>68.709895560437857</v>
      </c>
      <c r="AE679" s="7">
        <v>87.987388313930992</v>
      </c>
      <c r="AF679" s="8">
        <v>43.443803701361261</v>
      </c>
      <c r="AG679" s="8">
        <v>40.326910661413983</v>
      </c>
      <c r="AH679" s="8">
        <v>1.3103266272092491</v>
      </c>
      <c r="AI679" s="8">
        <v>70.873700456675309</v>
      </c>
      <c r="AJ679" s="8">
        <v>98.83876519479756</v>
      </c>
      <c r="AK679" s="8">
        <v>40.332040245646937</v>
      </c>
      <c r="AL679" s="8">
        <v>36.652983297771797</v>
      </c>
      <c r="AM679" s="8">
        <v>1.1620472257506109</v>
      </c>
      <c r="AN679" s="8">
        <v>69.599107951689192</v>
      </c>
      <c r="AO679" s="8">
        <v>95.230403983991494</v>
      </c>
      <c r="AP679" s="8">
        <v>37.004435013547223</v>
      </c>
      <c r="AQ679" s="8">
        <v>31.3354916334292</v>
      </c>
      <c r="AR679" s="8">
        <v>1.002700553679561</v>
      </c>
      <c r="AS679" s="8">
        <v>71.526825879964633</v>
      </c>
      <c r="AT679" s="8">
        <v>88.188059556258153</v>
      </c>
      <c r="AU679" s="8">
        <v>35.987181554786879</v>
      </c>
      <c r="AV679" s="8">
        <v>29.587222962956279</v>
      </c>
      <c r="AW679" s="8">
        <v>1.0262896182695811</v>
      </c>
      <c r="AX679" s="8">
        <v>68.005488836163863</v>
      </c>
      <c r="AY679" s="8">
        <v>87.810635711112653</v>
      </c>
      <c r="AZ679" s="8">
        <v>41.951821975344608</v>
      </c>
      <c r="BA679" s="8">
        <v>38.152620931083938</v>
      </c>
      <c r="BB679" s="8">
        <v>1.190096561733031</v>
      </c>
      <c r="BC679" s="8">
        <v>70.996067151879089</v>
      </c>
      <c r="BD679" s="8">
        <v>95.637222119212922</v>
      </c>
      <c r="BE679" s="8">
        <v>35.282265112598147</v>
      </c>
      <c r="BF679" s="8">
        <v>29.445563962028501</v>
      </c>
      <c r="BG679" s="8">
        <v>0.95871634971665431</v>
      </c>
      <c r="BH679" s="8">
        <v>73.455301974190036</v>
      </c>
      <c r="BI679" s="8">
        <v>83.675106912245766</v>
      </c>
    </row>
    <row r="680" spans="1:61" s="5" customFormat="1" x14ac:dyDescent="0.15">
      <c r="A680" s="7">
        <v>2018</v>
      </c>
      <c r="B680" s="7">
        <v>114</v>
      </c>
      <c r="C680" s="7">
        <v>63.579447956909156</v>
      </c>
      <c r="D680" s="7">
        <v>2.2924038972743763</v>
      </c>
      <c r="E680" s="8">
        <v>53.172537490886697</v>
      </c>
      <c r="F680" s="8">
        <v>34.844471151435073</v>
      </c>
      <c r="G680" s="8">
        <v>0.94691802884935139</v>
      </c>
      <c r="H680" s="8">
        <v>71.778509217724718</v>
      </c>
      <c r="I680" s="8">
        <v>90.419733811862841</v>
      </c>
      <c r="J680" s="8">
        <v>56.799719197018653</v>
      </c>
      <c r="K680" s="8">
        <v>37.878579686693257</v>
      </c>
      <c r="L680" s="8">
        <v>1.05887621977764</v>
      </c>
      <c r="M680" s="8">
        <v>72.990119153762564</v>
      </c>
      <c r="N680" s="8">
        <v>102.01496109157191</v>
      </c>
      <c r="O680" s="8">
        <v>287.61099999999999</v>
      </c>
      <c r="P680" s="8">
        <v>278.60000000000002</v>
      </c>
      <c r="Q680" s="8">
        <v>101.58</v>
      </c>
      <c r="R680" s="8">
        <v>-0.31670799999999999</v>
      </c>
      <c r="S680" s="8">
        <v>0.18928</v>
      </c>
      <c r="T680" s="7">
        <f>C680-D680</f>
        <v>61.287044059634781</v>
      </c>
      <c r="U680" s="8">
        <f>D680/C680</f>
        <v>3.6055737678440503E-2</v>
      </c>
      <c r="V680" s="8">
        <v>54.400091427846242</v>
      </c>
      <c r="W680" s="8">
        <v>40.483246321030265</v>
      </c>
      <c r="X680" s="8">
        <v>1.0777715799330141</v>
      </c>
      <c r="Y680" s="8">
        <v>69.469815717516738</v>
      </c>
      <c r="Z680" s="8">
        <v>82.155804675609943</v>
      </c>
      <c r="AA680" s="7">
        <v>55.599905312432448</v>
      </c>
      <c r="AB680" s="7">
        <v>39.180913003861761</v>
      </c>
      <c r="AC680" s="7">
        <v>1.0683238998553271</v>
      </c>
      <c r="AD680" s="7">
        <v>71.229967435639651</v>
      </c>
      <c r="AE680" s="7">
        <v>92.085382883590924</v>
      </c>
      <c r="AF680" s="8">
        <v>57.751940755518397</v>
      </c>
      <c r="AG680" s="8">
        <v>37.29998982382206</v>
      </c>
      <c r="AH680" s="8">
        <v>1.129198062658463</v>
      </c>
      <c r="AI680" s="8">
        <v>73.791215240785064</v>
      </c>
      <c r="AJ680" s="8">
        <v>102.8929061951017</v>
      </c>
      <c r="AK680" s="8">
        <v>56.724932161034559</v>
      </c>
      <c r="AL680" s="8">
        <v>37.924021863997822</v>
      </c>
      <c r="AM680" s="8">
        <v>1.0533531751174441</v>
      </c>
      <c r="AN680" s="8">
        <v>72.927201441648108</v>
      </c>
      <c r="AO680" s="8">
        <v>101.9460076936325</v>
      </c>
      <c r="AP680" s="8">
        <v>57.631593483929208</v>
      </c>
      <c r="AQ680" s="8">
        <v>40.573212241231573</v>
      </c>
      <c r="AR680" s="8">
        <v>1.106541227577289</v>
      </c>
      <c r="AS680" s="8">
        <v>70.124536699584141</v>
      </c>
      <c r="AT680" s="8">
        <v>92.515321328515043</v>
      </c>
      <c r="AU680" s="8">
        <v>55.93191544602837</v>
      </c>
      <c r="AV680" s="8">
        <v>33.644841236694099</v>
      </c>
      <c r="AW680" s="8">
        <v>1.038191100919621</v>
      </c>
      <c r="AX680" s="8">
        <v>76.792507221655725</v>
      </c>
      <c r="AY680" s="8">
        <v>97.765225201919264</v>
      </c>
      <c r="AZ680" s="8">
        <v>55.732184476187278</v>
      </c>
      <c r="BA680" s="8">
        <v>38.270722142111282</v>
      </c>
      <c r="BB680" s="8">
        <v>1.029698594041792</v>
      </c>
      <c r="BC680" s="8">
        <v>73.696772168639484</v>
      </c>
      <c r="BD680" s="8">
        <v>100.5865378877625</v>
      </c>
      <c r="BE680" s="8">
        <v>50.038484766570093</v>
      </c>
      <c r="BF680" s="8">
        <v>37.630590320140861</v>
      </c>
      <c r="BG680" s="8">
        <v>0.93548273790354586</v>
      </c>
      <c r="BH680" s="8">
        <v>72.547051525593275</v>
      </c>
      <c r="BI680" s="8">
        <v>93.324896111710586</v>
      </c>
    </row>
    <row r="681" spans="1:61" s="5" customFormat="1" x14ac:dyDescent="0.15">
      <c r="A681" s="7">
        <v>2018</v>
      </c>
      <c r="B681" s="7">
        <v>126</v>
      </c>
      <c r="C681" s="7">
        <v>13.792735515869181</v>
      </c>
      <c r="D681" s="7">
        <v>10.789257307498593</v>
      </c>
      <c r="E681" s="8">
        <v>34.93392977047391</v>
      </c>
      <c r="F681" s="8">
        <v>17.902450136261159</v>
      </c>
      <c r="G681" s="8">
        <v>0.94805122187452562</v>
      </c>
      <c r="H681" s="8">
        <v>61.625720533340377</v>
      </c>
      <c r="I681" s="8">
        <v>53.387774302274202</v>
      </c>
      <c r="J681" s="8">
        <v>42.652672440914777</v>
      </c>
      <c r="K681" s="8">
        <v>22.669441701484359</v>
      </c>
      <c r="L681" s="8">
        <v>0.929896193838327</v>
      </c>
      <c r="M681" s="8">
        <v>61.199340001083272</v>
      </c>
      <c r="N681" s="8">
        <v>62.327744891352303</v>
      </c>
      <c r="O681" s="8">
        <v>291.50400000000002</v>
      </c>
      <c r="P681" s="8">
        <v>286.97300000000001</v>
      </c>
      <c r="Q681" s="8">
        <v>99.673000000000002</v>
      </c>
      <c r="R681" s="8">
        <v>-1.5533399999999999E-2</v>
      </c>
      <c r="S681" s="8">
        <v>-1.10544</v>
      </c>
      <c r="T681" s="7">
        <f>C681-D681</f>
        <v>3.0034782083705878</v>
      </c>
      <c r="U681" s="8">
        <f>D681/C681</f>
        <v>0.78224202117738373</v>
      </c>
      <c r="V681" s="8">
        <v>34.174589680955641</v>
      </c>
      <c r="W681" s="8">
        <v>15.706572457599123</v>
      </c>
      <c r="X681" s="8">
        <v>0.96396931020724552</v>
      </c>
      <c r="Y681" s="8">
        <v>61.178836240478162</v>
      </c>
      <c r="Z681" s="8">
        <v>52.794551832204583</v>
      </c>
      <c r="AA681" s="7">
        <v>38.413631060935209</v>
      </c>
      <c r="AB681" s="7">
        <v>19.188007079541741</v>
      </c>
      <c r="AC681" s="7">
        <v>0.94693275202278626</v>
      </c>
      <c r="AD681" s="7">
        <v>61.189088120780717</v>
      </c>
      <c r="AE681" s="7">
        <v>57.561148361778443</v>
      </c>
      <c r="AF681" s="8">
        <v>41.915323714176402</v>
      </c>
      <c r="AG681" s="8">
        <v>22.016214953904822</v>
      </c>
      <c r="AH681" s="8">
        <v>0.96448184549185767</v>
      </c>
      <c r="AI681" s="8">
        <v>60.909856176869098</v>
      </c>
      <c r="AJ681" s="8">
        <v>61.655253838698371</v>
      </c>
      <c r="AK681" s="8">
        <v>42.79102569873789</v>
      </c>
      <c r="AL681" s="8">
        <v>22.79201063711486</v>
      </c>
      <c r="AM681" s="8">
        <v>0.92340667618313554</v>
      </c>
      <c r="AN681" s="8">
        <v>61.253657624094963</v>
      </c>
      <c r="AO681" s="8">
        <v>62.45392850653684</v>
      </c>
      <c r="AP681" s="8">
        <v>40.477843577111642</v>
      </c>
      <c r="AQ681" s="8">
        <v>19.41666669517236</v>
      </c>
      <c r="AR681" s="8">
        <v>0.95129475752751735</v>
      </c>
      <c r="AS681" s="8">
        <v>60.98034208743254</v>
      </c>
      <c r="AT681" s="8">
        <v>59.773894665710792</v>
      </c>
      <c r="AU681" s="8">
        <v>43.88975166425989</v>
      </c>
      <c r="AV681" s="8">
        <v>23.635726451790291</v>
      </c>
      <c r="AW681" s="8">
        <v>0.79291555758734589</v>
      </c>
      <c r="AX681" s="8">
        <v>65.544066062620658</v>
      </c>
      <c r="AY681" s="8">
        <v>66.795652911443526</v>
      </c>
      <c r="AZ681" s="8">
        <v>43.458049264149693</v>
      </c>
      <c r="BA681" s="8">
        <v>25.193414060907511</v>
      </c>
      <c r="BB681" s="8">
        <v>0.90875659129082542</v>
      </c>
      <c r="BC681" s="8">
        <v>61.444342556275203</v>
      </c>
      <c r="BD681" s="8">
        <v>65.101669537102879</v>
      </c>
      <c r="BE681" s="8">
        <v>33.835495245917613</v>
      </c>
      <c r="BF681" s="8">
        <v>23.444570106639759</v>
      </c>
      <c r="BG681" s="8">
        <v>0.64622399473345449</v>
      </c>
      <c r="BH681" s="8">
        <v>61.227462129562788</v>
      </c>
      <c r="BI681" s="8">
        <v>62.586780809361777</v>
      </c>
    </row>
    <row r="682" spans="1:61" s="5" customFormat="1" x14ac:dyDescent="0.15">
      <c r="A682" s="7">
        <v>2017</v>
      </c>
      <c r="B682" s="7">
        <v>20</v>
      </c>
      <c r="C682" s="7">
        <v>140.27653138755528</v>
      </c>
      <c r="D682" s="7">
        <v>34.479932113021199</v>
      </c>
      <c r="E682" s="8">
        <v>55.546516488991863</v>
      </c>
      <c r="F682" s="8">
        <v>35.069620178254567</v>
      </c>
      <c r="G682" s="8">
        <v>0.94890604307369342</v>
      </c>
      <c r="H682" s="8">
        <v>78.843076862307612</v>
      </c>
      <c r="I682" s="8">
        <v>103.8673371393462</v>
      </c>
      <c r="J682" s="8">
        <v>63.983445962024298</v>
      </c>
      <c r="K682" s="8">
        <v>40.995996064953907</v>
      </c>
      <c r="L682" s="8">
        <v>1.1845692620722901</v>
      </c>
      <c r="M682" s="8">
        <v>73.779479936337339</v>
      </c>
      <c r="N682" s="8">
        <v>113.47362326667491</v>
      </c>
      <c r="O682" s="8">
        <v>287.91399999999999</v>
      </c>
      <c r="P682" s="8">
        <v>279.12700000000001</v>
      </c>
      <c r="Q682" s="8">
        <v>100.628</v>
      </c>
      <c r="R682" s="8">
        <v>-6.7121899999999998E-2</v>
      </c>
      <c r="S682" s="8">
        <v>0.58916500000000005</v>
      </c>
      <c r="T682" s="7">
        <f>C682-D682</f>
        <v>105.79659927453409</v>
      </c>
      <c r="U682" s="8">
        <f>D682/C682</f>
        <v>0.24579971982455298</v>
      </c>
      <c r="V682" s="8">
        <v>64.680922627711055</v>
      </c>
      <c r="W682" s="8">
        <v>40.643428051499278</v>
      </c>
      <c r="X682" s="8">
        <v>1.2777407596767698</v>
      </c>
      <c r="Y682" s="8">
        <v>69.880395298374992</v>
      </c>
      <c r="Z682" s="8">
        <v>108.57027554806768</v>
      </c>
      <c r="AA682" s="7">
        <v>64.332184294867673</v>
      </c>
      <c r="AB682" s="7">
        <v>40.819712058226592</v>
      </c>
      <c r="AC682" s="7">
        <v>1.2311550108745299</v>
      </c>
      <c r="AD682" s="7">
        <v>71.829937617356165</v>
      </c>
      <c r="AE682" s="7">
        <v>111.0219494073713</v>
      </c>
      <c r="AF682" s="8">
        <v>61.837153847640508</v>
      </c>
      <c r="AG682" s="8">
        <v>39.191221162902487</v>
      </c>
      <c r="AH682" s="8">
        <v>1.156368170593568</v>
      </c>
      <c r="AI682" s="8">
        <v>77.380590482176345</v>
      </c>
      <c r="AJ682" s="8">
        <v>111.3290955075674</v>
      </c>
      <c r="AK682" s="8">
        <v>64.267759875422968</v>
      </c>
      <c r="AL682" s="8">
        <v>41.235070052957298</v>
      </c>
      <c r="AM682" s="8">
        <v>1.1883049896681259</v>
      </c>
      <c r="AN682" s="8">
        <v>73.302449887628072</v>
      </c>
      <c r="AO682" s="8">
        <v>113.7577034603717</v>
      </c>
      <c r="AP682" s="8">
        <v>66.873885996047534</v>
      </c>
      <c r="AQ682" s="8">
        <v>42.218238455996612</v>
      </c>
      <c r="AR682" s="8">
        <v>1.309215502443027</v>
      </c>
      <c r="AS682" s="8">
        <v>69.586871832504798</v>
      </c>
      <c r="AT682" s="8">
        <v>111.81799901221081</v>
      </c>
      <c r="AU682" s="8">
        <v>58.117831907285911</v>
      </c>
      <c r="AV682" s="8">
        <v>39.592944902099248</v>
      </c>
      <c r="AW682" s="8">
        <v>1.114581241993734</v>
      </c>
      <c r="AX682" s="8">
        <v>76.029216921246999</v>
      </c>
      <c r="AY682" s="8">
        <v>108.319538710016</v>
      </c>
      <c r="AZ682" s="8">
        <v>64.738449507350339</v>
      </c>
      <c r="BA682" s="8">
        <v>41.056019879834132</v>
      </c>
      <c r="BB682" s="8">
        <v>1.228034459759572</v>
      </c>
      <c r="BC682" s="8">
        <v>72.533570636891397</v>
      </c>
      <c r="BD682" s="8">
        <v>114.67475685886851</v>
      </c>
      <c r="BE682" s="8">
        <v>57.395427029696499</v>
      </c>
      <c r="BF682" s="8">
        <v>39.050147037600333</v>
      </c>
      <c r="BG682" s="8">
        <v>1.1649590900205991</v>
      </c>
      <c r="BH682" s="8">
        <v>74.139533408237043</v>
      </c>
      <c r="BI682" s="8">
        <v>109.41808350084131</v>
      </c>
    </row>
    <row r="683" spans="1:61" s="5" customFormat="1" x14ac:dyDescent="0.15">
      <c r="A683" s="7">
        <v>2017</v>
      </c>
      <c r="B683" s="7">
        <v>42</v>
      </c>
      <c r="C683" s="7">
        <v>9.4188837555563563</v>
      </c>
      <c r="D683" s="7">
        <v>0.99707270321035801</v>
      </c>
      <c r="E683" s="8">
        <v>33.914102897218299</v>
      </c>
      <c r="F683" s="8">
        <v>28.917849874411679</v>
      </c>
      <c r="G683" s="8">
        <v>0.94969363334005663</v>
      </c>
      <c r="H683" s="8">
        <v>80.864660398477298</v>
      </c>
      <c r="I683" s="8">
        <v>77.976417757670191</v>
      </c>
      <c r="J683" s="8">
        <v>37.31866103119291</v>
      </c>
      <c r="K683" s="8">
        <v>35.643949308709203</v>
      </c>
      <c r="L683" s="8">
        <v>1.1171476037201351</v>
      </c>
      <c r="M683" s="8">
        <v>66.408234963860693</v>
      </c>
      <c r="N683" s="8">
        <v>85.096239881239143</v>
      </c>
      <c r="O683" s="8">
        <v>282.72000000000003</v>
      </c>
      <c r="P683" s="8">
        <v>271.50599999999997</v>
      </c>
      <c r="Q683" s="8">
        <v>87.365399999999994</v>
      </c>
      <c r="R683" s="8">
        <v>0.61620799999999998</v>
      </c>
      <c r="S683" s="8">
        <v>0.19847500000000001</v>
      </c>
      <c r="T683" s="7">
        <f>C683-D683</f>
        <v>8.4218110523459977</v>
      </c>
      <c r="U683" s="8">
        <f>D683/C683</f>
        <v>0.10585890314467128</v>
      </c>
      <c r="V683" s="8">
        <v>35.71906786219261</v>
      </c>
      <c r="W683" s="8">
        <v>33.941681474607144</v>
      </c>
      <c r="X683" s="8">
        <v>1.1423421825514268</v>
      </c>
      <c r="Y683" s="8">
        <v>67.373184810238016</v>
      </c>
      <c r="Z683" s="8">
        <v>84.599364774077543</v>
      </c>
      <c r="AA683" s="7">
        <v>36.51886444669276</v>
      </c>
      <c r="AB683" s="7">
        <v>34.792815391658173</v>
      </c>
      <c r="AC683" s="7">
        <v>1.129744893135781</v>
      </c>
      <c r="AD683" s="7">
        <v>66.890709887049354</v>
      </c>
      <c r="AE683" s="7">
        <v>84.847802327658343</v>
      </c>
      <c r="AF683" s="8">
        <v>37.749899859434791</v>
      </c>
      <c r="AG683" s="8">
        <v>35.842348219444773</v>
      </c>
      <c r="AH683" s="8">
        <v>1.130375651380549</v>
      </c>
      <c r="AI683" s="8">
        <v>65.560404603747926</v>
      </c>
      <c r="AJ683" s="8">
        <v>83.544091121496734</v>
      </c>
      <c r="AK683" s="8">
        <v>37.247401472890843</v>
      </c>
      <c r="AL683" s="8">
        <v>35.61116511159905</v>
      </c>
      <c r="AM683" s="8">
        <v>1.1149617503791389</v>
      </c>
      <c r="AN683" s="8">
        <v>66.548333705022358</v>
      </c>
      <c r="AO683" s="8">
        <v>85.352722896670031</v>
      </c>
      <c r="AP683" s="8">
        <v>35.665921873629308</v>
      </c>
      <c r="AQ683" s="8">
        <v>34.639913208200383</v>
      </c>
      <c r="AR683" s="8">
        <v>1.0847747720257861</v>
      </c>
      <c r="AS683" s="8">
        <v>66.568985783835089</v>
      </c>
      <c r="AT683" s="8">
        <v>87.997426834135439</v>
      </c>
      <c r="AU683" s="8">
        <v>36.732831555671517</v>
      </c>
      <c r="AV683" s="8">
        <v>34.923484389529818</v>
      </c>
      <c r="AW683" s="8">
        <v>1.1459423822689241</v>
      </c>
      <c r="AX683" s="8">
        <v>66.79032406779605</v>
      </c>
      <c r="AY683" s="8">
        <v>83.995164202581705</v>
      </c>
      <c r="AZ683" s="8">
        <v>38.801267936844553</v>
      </c>
      <c r="BA683" s="8">
        <v>34.164462510832848</v>
      </c>
      <c r="BB683" s="8">
        <v>1.082870986994305</v>
      </c>
      <c r="BC683" s="8">
        <v>69.666787784982205</v>
      </c>
      <c r="BD683" s="8">
        <v>86.756415719950738</v>
      </c>
      <c r="BE683" s="8">
        <v>32.240654976674747</v>
      </c>
      <c r="BF683" s="8">
        <v>28.990706984303589</v>
      </c>
      <c r="BG683" s="8">
        <v>1.0701911900826011</v>
      </c>
      <c r="BH683" s="8">
        <v>71.47155462517533</v>
      </c>
      <c r="BI683" s="8">
        <v>83.21658558166196</v>
      </c>
    </row>
    <row r="684" spans="1:61" s="5" customFormat="1" x14ac:dyDescent="0.15">
      <c r="A684" s="7">
        <v>2018</v>
      </c>
      <c r="B684" s="7">
        <v>103</v>
      </c>
      <c r="C684" s="7">
        <v>85.274986423509304</v>
      </c>
      <c r="D684" s="7">
        <v>55.165952581290185</v>
      </c>
      <c r="E684" s="8">
        <v>52.30174619265798</v>
      </c>
      <c r="F684" s="8">
        <v>30.967287926343531</v>
      </c>
      <c r="G684" s="8">
        <v>0.94971334465400192</v>
      </c>
      <c r="H684" s="8">
        <v>74.550573429954682</v>
      </c>
      <c r="I684" s="8">
        <v>78.732152334391927</v>
      </c>
      <c r="J684" s="8">
        <v>57.442391190403043</v>
      </c>
      <c r="K684" s="8">
        <v>33.479571678552688</v>
      </c>
      <c r="L684" s="8">
        <v>0.77768324836670943</v>
      </c>
      <c r="M684" s="8">
        <v>75.829594468429917</v>
      </c>
      <c r="N684" s="8">
        <v>94.955893251923115</v>
      </c>
      <c r="O684" s="8">
        <v>289.42899999999997</v>
      </c>
      <c r="P684" s="8">
        <v>283.839</v>
      </c>
      <c r="Q684" s="8">
        <v>101.236</v>
      </c>
      <c r="R684" s="8">
        <v>-0.71967000000000003</v>
      </c>
      <c r="S684" s="8">
        <v>-0.16629099999999999</v>
      </c>
      <c r="T684" s="7">
        <f>C684-D684</f>
        <v>30.109033842219119</v>
      </c>
      <c r="U684" s="8">
        <f>D684/C684</f>
        <v>0.64691833906972729</v>
      </c>
      <c r="V684" s="8">
        <v>53.758730290598564</v>
      </c>
      <c r="W684" s="8">
        <v>34.106043792858856</v>
      </c>
      <c r="X684" s="8">
        <v>0.79525589665350072</v>
      </c>
      <c r="Y684" s="8">
        <v>78.500187756350755</v>
      </c>
      <c r="Z684" s="8">
        <v>98.501086963003686</v>
      </c>
      <c r="AA684" s="7">
        <v>55.600560740500804</v>
      </c>
      <c r="AB684" s="7">
        <v>33.792807735705772</v>
      </c>
      <c r="AC684" s="7">
        <v>0.78646957251010507</v>
      </c>
      <c r="AD684" s="7">
        <v>77.164891112390336</v>
      </c>
      <c r="AE684" s="7">
        <v>96.728490107463401</v>
      </c>
      <c r="AF684" s="8">
        <v>56.462341938017673</v>
      </c>
      <c r="AG684" s="8">
        <v>31.06842679959702</v>
      </c>
      <c r="AH684" s="8">
        <v>0.76520569928564586</v>
      </c>
      <c r="AI684" s="8">
        <v>79.615970596824653</v>
      </c>
      <c r="AJ684" s="8">
        <v>91.856435742710346</v>
      </c>
      <c r="AK684" s="8">
        <v>57.510930430880862</v>
      </c>
      <c r="AL684" s="8">
        <v>33.648193855737532</v>
      </c>
      <c r="AM684" s="8">
        <v>0.77855585934514671</v>
      </c>
      <c r="AN684" s="8">
        <v>75.564796201024592</v>
      </c>
      <c r="AO684" s="8">
        <v>95.172652218942034</v>
      </c>
      <c r="AP684" s="8">
        <v>55.171988316250392</v>
      </c>
      <c r="AQ684" s="8">
        <v>33.908098708431069</v>
      </c>
      <c r="AR684" s="8">
        <v>0.78405588138602444</v>
      </c>
      <c r="AS684" s="8">
        <v>77.409742860232384</v>
      </c>
      <c r="AT684" s="8">
        <v>97.390994767337844</v>
      </c>
      <c r="AU684" s="8">
        <v>59.477133535708731</v>
      </c>
      <c r="AV684" s="8">
        <v>36.243636520723051</v>
      </c>
      <c r="AW684" s="8">
        <v>0.91442593245546</v>
      </c>
      <c r="AX684" s="8">
        <v>70.384302878777959</v>
      </c>
      <c r="AY684" s="8">
        <v>96.680533710929055</v>
      </c>
      <c r="AZ684" s="8">
        <v>57.678934940649548</v>
      </c>
      <c r="BA684" s="8">
        <v>33.524881803194901</v>
      </c>
      <c r="BB684" s="8">
        <v>0.7873526012792017</v>
      </c>
      <c r="BC684" s="8">
        <v>76.41030476520929</v>
      </c>
      <c r="BD684" s="8">
        <v>94.878517863739816</v>
      </c>
      <c r="BE684" s="8"/>
      <c r="BF684" s="8"/>
      <c r="BG684" s="8"/>
      <c r="BH684" s="8"/>
      <c r="BI684" s="8"/>
    </row>
    <row r="685" spans="1:61" s="5" customFormat="1" x14ac:dyDescent="0.15">
      <c r="A685" s="7">
        <v>2018</v>
      </c>
      <c r="B685" s="7">
        <v>104</v>
      </c>
      <c r="C685" s="7">
        <v>30.8877542589839</v>
      </c>
      <c r="D685" s="7">
        <v>7.1138512026892782</v>
      </c>
      <c r="E685" s="8">
        <v>55.36088488903949</v>
      </c>
      <c r="F685" s="8">
        <v>35.183727808462798</v>
      </c>
      <c r="G685" s="8">
        <v>0.95217003973886383</v>
      </c>
      <c r="H685" s="8">
        <v>75.526672679929149</v>
      </c>
      <c r="I685" s="8">
        <v>92.176421580990151</v>
      </c>
      <c r="J685" s="8">
        <v>58.330511961208387</v>
      </c>
      <c r="K685" s="8">
        <v>35.106231675258996</v>
      </c>
      <c r="L685" s="8">
        <v>0.98343711732649675</v>
      </c>
      <c r="M685" s="8">
        <v>75.748965192271811</v>
      </c>
      <c r="N685" s="8">
        <v>106.78264977593921</v>
      </c>
      <c r="O685" s="8">
        <v>287.50900000000001</v>
      </c>
      <c r="P685" s="8">
        <v>279.57900000000001</v>
      </c>
      <c r="Q685" s="8">
        <v>99.705100000000002</v>
      </c>
      <c r="R685" s="8">
        <v>-0.51155799999999996</v>
      </c>
      <c r="S685" s="8">
        <v>0.39895599999999998</v>
      </c>
      <c r="T685" s="7">
        <f>C685-D685</f>
        <v>23.773903056294621</v>
      </c>
      <c r="U685" s="8">
        <f>D685/C685</f>
        <v>0.23031299533925065</v>
      </c>
      <c r="V685" s="8">
        <v>61.74208849674875</v>
      </c>
      <c r="W685" s="8">
        <v>37.083284855301628</v>
      </c>
      <c r="X685" s="8">
        <v>1.1560867094353293</v>
      </c>
      <c r="Y685" s="8">
        <v>70.922395296341051</v>
      </c>
      <c r="Z685" s="8">
        <v>96.880416418975784</v>
      </c>
      <c r="AA685" s="7">
        <v>60.036300228978568</v>
      </c>
      <c r="AB685" s="7">
        <v>36.094758265280312</v>
      </c>
      <c r="AC685" s="7">
        <v>1.0697619133809131</v>
      </c>
      <c r="AD685" s="7">
        <v>73.335680244306431</v>
      </c>
      <c r="AE685" s="7">
        <v>101.83153309745749</v>
      </c>
      <c r="AF685" s="8">
        <v>58.452768467662011</v>
      </c>
      <c r="AG685" s="8">
        <v>34.621635048218927</v>
      </c>
      <c r="AH685" s="8">
        <v>0.94369178892050309</v>
      </c>
      <c r="AI685" s="8">
        <v>76.835748386096782</v>
      </c>
      <c r="AJ685" s="8">
        <v>107.276078174704</v>
      </c>
      <c r="AK685" s="8">
        <v>58.320751682129519</v>
      </c>
      <c r="AL685" s="8">
        <v>35.14491917302734</v>
      </c>
      <c r="AM685" s="8">
        <v>0.9866101631510229</v>
      </c>
      <c r="AN685" s="8">
        <v>75.662202470371355</v>
      </c>
      <c r="AO685" s="8">
        <v>106.743257198668</v>
      </c>
      <c r="AP685" s="8">
        <v>61.576929008540667</v>
      </c>
      <c r="AQ685" s="8">
        <v>36.827698771869642</v>
      </c>
      <c r="AR685" s="8">
        <v>1.116377885502424</v>
      </c>
      <c r="AS685" s="8">
        <v>72.138631196674183</v>
      </c>
      <c r="AT685" s="8">
        <v>102.1649206617539</v>
      </c>
      <c r="AU685" s="8">
        <v>57.682220094596723</v>
      </c>
      <c r="AV685" s="8">
        <v>36.021671504177377</v>
      </c>
      <c r="AW685" s="8">
        <v>1.102235493826502</v>
      </c>
      <c r="AX685" s="8">
        <v>73.751053295673145</v>
      </c>
      <c r="AY685" s="8">
        <v>100.24468691900459</v>
      </c>
      <c r="AZ685" s="8">
        <v>57.6992750821192</v>
      </c>
      <c r="BA685" s="8">
        <v>34.810644873903271</v>
      </c>
      <c r="BB685" s="8">
        <v>0.97314754565802042</v>
      </c>
      <c r="BC685" s="8">
        <v>76.050905886655485</v>
      </c>
      <c r="BD685" s="8">
        <v>107.02463189094119</v>
      </c>
      <c r="BE685" s="8">
        <v>58.843021453296522</v>
      </c>
      <c r="BF685" s="8">
        <v>39.154195260833298</v>
      </c>
      <c r="BG685" s="8">
        <v>1.1072241286847111</v>
      </c>
      <c r="BH685" s="8">
        <v>74.202199428176513</v>
      </c>
      <c r="BI685" s="8">
        <v>114.71055753235549</v>
      </c>
    </row>
    <row r="686" spans="1:61" s="5" customFormat="1" x14ac:dyDescent="0.15">
      <c r="A686" s="7">
        <v>2017</v>
      </c>
      <c r="B686" s="7">
        <v>52</v>
      </c>
      <c r="C686" s="7">
        <v>16.49585501450154</v>
      </c>
      <c r="D686" s="7">
        <v>7.6076593564043486</v>
      </c>
      <c r="E686" s="8">
        <v>38.328945453943469</v>
      </c>
      <c r="F686" s="8">
        <v>17.641613511880252</v>
      </c>
      <c r="G686" s="8">
        <v>0.95369498595493418</v>
      </c>
      <c r="H686" s="8">
        <v>75.643180865586217</v>
      </c>
      <c r="I686" s="8">
        <v>60.021589561913864</v>
      </c>
      <c r="J686" s="8">
        <v>48.032501483256169</v>
      </c>
      <c r="K686" s="8">
        <v>26.131389127824981</v>
      </c>
      <c r="L686" s="8">
        <v>1.0220764521358701</v>
      </c>
      <c r="M686" s="8">
        <v>59.176156802546473</v>
      </c>
      <c r="N686" s="8">
        <v>72.340722182172513</v>
      </c>
      <c r="O686" s="8">
        <v>287.73599999999999</v>
      </c>
      <c r="P686" s="8">
        <v>283.54199999999997</v>
      </c>
      <c r="Q686" s="8">
        <v>92.792400000000001</v>
      </c>
      <c r="R686" s="8">
        <v>-0.25681100000000001</v>
      </c>
      <c r="S686" s="8">
        <v>-5.5950100000000003E-2</v>
      </c>
      <c r="T686" s="7">
        <f>C686-D686</f>
        <v>8.8881956580971924</v>
      </c>
      <c r="U686" s="8">
        <f>D686/C686</f>
        <v>0.46118611916244656</v>
      </c>
      <c r="V686" s="8">
        <v>34.107948230521686</v>
      </c>
      <c r="W686" s="8">
        <v>13.464306974614978</v>
      </c>
      <c r="X686" s="8">
        <v>0.90145251435401796</v>
      </c>
      <c r="Y686" s="8">
        <v>81.583689349839517</v>
      </c>
      <c r="Z686" s="8">
        <v>54.080275218814364</v>
      </c>
      <c r="AA686" s="7">
        <v>41.070224856888927</v>
      </c>
      <c r="AB686" s="7">
        <v>19.797848051219979</v>
      </c>
      <c r="AC686" s="7">
        <v>0.96176448324494401</v>
      </c>
      <c r="AD686" s="7">
        <v>70.379923076192995</v>
      </c>
      <c r="AE686" s="7">
        <v>63.210498700493439</v>
      </c>
      <c r="AF686" s="8">
        <v>48.307342998584119</v>
      </c>
      <c r="AG686" s="8">
        <v>27.096481348128911</v>
      </c>
      <c r="AH686" s="8">
        <v>1.0286592304248801</v>
      </c>
      <c r="AI686" s="8">
        <v>60.745644481810771</v>
      </c>
      <c r="AJ686" s="8">
        <v>73.467002779001504</v>
      </c>
      <c r="AK686" s="8">
        <v>47.973525237630241</v>
      </c>
      <c r="AL686" s="8">
        <v>25.924296994133311</v>
      </c>
      <c r="AM686" s="8">
        <v>1.0206639015289849</v>
      </c>
      <c r="AN686" s="8">
        <v>58.839371834785283</v>
      </c>
      <c r="AO686" s="8">
        <v>72.099041804871987</v>
      </c>
      <c r="AP686" s="8">
        <v>47.045281623212823</v>
      </c>
      <c r="AQ686" s="8">
        <v>24.638782082386619</v>
      </c>
      <c r="AR686" s="8">
        <v>0.97170664952486063</v>
      </c>
      <c r="AS686" s="8">
        <v>57.558690964553662</v>
      </c>
      <c r="AT686" s="8">
        <v>69.995732663652035</v>
      </c>
      <c r="AU686" s="8">
        <v>35.72073432079835</v>
      </c>
      <c r="AV686" s="8">
        <v>18.4558018074644</v>
      </c>
      <c r="AW686" s="8">
        <v>0.9104520448332053</v>
      </c>
      <c r="AX686" s="8">
        <v>63.231744890149791</v>
      </c>
      <c r="AY686" s="8">
        <v>56.979905497336091</v>
      </c>
      <c r="AZ686" s="8">
        <v>53.659461840251247</v>
      </c>
      <c r="BA686" s="8">
        <v>32.223928013733683</v>
      </c>
      <c r="BB686" s="8">
        <v>1.0861340752303219</v>
      </c>
      <c r="BC686" s="8">
        <v>55.63098167222627</v>
      </c>
      <c r="BD686" s="8">
        <v>81.983660797625234</v>
      </c>
      <c r="BE686" s="8">
        <v>50.817145897453663</v>
      </c>
      <c r="BF686" s="8">
        <v>31.300215408336861</v>
      </c>
      <c r="BG686" s="8">
        <v>0.98444529409623494</v>
      </c>
      <c r="BH686" s="8">
        <v>63.571128258682407</v>
      </c>
      <c r="BI686" s="8">
        <v>84.480413328807714</v>
      </c>
    </row>
    <row r="687" spans="1:61" s="5" customFormat="1" x14ac:dyDescent="0.15">
      <c r="A687" s="7">
        <v>2017</v>
      </c>
      <c r="B687" s="7">
        <v>61</v>
      </c>
      <c r="C687" s="7">
        <v>70.089858239301634</v>
      </c>
      <c r="D687" s="7">
        <v>12.615169303176042</v>
      </c>
      <c r="E687" s="8">
        <v>46.844161712408649</v>
      </c>
      <c r="F687" s="8">
        <v>23.455948629462341</v>
      </c>
      <c r="G687" s="8">
        <v>0.95783374034723412</v>
      </c>
      <c r="H687" s="8">
        <v>75.228015592590339</v>
      </c>
      <c r="I687" s="8">
        <v>73.63806865445089</v>
      </c>
      <c r="J687" s="8">
        <v>58.981028311468528</v>
      </c>
      <c r="K687" s="8">
        <v>33.883417660843797</v>
      </c>
      <c r="L687" s="8">
        <v>1.082888924894891</v>
      </c>
      <c r="M687" s="8">
        <v>69.523063744235031</v>
      </c>
      <c r="N687" s="8">
        <v>95.16056544961323</v>
      </c>
      <c r="O687" s="8">
        <v>288.67599999999999</v>
      </c>
      <c r="P687" s="8">
        <v>282.32600000000002</v>
      </c>
      <c r="Q687" s="8">
        <v>97.583799999999997</v>
      </c>
      <c r="R687" s="8">
        <v>-0.29617900000000003</v>
      </c>
      <c r="S687" s="8">
        <v>-0.14288100000000001</v>
      </c>
      <c r="T687" s="7">
        <f>C687-D687</f>
        <v>57.474688936125588</v>
      </c>
      <c r="U687" s="8">
        <f>D687/C687</f>
        <v>0.17998565869694272</v>
      </c>
      <c r="V687" s="8">
        <v>51.797755498991357</v>
      </c>
      <c r="W687" s="8">
        <v>26.7228878323101</v>
      </c>
      <c r="X687" s="8">
        <v>1.014042512930061</v>
      </c>
      <c r="Y687" s="8">
        <v>68.487188939769908</v>
      </c>
      <c r="Z687" s="8">
        <v>75.543710935128288</v>
      </c>
      <c r="AA687" s="7">
        <v>55.389391905229942</v>
      </c>
      <c r="AB687" s="7">
        <v>30.303152746576949</v>
      </c>
      <c r="AC687" s="7">
        <v>1.048465718912476</v>
      </c>
      <c r="AD687" s="7">
        <v>69.00512634200247</v>
      </c>
      <c r="AE687" s="7">
        <v>85.352138192370759</v>
      </c>
      <c r="AF687" s="8">
        <v>58.438393726455551</v>
      </c>
      <c r="AG687" s="8">
        <v>33.200329284809513</v>
      </c>
      <c r="AH687" s="8">
        <v>1.160272624963167</v>
      </c>
      <c r="AI687" s="8">
        <v>70.441317935528232</v>
      </c>
      <c r="AJ687" s="8">
        <v>93.807085972665263</v>
      </c>
      <c r="AK687" s="8">
        <v>59.07782182218979</v>
      </c>
      <c r="AL687" s="8">
        <v>34.005264892618889</v>
      </c>
      <c r="AM687" s="8">
        <v>1.069085455287381</v>
      </c>
      <c r="AN687" s="8">
        <v>69.359268347913826</v>
      </c>
      <c r="AO687" s="8">
        <v>95.401995011755588</v>
      </c>
      <c r="AP687" s="8">
        <v>59.108959175842408</v>
      </c>
      <c r="AQ687" s="8">
        <v>33.336459476461137</v>
      </c>
      <c r="AR687" s="8">
        <v>1.0916840303755271</v>
      </c>
      <c r="AS687" s="8">
        <v>65.865289970996912</v>
      </c>
      <c r="AT687" s="8">
        <v>90.123220786301999</v>
      </c>
      <c r="AU687" s="8">
        <v>45.878507844150633</v>
      </c>
      <c r="AV687" s="8">
        <v>31.043256094335081</v>
      </c>
      <c r="AW687" s="8">
        <v>1.119413135285348</v>
      </c>
      <c r="AX687" s="8">
        <v>67.699142306091517</v>
      </c>
      <c r="AY687" s="8">
        <v>74.868836810432413</v>
      </c>
      <c r="AZ687" s="8">
        <v>60.564499629144287</v>
      </c>
      <c r="BA687" s="8">
        <v>34.511331181321388</v>
      </c>
      <c r="BB687" s="8">
        <v>1.0921703660985069</v>
      </c>
      <c r="BC687" s="8">
        <v>69.048729048981855</v>
      </c>
      <c r="BD687" s="8">
        <v>94.934876322018866</v>
      </c>
      <c r="BE687" s="8">
        <v>45.224284844696761</v>
      </c>
      <c r="BF687" s="8">
        <v>26.335236534223771</v>
      </c>
      <c r="BG687" s="8">
        <v>0.70929907855859042</v>
      </c>
      <c r="BH687" s="8">
        <v>68.353965211983919</v>
      </c>
      <c r="BI687" s="8">
        <v>75.719776176092765</v>
      </c>
    </row>
    <row r="688" spans="1:61" s="5" customFormat="1" x14ac:dyDescent="0.15">
      <c r="A688" s="7">
        <v>2018</v>
      </c>
      <c r="B688" s="7">
        <v>94</v>
      </c>
      <c r="C688" s="7">
        <v>84.227845689271973</v>
      </c>
      <c r="D688" s="7">
        <v>16.042149828209801</v>
      </c>
      <c r="E688" s="8">
        <v>55.939076650039738</v>
      </c>
      <c r="F688" s="8">
        <v>30.378520272038848</v>
      </c>
      <c r="G688" s="8">
        <v>0.95872357215247717</v>
      </c>
      <c r="H688" s="8">
        <v>82.1528852309754</v>
      </c>
      <c r="I688" s="8">
        <v>98.180226467298255</v>
      </c>
      <c r="J688" s="8">
        <v>63.23433999358879</v>
      </c>
      <c r="K688" s="8">
        <v>38.710153412526957</v>
      </c>
      <c r="L688" s="8">
        <v>1.1429673246304199</v>
      </c>
      <c r="M688" s="8">
        <v>73.56733162392797</v>
      </c>
      <c r="N688" s="8">
        <v>111.5919169121303</v>
      </c>
      <c r="O688" s="8">
        <v>288.464</v>
      </c>
      <c r="P688" s="8">
        <v>278.98399999999998</v>
      </c>
      <c r="Q688" s="8">
        <v>98.944999999999993</v>
      </c>
      <c r="R688" s="8">
        <v>-0.151919</v>
      </c>
      <c r="S688" s="8">
        <v>-0.244727</v>
      </c>
      <c r="T688" s="7">
        <f>C688-D688</f>
        <v>68.185695861062172</v>
      </c>
      <c r="U688" s="8">
        <f>D688/C688</f>
        <v>0.19046135748730275</v>
      </c>
      <c r="V688" s="8">
        <v>64.461987763799854</v>
      </c>
      <c r="W688" s="8">
        <v>38.305366670969796</v>
      </c>
      <c r="X688" s="8">
        <v>1.162210737731868</v>
      </c>
      <c r="Y688" s="8">
        <v>69.80205139260309</v>
      </c>
      <c r="Z688" s="8">
        <v>108.3881269162757</v>
      </c>
      <c r="AA688" s="7">
        <v>63.848163878694322</v>
      </c>
      <c r="AB688" s="7">
        <v>38.507760041748377</v>
      </c>
      <c r="AC688" s="7">
        <v>1.152589031181144</v>
      </c>
      <c r="AD688" s="7">
        <v>71.68469150826553</v>
      </c>
      <c r="AE688" s="7">
        <v>109.990021914203</v>
      </c>
      <c r="AF688" s="8">
        <v>62.734356340413221</v>
      </c>
      <c r="AG688" s="8">
        <v>37.957595609833469</v>
      </c>
      <c r="AH688" s="8">
        <v>1.136119370213605</v>
      </c>
      <c r="AI688" s="8">
        <v>74.43929912052711</v>
      </c>
      <c r="AJ688" s="8">
        <v>111.5268089797698</v>
      </c>
      <c r="AK688" s="8">
        <v>63.279119799800782</v>
      </c>
      <c r="AL688" s="8">
        <v>38.777554401247102</v>
      </c>
      <c r="AM688" s="8">
        <v>1.1435806448255621</v>
      </c>
      <c r="AN688" s="8">
        <v>73.489235999655307</v>
      </c>
      <c r="AO688" s="8">
        <v>111.59774814396241</v>
      </c>
      <c r="AP688" s="8">
        <v>65.28059284883912</v>
      </c>
      <c r="AQ688" s="8">
        <v>39.612683561364193</v>
      </c>
      <c r="AR688" s="8">
        <v>1.1741661766665981</v>
      </c>
      <c r="AS688" s="8">
        <v>69.735440851483801</v>
      </c>
      <c r="AT688" s="8">
        <v>110.8587994385648</v>
      </c>
      <c r="AU688" s="8">
        <v>58.322220982425961</v>
      </c>
      <c r="AV688" s="8">
        <v>33.712899910201813</v>
      </c>
      <c r="AW688" s="8">
        <v>1.185844451511737</v>
      </c>
      <c r="AX688" s="8">
        <v>78.591585599623031</v>
      </c>
      <c r="AY688" s="8">
        <v>109.1609653557482</v>
      </c>
      <c r="AZ688" s="8">
        <v>62.314611477877342</v>
      </c>
      <c r="BA688" s="8">
        <v>38.251779213945092</v>
      </c>
      <c r="BB688" s="8">
        <v>1.147456749378589</v>
      </c>
      <c r="BC688" s="8">
        <v>74.001467969316437</v>
      </c>
      <c r="BD688" s="8">
        <v>111.6542500063487</v>
      </c>
      <c r="BE688" s="8">
        <v>59.746463991003637</v>
      </c>
      <c r="BF688" s="8">
        <v>38.999277170908847</v>
      </c>
      <c r="BG688" s="8">
        <v>0.99460698867819941</v>
      </c>
      <c r="BH688" s="8">
        <v>72.482893866185904</v>
      </c>
      <c r="BI688" s="8">
        <v>111.0072405270047</v>
      </c>
    </row>
    <row r="689" spans="1:61" s="5" customFormat="1" x14ac:dyDescent="0.15">
      <c r="A689" s="7">
        <v>2017</v>
      </c>
      <c r="B689" s="7">
        <v>22</v>
      </c>
      <c r="C689" s="7">
        <v>71.276371385702518</v>
      </c>
      <c r="D689" s="7">
        <v>31.525466206917155</v>
      </c>
      <c r="E689" s="8">
        <v>33.561465001549919</v>
      </c>
      <c r="F689" s="8">
        <v>19.87655942498111</v>
      </c>
      <c r="G689" s="8">
        <v>0.9587786682572198</v>
      </c>
      <c r="H689" s="8">
        <v>78.144142746259192</v>
      </c>
      <c r="I689" s="8">
        <v>66.641682085990709</v>
      </c>
      <c r="J689" s="8">
        <v>62.601003626819477</v>
      </c>
      <c r="K689" s="8">
        <v>45.838473404615513</v>
      </c>
      <c r="L689" s="8">
        <v>1.245502561245982</v>
      </c>
      <c r="M689" s="8">
        <v>55.976252100004167</v>
      </c>
      <c r="N689" s="8">
        <v>115.449227691697</v>
      </c>
      <c r="O689" s="8">
        <v>286.661</v>
      </c>
      <c r="P689" s="8">
        <v>278.96800000000002</v>
      </c>
      <c r="Q689" s="8">
        <v>92.297399999999996</v>
      </c>
      <c r="R689" s="8">
        <v>-0.17568900000000001</v>
      </c>
      <c r="S689" s="8">
        <v>-0.106338</v>
      </c>
      <c r="T689" s="7">
        <f>C689-D689</f>
        <v>39.750905178785359</v>
      </c>
      <c r="U689" s="8">
        <f>D689/C689</f>
        <v>0.44229897782424032</v>
      </c>
      <c r="V689" s="8">
        <v>30.096874374110143</v>
      </c>
      <c r="W689" s="8">
        <v>16.561502856454887</v>
      </c>
      <c r="X689" s="8">
        <v>0.91515950746476382</v>
      </c>
      <c r="Y689" s="8">
        <v>78.105687120052579</v>
      </c>
      <c r="Z689" s="8">
        <v>61.310440804884522</v>
      </c>
      <c r="AA689" s="7">
        <v>46.34893900046481</v>
      </c>
      <c r="AB689" s="7">
        <v>31.1999881305352</v>
      </c>
      <c r="AC689" s="7">
        <v>1.0803310343553729</v>
      </c>
      <c r="AD689" s="7">
        <v>67.04096961002837</v>
      </c>
      <c r="AE689" s="7">
        <v>88.379834248290763</v>
      </c>
      <c r="AF689" s="8">
        <v>60.669924859975048</v>
      </c>
      <c r="AG689" s="8">
        <v>45.569356212915707</v>
      </c>
      <c r="AH689" s="8">
        <v>1.313017377924661</v>
      </c>
      <c r="AI689" s="8">
        <v>56.665821450939589</v>
      </c>
      <c r="AJ689" s="8">
        <v>110.5849385095035</v>
      </c>
      <c r="AK689" s="8">
        <v>62.828721202472543</v>
      </c>
      <c r="AL689" s="8">
        <v>45.870208368259988</v>
      </c>
      <c r="AM689" s="8">
        <v>1.237541047381971</v>
      </c>
      <c r="AN689" s="8">
        <v>55.894936379726097</v>
      </c>
      <c r="AO689" s="8">
        <v>116.0228366810675</v>
      </c>
      <c r="AP689" s="8">
        <v>56.736637289917283</v>
      </c>
      <c r="AQ689" s="8">
        <v>39.95106695710966</v>
      </c>
      <c r="AR689" s="8">
        <v>1.176320223911671</v>
      </c>
      <c r="AS689" s="8">
        <v>57.054027015264708</v>
      </c>
      <c r="AT689" s="8">
        <v>106.092640636409</v>
      </c>
      <c r="AU689" s="8">
        <v>41.857023247666923</v>
      </c>
      <c r="AV689" s="8">
        <v>29.84680166299373</v>
      </c>
      <c r="AW689" s="8">
        <v>1.1889230861180751</v>
      </c>
      <c r="AX689" s="8">
        <v>62.943225538657458</v>
      </c>
      <c r="AY689" s="8">
        <v>74.146858900396424</v>
      </c>
      <c r="AZ689" s="8">
        <v>64.561150675368737</v>
      </c>
      <c r="BA689" s="8">
        <v>48.353021322472102</v>
      </c>
      <c r="BB689" s="8">
        <v>1.252415906783128</v>
      </c>
      <c r="BC689" s="8">
        <v>54.801813847349372</v>
      </c>
      <c r="BD689" s="8">
        <v>119.6816885714349</v>
      </c>
      <c r="BE689" s="8">
        <v>50.010378861940502</v>
      </c>
      <c r="BF689" s="8">
        <v>38.109429874918121</v>
      </c>
      <c r="BG689" s="8">
        <v>0.92180227915527579</v>
      </c>
      <c r="BH689" s="8">
        <v>58.220356931953873</v>
      </c>
      <c r="BI689" s="8">
        <v>92.596963511084539</v>
      </c>
    </row>
    <row r="690" spans="1:61" s="5" customFormat="1" x14ac:dyDescent="0.15">
      <c r="A690" s="7">
        <v>2018</v>
      </c>
      <c r="B690" s="7">
        <v>119</v>
      </c>
      <c r="C690" s="7">
        <v>73.543557732555868</v>
      </c>
      <c r="D690" s="7">
        <v>27.488705700379256</v>
      </c>
      <c r="E690" s="8">
        <v>57.382970039393769</v>
      </c>
      <c r="F690" s="8">
        <v>38.560063388920497</v>
      </c>
      <c r="G690" s="8">
        <v>0.96054131016364475</v>
      </c>
      <c r="H690" s="8">
        <v>75.500041802418934</v>
      </c>
      <c r="I690" s="8">
        <v>105.13796615506971</v>
      </c>
      <c r="J690" s="8">
        <v>60.733779381028178</v>
      </c>
      <c r="K690" s="8">
        <v>37.072204897883168</v>
      </c>
      <c r="L690" s="8">
        <v>1.0608781516637631</v>
      </c>
      <c r="M690" s="8">
        <v>73.454501003742223</v>
      </c>
      <c r="N690" s="8">
        <v>112.0173838766927</v>
      </c>
      <c r="O690" s="8">
        <v>288.51400000000001</v>
      </c>
      <c r="P690" s="8">
        <v>279.37299999999999</v>
      </c>
      <c r="Q690" s="8">
        <v>101.194</v>
      </c>
      <c r="R690" s="8">
        <v>-0.41893900000000001</v>
      </c>
      <c r="S690" s="8">
        <v>0.400341</v>
      </c>
      <c r="T690" s="7">
        <f>C690-D690</f>
        <v>46.054852032176612</v>
      </c>
      <c r="U690" s="8">
        <f>D690/C690</f>
        <v>0.37377448885928322</v>
      </c>
      <c r="V690" s="8">
        <v>72.728264531075041</v>
      </c>
      <c r="W690" s="8">
        <v>40.504769252640472</v>
      </c>
      <c r="X690" s="8">
        <v>1.2247975022287507</v>
      </c>
      <c r="Y690" s="8">
        <v>66.174956105863856</v>
      </c>
      <c r="Z690" s="8">
        <v>116.92556330493029</v>
      </c>
      <c r="AA690" s="7">
        <v>66.731021956051606</v>
      </c>
      <c r="AB690" s="7">
        <v>38.78848707526182</v>
      </c>
      <c r="AC690" s="7">
        <v>1.1428378269462569</v>
      </c>
      <c r="AD690" s="7">
        <v>69.81472855480304</v>
      </c>
      <c r="AE690" s="7">
        <v>114.4714735908115</v>
      </c>
      <c r="AF690" s="8">
        <v>57.746499077368533</v>
      </c>
      <c r="AG690" s="8">
        <v>35.932798821465163</v>
      </c>
      <c r="AH690" s="8">
        <v>1.0288173814065831</v>
      </c>
      <c r="AI690" s="8">
        <v>75.8033032387589</v>
      </c>
      <c r="AJ690" s="8">
        <v>108.4846619936268</v>
      </c>
      <c r="AK690" s="8">
        <v>60.990589453602247</v>
      </c>
      <c r="AL690" s="8">
        <v>37.170157191418461</v>
      </c>
      <c r="AM690" s="8">
        <v>1.063634347232836</v>
      </c>
      <c r="AN690" s="8">
        <v>73.252579519609</v>
      </c>
      <c r="AO690" s="8">
        <v>112.3210843905222</v>
      </c>
      <c r="AP690" s="8">
        <v>68.41504761731774</v>
      </c>
      <c r="AQ690" s="8">
        <v>39.379371943760432</v>
      </c>
      <c r="AR690" s="8">
        <v>1.164338843446</v>
      </c>
      <c r="AS690" s="8">
        <v>68.990391700157744</v>
      </c>
      <c r="AT690" s="8">
        <v>114.7929472535691</v>
      </c>
      <c r="AU690" s="8">
        <v>62.215489968387523</v>
      </c>
      <c r="AV690" s="8">
        <v>38.12096411309598</v>
      </c>
      <c r="AW690" s="8">
        <v>1.1237095377126081</v>
      </c>
      <c r="AX690" s="8">
        <v>74.676858961285902</v>
      </c>
      <c r="AY690" s="8">
        <v>115.14475445773969</v>
      </c>
      <c r="AZ690" s="8">
        <v>61.513317696104387</v>
      </c>
      <c r="BA690" s="8">
        <v>36.961452528865657</v>
      </c>
      <c r="BB690" s="8">
        <v>1.0757528402158749</v>
      </c>
      <c r="BC690" s="8">
        <v>72.406735924559854</v>
      </c>
      <c r="BD690" s="8">
        <v>113.9804132683641</v>
      </c>
      <c r="BE690" s="8">
        <v>62.22707369480699</v>
      </c>
      <c r="BF690" s="8">
        <v>40.922277074517993</v>
      </c>
      <c r="BG690" s="8">
        <v>1.1653941744839009</v>
      </c>
      <c r="BH690" s="8">
        <v>70.855407054832966</v>
      </c>
      <c r="BI690" s="8">
        <v>122.5106728538525</v>
      </c>
    </row>
    <row r="691" spans="1:61" s="5" customFormat="1" x14ac:dyDescent="0.15">
      <c r="A691" s="7">
        <v>2017</v>
      </c>
      <c r="B691" s="7">
        <v>38</v>
      </c>
      <c r="C691" s="7">
        <v>112.55147928237355</v>
      </c>
      <c r="D691" s="7">
        <v>11.586465499727792</v>
      </c>
      <c r="E691" s="8">
        <v>48.02753735721592</v>
      </c>
      <c r="F691" s="8">
        <v>32.091949242868608</v>
      </c>
      <c r="G691" s="8">
        <v>0.96428041513931151</v>
      </c>
      <c r="H691" s="8">
        <v>77.002309105134927</v>
      </c>
      <c r="I691" s="8">
        <v>91.202711304973334</v>
      </c>
      <c r="J691" s="8">
        <v>70.192145299172694</v>
      </c>
      <c r="K691" s="8">
        <v>47.219079666658061</v>
      </c>
      <c r="L691" s="8">
        <v>1.1895705634958429</v>
      </c>
      <c r="M691" s="8">
        <v>66.58397397057594</v>
      </c>
      <c r="N691" s="8">
        <v>124.8413947232273</v>
      </c>
      <c r="O691" s="8">
        <v>286.01</v>
      </c>
      <c r="P691" s="8">
        <v>276.44499999999999</v>
      </c>
      <c r="Q691" s="8">
        <v>96.925600000000003</v>
      </c>
      <c r="R691" s="8">
        <v>0.29980400000000001</v>
      </c>
      <c r="S691" s="8">
        <v>1.1674400000000001E-3</v>
      </c>
      <c r="T691" s="7">
        <f>C691-D691</f>
        <v>100.96501378264576</v>
      </c>
      <c r="U691" s="8">
        <f>D691/C691</f>
        <v>0.10294369806245918</v>
      </c>
      <c r="V691" s="8">
        <v>61.420930595022384</v>
      </c>
      <c r="W691" s="8">
        <v>39.689590827127034</v>
      </c>
      <c r="X691" s="8">
        <v>1.0558882926887592</v>
      </c>
      <c r="Y691" s="8">
        <v>69.29038705645273</v>
      </c>
      <c r="Z691" s="8">
        <v>104.4761773961865</v>
      </c>
      <c r="AA691" s="7">
        <v>65.806537947097539</v>
      </c>
      <c r="AB691" s="7">
        <v>43.454335246892548</v>
      </c>
      <c r="AC691" s="7">
        <v>1.122729428092301</v>
      </c>
      <c r="AD691" s="7">
        <v>67.937180513514335</v>
      </c>
      <c r="AE691" s="7">
        <v>114.6587860597069</v>
      </c>
      <c r="AF691" s="8">
        <v>66.913506200253309</v>
      </c>
      <c r="AG691" s="8">
        <v>44.547265115398503</v>
      </c>
      <c r="AH691" s="8">
        <v>1.163978321154177</v>
      </c>
      <c r="AI691" s="8">
        <v>65.146436610830989</v>
      </c>
      <c r="AJ691" s="8">
        <v>123.0058932168532</v>
      </c>
      <c r="AK691" s="8">
        <v>70.697789321962546</v>
      </c>
      <c r="AL691" s="8">
        <v>47.631136930994558</v>
      </c>
      <c r="AM691" s="8">
        <v>1.193517495127971</v>
      </c>
      <c r="AN691" s="8">
        <v>66.805676375616997</v>
      </c>
      <c r="AO691" s="8">
        <v>125.12447265206239</v>
      </c>
      <c r="AP691" s="8">
        <v>72.361667322693748</v>
      </c>
      <c r="AQ691" s="8">
        <v>46.651947519366182</v>
      </c>
      <c r="AR691" s="8">
        <v>1.159870296161434</v>
      </c>
      <c r="AS691" s="8">
        <v>64.445100070619176</v>
      </c>
      <c r="AT691" s="8">
        <v>121.3144461382206</v>
      </c>
      <c r="AU691" s="8">
        <v>53.333123205589366</v>
      </c>
      <c r="AV691" s="8">
        <v>39.880882314976368</v>
      </c>
      <c r="AW691" s="8">
        <v>1.0657924312914639</v>
      </c>
      <c r="AX691" s="8">
        <v>69.571202218855632</v>
      </c>
      <c r="AY691" s="8">
        <v>102.23877171095999</v>
      </c>
      <c r="AZ691" s="8">
        <v>71.671672165784457</v>
      </c>
      <c r="BA691" s="8">
        <v>47.579189370577133</v>
      </c>
      <c r="BB691" s="8">
        <v>1.2059865649194379</v>
      </c>
      <c r="BC691" s="8">
        <v>67.81991110095845</v>
      </c>
      <c r="BD691" s="8">
        <v>125.8240062174989</v>
      </c>
      <c r="BE691" s="8">
        <v>59.739073506851661</v>
      </c>
      <c r="BF691" s="8">
        <v>40.77950203693787</v>
      </c>
      <c r="BG691" s="8">
        <v>1.1542848431355139</v>
      </c>
      <c r="BH691" s="8">
        <v>72.925290622605189</v>
      </c>
      <c r="BI691" s="8">
        <v>112.16320036525239</v>
      </c>
    </row>
    <row r="692" spans="1:61" s="5" customFormat="1" x14ac:dyDescent="0.15">
      <c r="A692" s="7">
        <v>2017</v>
      </c>
      <c r="B692" s="7">
        <v>55</v>
      </c>
      <c r="C692" s="7">
        <v>80.613718235547339</v>
      </c>
      <c r="D692" s="7">
        <v>77.310152887603195</v>
      </c>
      <c r="E692" s="8">
        <v>57.695898302750649</v>
      </c>
      <c r="F692" s="8">
        <v>35.230036463444037</v>
      </c>
      <c r="G692" s="8">
        <v>0.96710628509685326</v>
      </c>
      <c r="H692" s="8">
        <v>77.462524496757126</v>
      </c>
      <c r="I692" s="8">
        <v>106.27716023596049</v>
      </c>
      <c r="J692" s="8">
        <v>63.764157292755463</v>
      </c>
      <c r="K692" s="8">
        <v>35.075144545626941</v>
      </c>
      <c r="L692" s="8">
        <v>1.0969672342391501</v>
      </c>
      <c r="M692" s="8">
        <v>75.117068764912204</v>
      </c>
      <c r="N692" s="8">
        <v>111.826730056195</v>
      </c>
      <c r="O692" s="8">
        <v>288.69400000000002</v>
      </c>
      <c r="P692" s="8">
        <v>281.10899999999998</v>
      </c>
      <c r="Q692" s="8">
        <v>100.907</v>
      </c>
      <c r="R692" s="8">
        <v>-0.43456600000000001</v>
      </c>
      <c r="S692" s="8">
        <v>0.45557199999999998</v>
      </c>
      <c r="T692" s="7">
        <f>C692-D692</f>
        <v>3.3035653479441436</v>
      </c>
      <c r="U692" s="8">
        <f>D692/C692</f>
        <v>0.95901981176092921</v>
      </c>
      <c r="V692" s="8">
        <v>65.472981777567156</v>
      </c>
      <c r="W692" s="8">
        <v>40.772071260156821</v>
      </c>
      <c r="X692" s="8">
        <v>1.2746157796523558</v>
      </c>
      <c r="Y692" s="8">
        <v>66.402408987760651</v>
      </c>
      <c r="Z692" s="8">
        <v>105.11499472126161</v>
      </c>
      <c r="AA692" s="7">
        <v>64.618569535161313</v>
      </c>
      <c r="AB692" s="7">
        <v>37.923607902891881</v>
      </c>
      <c r="AC692" s="7">
        <v>1.185791506945753</v>
      </c>
      <c r="AD692" s="7">
        <v>70.759738876336428</v>
      </c>
      <c r="AE692" s="7">
        <v>108.47086238872831</v>
      </c>
      <c r="AF692" s="8">
        <v>61.588426049491652</v>
      </c>
      <c r="AG692" s="8">
        <v>34.412965393567312</v>
      </c>
      <c r="AH692" s="8">
        <v>1.080519446077574</v>
      </c>
      <c r="AI692" s="8">
        <v>77.716421313759298</v>
      </c>
      <c r="AJ692" s="8">
        <v>106.0642537276123</v>
      </c>
      <c r="AK692" s="8">
        <v>63.932480145044288</v>
      </c>
      <c r="AL692" s="8">
        <v>35.126373245837939</v>
      </c>
      <c r="AM692" s="8">
        <v>1.098239697750335</v>
      </c>
      <c r="AN692" s="8">
        <v>74.915972955638537</v>
      </c>
      <c r="AO692" s="8">
        <v>112.2725371635189</v>
      </c>
      <c r="AP692" s="8">
        <v>65.737088535121245</v>
      </c>
      <c r="AQ692" s="8">
        <v>39.099026262405687</v>
      </c>
      <c r="AR692" s="8">
        <v>1.2489322539937271</v>
      </c>
      <c r="AS692" s="8">
        <v>68.918845787601299</v>
      </c>
      <c r="AT692" s="8">
        <v>108.68350638091221</v>
      </c>
      <c r="AU692" s="8">
        <v>56.95813339949742</v>
      </c>
      <c r="AV692" s="8">
        <v>38.075953807916648</v>
      </c>
      <c r="AW692" s="8">
        <v>1.0909154602277431</v>
      </c>
      <c r="AX692" s="8">
        <v>70.985387933302349</v>
      </c>
      <c r="AY692" s="8">
        <v>108.46590120234259</v>
      </c>
      <c r="AZ692" s="8">
        <v>63.89506689168411</v>
      </c>
      <c r="BA692" s="8">
        <v>35.978315281869889</v>
      </c>
      <c r="BB692" s="8">
        <v>1.116570746906689</v>
      </c>
      <c r="BC692" s="8">
        <v>74.692131237546789</v>
      </c>
      <c r="BD692" s="8">
        <v>114.67916850164779</v>
      </c>
      <c r="BE692" s="8">
        <v>55.995164790845607</v>
      </c>
      <c r="BF692" s="8">
        <v>35.8560858486209</v>
      </c>
      <c r="BG692" s="8">
        <v>1.1367588223587679</v>
      </c>
      <c r="BH692" s="8">
        <v>74.233113067876943</v>
      </c>
      <c r="BI692" s="8">
        <v>107.8009481664279</v>
      </c>
    </row>
    <row r="693" spans="1:61" s="5" customFormat="1" x14ac:dyDescent="0.15">
      <c r="A693" s="7">
        <v>2017</v>
      </c>
      <c r="B693" s="7">
        <v>64</v>
      </c>
      <c r="C693" s="7">
        <v>22.299148342539414</v>
      </c>
      <c r="D693" s="7">
        <v>6.9812574696770753</v>
      </c>
      <c r="E693" s="8">
        <v>54.292147252157733</v>
      </c>
      <c r="F693" s="8">
        <v>35.514663836159713</v>
      </c>
      <c r="G693" s="8">
        <v>0.96769670318008638</v>
      </c>
      <c r="H693" s="8">
        <v>75.753409654085061</v>
      </c>
      <c r="I693" s="8">
        <v>98.72194218812993</v>
      </c>
      <c r="J693" s="8">
        <v>62.543481342688438</v>
      </c>
      <c r="K693" s="8">
        <v>38.910962742323981</v>
      </c>
      <c r="L693" s="8">
        <v>1.234301757534928</v>
      </c>
      <c r="M693" s="8">
        <v>73.179754426362322</v>
      </c>
      <c r="N693" s="8">
        <v>112.17486809759311</v>
      </c>
      <c r="O693" s="8">
        <v>287.46800000000002</v>
      </c>
      <c r="P693" s="8">
        <v>278.60199999999998</v>
      </c>
      <c r="Q693" s="8">
        <v>99.650199999999998</v>
      </c>
      <c r="R693" s="8">
        <v>0.119627</v>
      </c>
      <c r="S693" s="8">
        <v>0.45726299999999998</v>
      </c>
      <c r="T693" s="7">
        <f>C693-D693</f>
        <v>15.317890872862339</v>
      </c>
      <c r="U693" s="8">
        <f>D693/C693</f>
        <v>0.31307282961830163</v>
      </c>
      <c r="V693" s="8">
        <v>59.288583262581369</v>
      </c>
      <c r="W693" s="8">
        <v>40.162505633164933</v>
      </c>
      <c r="X693" s="8">
        <v>1.2436733355196261</v>
      </c>
      <c r="Y693" s="8">
        <v>69.4041952568612</v>
      </c>
      <c r="Z693" s="8">
        <v>102.8396691314841</v>
      </c>
      <c r="AA693" s="7">
        <v>60.916032302634903</v>
      </c>
      <c r="AB693" s="7">
        <v>39.536734187744457</v>
      </c>
      <c r="AC693" s="7">
        <v>1.2389875465272771</v>
      </c>
      <c r="AD693" s="7">
        <v>71.291974841611761</v>
      </c>
      <c r="AE693" s="7">
        <v>107.5072686145386</v>
      </c>
      <c r="AF693" s="8">
        <v>62.138518598431823</v>
      </c>
      <c r="AG693" s="8">
        <v>37.864112496741093</v>
      </c>
      <c r="AH693" s="8">
        <v>1.1929586958732781</v>
      </c>
      <c r="AI693" s="8">
        <v>74.332631736138566</v>
      </c>
      <c r="AJ693" s="8">
        <v>114.4640059566314</v>
      </c>
      <c r="AK693" s="8">
        <v>62.578258431978263</v>
      </c>
      <c r="AL693" s="8">
        <v>39.000863368937267</v>
      </c>
      <c r="AM693" s="8">
        <v>1.237852186228217</v>
      </c>
      <c r="AN693" s="8">
        <v>73.080748486406293</v>
      </c>
      <c r="AO693" s="8">
        <v>111.9782832194788</v>
      </c>
      <c r="AP693" s="8">
        <v>62.649081843741463</v>
      </c>
      <c r="AQ693" s="8">
        <v>40.819886537980679</v>
      </c>
      <c r="AR693" s="8">
        <v>1.3203711215451781</v>
      </c>
      <c r="AS693" s="8">
        <v>69.665195208065597</v>
      </c>
      <c r="AT693" s="8">
        <v>108.51850305758551</v>
      </c>
      <c r="AU693" s="8">
        <v>56.109681850611693</v>
      </c>
      <c r="AV693" s="8">
        <v>38.460250473166383</v>
      </c>
      <c r="AW693" s="8">
        <v>1.127399348023042</v>
      </c>
      <c r="AX693" s="8">
        <v>72.928910166109418</v>
      </c>
      <c r="AY693" s="8">
        <v>104.6445749289358</v>
      </c>
      <c r="AZ693" s="8">
        <v>62.8342466073845</v>
      </c>
      <c r="BA693" s="8">
        <v>39.527698208479862</v>
      </c>
      <c r="BB693" s="8">
        <v>1.2567922829608431</v>
      </c>
      <c r="BC693" s="8">
        <v>71.882645997543321</v>
      </c>
      <c r="BD693" s="8">
        <v>112.65514176592229</v>
      </c>
      <c r="BE693" s="8">
        <v>58.403283017487823</v>
      </c>
      <c r="BF693" s="8">
        <v>39.966676182899462</v>
      </c>
      <c r="BG693" s="8">
        <v>1.2088283291545141</v>
      </c>
      <c r="BH693" s="8">
        <v>72.02539353031905</v>
      </c>
      <c r="BI693" s="8">
        <v>108.5620065593737</v>
      </c>
    </row>
    <row r="694" spans="1:61" s="5" customFormat="1" x14ac:dyDescent="0.15">
      <c r="A694" s="7">
        <v>2017</v>
      </c>
      <c r="B694" s="7">
        <v>82</v>
      </c>
      <c r="C694" s="7">
        <v>5.7764390485233124</v>
      </c>
      <c r="D694" s="7">
        <v>2.2307818175155698</v>
      </c>
      <c r="E694" s="8">
        <v>62.124159030655797</v>
      </c>
      <c r="F694" s="8">
        <v>30.723190478610078</v>
      </c>
      <c r="G694" s="8">
        <v>0.97814448385000219</v>
      </c>
      <c r="H694" s="8">
        <v>80.939670969789546</v>
      </c>
      <c r="I694" s="8">
        <v>110.0469436410422</v>
      </c>
      <c r="J694" s="8">
        <v>65.958348812602821</v>
      </c>
      <c r="K694" s="8">
        <v>36.058168651044667</v>
      </c>
      <c r="L694" s="8">
        <v>1.208114666640967</v>
      </c>
      <c r="M694" s="8">
        <v>74.182504049764603</v>
      </c>
      <c r="N694" s="8">
        <v>111.9958446967326</v>
      </c>
      <c r="O694" s="8">
        <v>289.06</v>
      </c>
      <c r="P694" s="8">
        <v>281.14</v>
      </c>
      <c r="Q694" s="8">
        <v>99.36330000000001</v>
      </c>
      <c r="R694" s="8">
        <v>1.5885699999999999E-2</v>
      </c>
      <c r="S694" s="8">
        <v>-7.59904E-2</v>
      </c>
      <c r="T694" s="7">
        <f>C694-D694</f>
        <v>3.5456572310077425</v>
      </c>
      <c r="U694" s="8">
        <f>D694/C694</f>
        <v>0.38618633361774091</v>
      </c>
      <c r="V694" s="8">
        <v>64.459603866978142</v>
      </c>
      <c r="W694" s="8">
        <v>36.774940853276988</v>
      </c>
      <c r="X694" s="8">
        <v>1.2706998955482232</v>
      </c>
      <c r="Y694" s="8">
        <v>71.992356548162505</v>
      </c>
      <c r="Z694" s="8">
        <v>106.89055643715861</v>
      </c>
      <c r="AA694" s="7">
        <v>65.208976339790482</v>
      </c>
      <c r="AB694" s="7">
        <v>36.416554752160827</v>
      </c>
      <c r="AC694" s="7">
        <v>1.2394072810945951</v>
      </c>
      <c r="AD694" s="7">
        <v>73.087430298963554</v>
      </c>
      <c r="AE694" s="7">
        <v>109.44320056694561</v>
      </c>
      <c r="AF694" s="8">
        <v>66.621099969869832</v>
      </c>
      <c r="AG694" s="8">
        <v>35.12728046432759</v>
      </c>
      <c r="AH694" s="8">
        <v>1.224097403239176</v>
      </c>
      <c r="AI694" s="8">
        <v>76.223737747892088</v>
      </c>
      <c r="AJ694" s="8">
        <v>111.9484238487245</v>
      </c>
      <c r="AK694" s="8">
        <v>65.839877310408369</v>
      </c>
      <c r="AL694" s="8">
        <v>36.224571562071219</v>
      </c>
      <c r="AM694" s="8">
        <v>1.2052576383382541</v>
      </c>
      <c r="AN694" s="8">
        <v>73.817618949383458</v>
      </c>
      <c r="AO694" s="8">
        <v>112.0043215119554</v>
      </c>
      <c r="AP694" s="8">
        <v>65.213787302071211</v>
      </c>
      <c r="AQ694" s="8">
        <v>36.542292323747233</v>
      </c>
      <c r="AR694" s="8">
        <v>1.250311912232569</v>
      </c>
      <c r="AS694" s="8">
        <v>72.671426822750846</v>
      </c>
      <c r="AT694" s="8">
        <v>108.53005628168521</v>
      </c>
      <c r="AU694" s="8">
        <v>61.220649077143918</v>
      </c>
      <c r="AV694" s="8">
        <v>37.220296759454619</v>
      </c>
      <c r="AW694" s="8">
        <v>1.2128547533042919</v>
      </c>
      <c r="AX694" s="8">
        <v>74.314868491633675</v>
      </c>
      <c r="AY694" s="8">
        <v>111.1314997726318</v>
      </c>
      <c r="AZ694" s="8">
        <v>65.799129071212604</v>
      </c>
      <c r="BA694" s="8">
        <v>36.445993888974407</v>
      </c>
      <c r="BB694" s="8">
        <v>1.2247946566733889</v>
      </c>
      <c r="BC694" s="8">
        <v>73.995361440241425</v>
      </c>
      <c r="BD694" s="8">
        <v>113.3027043248716</v>
      </c>
      <c r="BE694" s="8">
        <v>56.834642474694498</v>
      </c>
      <c r="BF694" s="8">
        <v>38.791555032133573</v>
      </c>
      <c r="BG694" s="8">
        <v>1.016248130616586</v>
      </c>
      <c r="BH694" s="8">
        <v>69.033260926409881</v>
      </c>
      <c r="BI694" s="8">
        <v>109.2771035419496</v>
      </c>
    </row>
    <row r="695" spans="1:61" s="5" customFormat="1" x14ac:dyDescent="0.15">
      <c r="A695" s="7">
        <v>2019</v>
      </c>
      <c r="B695" s="7">
        <v>70</v>
      </c>
      <c r="C695" s="7">
        <v>107.38260416563415</v>
      </c>
      <c r="D695" s="7">
        <v>22.604104703904298</v>
      </c>
      <c r="E695" s="8">
        <v>52.594713811255779</v>
      </c>
      <c r="F695" s="8">
        <v>33.293303476361373</v>
      </c>
      <c r="G695" s="8">
        <v>0.98055876722861557</v>
      </c>
      <c r="H695" s="8">
        <v>67.941509840872158</v>
      </c>
      <c r="I695" s="8">
        <v>79.699096898410602</v>
      </c>
      <c r="J695" s="8">
        <v>56.744332524693313</v>
      </c>
      <c r="K695" s="8">
        <v>31.42178729384506</v>
      </c>
      <c r="L695" s="8">
        <v>0.85670337282548725</v>
      </c>
      <c r="M695" s="8">
        <v>73.525269572022211</v>
      </c>
      <c r="N695" s="8">
        <v>102.4705922076969</v>
      </c>
      <c r="O695" s="8">
        <v>289.33300000000003</v>
      </c>
      <c r="P695" s="8">
        <v>280.25099999999998</v>
      </c>
      <c r="Q695" s="8">
        <v>101.04900000000001</v>
      </c>
      <c r="R695" s="8">
        <v>-0.29791400000000001</v>
      </c>
      <c r="S695" s="8">
        <v>0.37920700000000002</v>
      </c>
      <c r="T695" s="7">
        <f>C695-D695</f>
        <v>84.778499461729851</v>
      </c>
      <c r="U695" s="8">
        <f>D695/C695</f>
        <v>0.21050061953273369</v>
      </c>
      <c r="V695" s="8">
        <v>61.12641111393831</v>
      </c>
      <c r="W695" s="8">
        <v>35.428718212983682</v>
      </c>
      <c r="X695" s="8">
        <v>0.96232301209205151</v>
      </c>
      <c r="Y695" s="8">
        <v>71.273568450465632</v>
      </c>
      <c r="Z695" s="8">
        <v>105.1132986778339</v>
      </c>
      <c r="AA695" s="7">
        <v>58.935371819315812</v>
      </c>
      <c r="AB695" s="7">
        <v>33.42525275341437</v>
      </c>
      <c r="AC695" s="7">
        <v>0.90951319245876938</v>
      </c>
      <c r="AD695" s="7">
        <v>72.399419011243921</v>
      </c>
      <c r="AE695" s="7">
        <v>103.7919454427654</v>
      </c>
      <c r="AF695" s="8">
        <v>56.158337445211778</v>
      </c>
      <c r="AG695" s="8">
        <v>31.06794552517492</v>
      </c>
      <c r="AH695" s="8">
        <v>0.84607833904757446</v>
      </c>
      <c r="AI695" s="8">
        <v>73.798085333451056</v>
      </c>
      <c r="AJ695" s="8">
        <v>101.2273941829619</v>
      </c>
      <c r="AK695" s="8">
        <v>56.796801392715352</v>
      </c>
      <c r="AL695" s="8">
        <v>31.453469602641</v>
      </c>
      <c r="AM695" s="8">
        <v>0.85765471783595448</v>
      </c>
      <c r="AN695" s="8">
        <v>73.50084217547581</v>
      </c>
      <c r="AO695" s="8">
        <v>102.5819057585594</v>
      </c>
      <c r="AP695" s="8">
        <v>59.834173069671692</v>
      </c>
      <c r="AQ695" s="8">
        <v>34.108550837859553</v>
      </c>
      <c r="AR695" s="8">
        <v>0.9267045905900575</v>
      </c>
      <c r="AS695" s="8">
        <v>72.077435408892825</v>
      </c>
      <c r="AT695" s="8">
        <v>104.6659085116537</v>
      </c>
      <c r="AU695" s="8">
        <v>55.716076714195822</v>
      </c>
      <c r="AV695" s="8">
        <v>33.6251009330241</v>
      </c>
      <c r="AW695" s="8">
        <v>0.9050850389899443</v>
      </c>
      <c r="AX695" s="8">
        <v>69.283900366972162</v>
      </c>
      <c r="AY695" s="8">
        <v>97.284389933554394</v>
      </c>
      <c r="AZ695" s="8">
        <v>55.735718314959733</v>
      </c>
      <c r="BA695" s="8">
        <v>31.078106485598351</v>
      </c>
      <c r="BB695" s="8">
        <v>0.84877355203152094</v>
      </c>
      <c r="BC695" s="8">
        <v>73.533161917606847</v>
      </c>
      <c r="BD695" s="8">
        <v>100.94174604969309</v>
      </c>
      <c r="BE695" s="8"/>
      <c r="BF695" s="8"/>
      <c r="BG695" s="8"/>
      <c r="BH695" s="8"/>
      <c r="BI695" s="8"/>
    </row>
    <row r="696" spans="1:61" s="5" customFormat="1" x14ac:dyDescent="0.15">
      <c r="A696" s="7">
        <v>2017</v>
      </c>
      <c r="B696" s="7">
        <v>68</v>
      </c>
      <c r="C696" s="7">
        <v>50.446870084369671</v>
      </c>
      <c r="D696" s="7">
        <v>21.949638829941417</v>
      </c>
      <c r="E696" s="8">
        <v>38.051130730579423</v>
      </c>
      <c r="F696" s="8">
        <v>16.883389349975541</v>
      </c>
      <c r="G696" s="8">
        <v>0.99208253793735102</v>
      </c>
      <c r="H696" s="8">
        <v>69.420224102593522</v>
      </c>
      <c r="I696" s="8">
        <v>58.329437328721951</v>
      </c>
      <c r="J696" s="8">
        <v>46.981205740823768</v>
      </c>
      <c r="K696" s="8">
        <v>20.098724295407699</v>
      </c>
      <c r="L696" s="8">
        <v>1.092821030882891</v>
      </c>
      <c r="M696" s="8">
        <v>63.686970122961498</v>
      </c>
      <c r="N696" s="8">
        <v>70.028267995940624</v>
      </c>
      <c r="O696" s="8">
        <v>289.8</v>
      </c>
      <c r="P696" s="8">
        <v>285.62099999999998</v>
      </c>
      <c r="Q696" s="8">
        <v>97.671899999999994</v>
      </c>
      <c r="R696" s="8">
        <v>-0.338088</v>
      </c>
      <c r="S696" s="8">
        <v>-0.55870399999999998</v>
      </c>
      <c r="T696" s="7">
        <f>C696-D696</f>
        <v>28.497231254428254</v>
      </c>
      <c r="U696" s="8">
        <f>D696/C696</f>
        <v>0.43510407668963069</v>
      </c>
      <c r="V696" s="8">
        <v>40.398306017130707</v>
      </c>
      <c r="W696" s="8">
        <v>17.867907194629439</v>
      </c>
      <c r="X696" s="8">
        <v>0.90008474516615622</v>
      </c>
      <c r="Y696" s="8">
        <v>67.54793254739397</v>
      </c>
      <c r="Z696" s="8">
        <v>59.937256102725073</v>
      </c>
      <c r="AA696" s="7">
        <v>43.689755878977238</v>
      </c>
      <c r="AB696" s="7">
        <v>18.983315745018569</v>
      </c>
      <c r="AC696" s="7">
        <v>0.99645288802452359</v>
      </c>
      <c r="AD696" s="7">
        <v>65.617451335177734</v>
      </c>
      <c r="AE696" s="7">
        <v>64.982762049332848</v>
      </c>
      <c r="AF696" s="8">
        <v>47.130316597767973</v>
      </c>
      <c r="AG696" s="8">
        <v>19.64516604775627</v>
      </c>
      <c r="AH696" s="8">
        <v>1.121424860297733</v>
      </c>
      <c r="AI696" s="8">
        <v>66.193791112540481</v>
      </c>
      <c r="AJ696" s="8">
        <v>69.660697608765858</v>
      </c>
      <c r="AK696" s="8">
        <v>46.961806243172852</v>
      </c>
      <c r="AL696" s="8">
        <v>20.157732756227961</v>
      </c>
      <c r="AM696" s="8">
        <v>1.089099639074727</v>
      </c>
      <c r="AN696" s="8">
        <v>63.36082976742177</v>
      </c>
      <c r="AO696" s="8">
        <v>70.076089335101841</v>
      </c>
      <c r="AP696" s="8">
        <v>47.771010846078298</v>
      </c>
      <c r="AQ696" s="8">
        <v>20.069256726485179</v>
      </c>
      <c r="AR696" s="8">
        <v>0.99530336503834227</v>
      </c>
      <c r="AS696" s="8">
        <v>62.972394328793243</v>
      </c>
      <c r="AT696" s="8">
        <v>69.788676643314787</v>
      </c>
      <c r="AU696" s="8">
        <v>41.823126057632443</v>
      </c>
      <c r="AV696" s="8">
        <v>21.183001477932699</v>
      </c>
      <c r="AW696" s="8">
        <v>0.94164250668354665</v>
      </c>
      <c r="AX696" s="8">
        <v>60.825011548932657</v>
      </c>
      <c r="AY696" s="8">
        <v>67.814762565692902</v>
      </c>
      <c r="AZ696" s="8">
        <v>48.190590541375869</v>
      </c>
      <c r="BA696" s="8">
        <v>21.43973084402867</v>
      </c>
      <c r="BB696" s="8">
        <v>1.1710683699793649</v>
      </c>
      <c r="BC696" s="8">
        <v>64.043462675273204</v>
      </c>
      <c r="BD696" s="8">
        <v>72.66451498826045</v>
      </c>
      <c r="BE696" s="8">
        <v>41.591719778184768</v>
      </c>
      <c r="BF696" s="8">
        <v>25.27297969300497</v>
      </c>
      <c r="BG696" s="8">
        <v>0.94488568543441009</v>
      </c>
      <c r="BH696" s="8">
        <v>63.931017919148367</v>
      </c>
      <c r="BI696" s="8">
        <v>76.554651906207937</v>
      </c>
    </row>
    <row r="697" spans="1:61" s="5" customFormat="1" x14ac:dyDescent="0.15">
      <c r="A697" s="7">
        <v>2017</v>
      </c>
      <c r="B697" s="7">
        <v>35</v>
      </c>
      <c r="C697" s="7">
        <v>6.3208989362266212</v>
      </c>
      <c r="D697" s="7">
        <v>0.1442857429108087</v>
      </c>
      <c r="E697" s="8">
        <v>53.534905246448297</v>
      </c>
      <c r="F697" s="8">
        <v>36.417685351115239</v>
      </c>
      <c r="G697" s="8">
        <v>1.0011317957839729</v>
      </c>
      <c r="H697" s="8">
        <v>73.976254776407302</v>
      </c>
      <c r="I697" s="8">
        <v>95.658970011258361</v>
      </c>
      <c r="J697" s="8">
        <v>55.455174567065029</v>
      </c>
      <c r="K697" s="8">
        <v>34.906274920929533</v>
      </c>
      <c r="L697" s="8">
        <v>1.012524891594933</v>
      </c>
      <c r="M697" s="8">
        <v>73.751810943265269</v>
      </c>
      <c r="N697" s="8">
        <v>112.95734891026019</v>
      </c>
      <c r="O697" s="8">
        <v>287.65600000000001</v>
      </c>
      <c r="P697" s="8">
        <v>279.32499999999999</v>
      </c>
      <c r="Q697" s="8">
        <v>100.548</v>
      </c>
      <c r="R697" s="8">
        <v>0.105253</v>
      </c>
      <c r="S697" s="8">
        <v>0.28681200000000001</v>
      </c>
      <c r="T697" s="7">
        <f>C697-D697</f>
        <v>6.1766131933158128</v>
      </c>
      <c r="U697" s="8">
        <f>D697/C697</f>
        <v>2.2826775806186639E-2</v>
      </c>
      <c r="V697" s="8">
        <v>52.659435486562117</v>
      </c>
      <c r="W697" s="8">
        <v>38.428163858976106</v>
      </c>
      <c r="X697" s="8">
        <v>1.1582697418530312</v>
      </c>
      <c r="Y697" s="8">
        <v>69.853474790186453</v>
      </c>
      <c r="Z697" s="8">
        <v>88.207234929782217</v>
      </c>
      <c r="AA697" s="7">
        <v>54.057305026813573</v>
      </c>
      <c r="AB697" s="7">
        <v>36.66721938995282</v>
      </c>
      <c r="AC697" s="7">
        <v>1.0853973167239821</v>
      </c>
      <c r="AD697" s="7">
        <v>71.802642866725861</v>
      </c>
      <c r="AE697" s="7">
        <v>100.58229192002121</v>
      </c>
      <c r="AF697" s="8">
        <v>55.03823914418782</v>
      </c>
      <c r="AG697" s="8">
        <v>34.408182653319393</v>
      </c>
      <c r="AH697" s="8">
        <v>0.9920271353133665</v>
      </c>
      <c r="AI697" s="8">
        <v>74.992482645045484</v>
      </c>
      <c r="AJ697" s="8">
        <v>114.4196446198966</v>
      </c>
      <c r="AK697" s="8">
        <v>55.478676576655317</v>
      </c>
      <c r="AL697" s="8">
        <v>34.934351617242449</v>
      </c>
      <c r="AM697" s="8">
        <v>1.0136803186425669</v>
      </c>
      <c r="AN697" s="8">
        <v>73.681876184466347</v>
      </c>
      <c r="AO697" s="8">
        <v>112.8749215464384</v>
      </c>
      <c r="AP697" s="8">
        <v>54.499120053135456</v>
      </c>
      <c r="AQ697" s="8">
        <v>37.827881796678348</v>
      </c>
      <c r="AR697" s="8">
        <v>1.121751163788655</v>
      </c>
      <c r="AS697" s="8">
        <v>70.313451472077546</v>
      </c>
      <c r="AT697" s="8">
        <v>99.278943055240418</v>
      </c>
      <c r="AU697" s="8">
        <v>55.470563921447919</v>
      </c>
      <c r="AV697" s="8">
        <v>38.691265678742653</v>
      </c>
      <c r="AW697" s="8">
        <v>1.1701297237739829</v>
      </c>
      <c r="AX697" s="8">
        <v>70.024965590748522</v>
      </c>
      <c r="AY697" s="8">
        <v>101.8463955077662</v>
      </c>
      <c r="AZ697" s="8">
        <v>55.050209290029223</v>
      </c>
      <c r="BA697" s="8">
        <v>34.702872801482513</v>
      </c>
      <c r="BB697" s="8">
        <v>1.046643995029451</v>
      </c>
      <c r="BC697" s="8">
        <v>74.087432865910685</v>
      </c>
      <c r="BD697" s="8">
        <v>110.72001338586161</v>
      </c>
      <c r="BE697" s="8">
        <v>48.661701207305008</v>
      </c>
      <c r="BF697" s="8">
        <v>32.74400488582765</v>
      </c>
      <c r="BG697" s="8">
        <v>0.87129004917188413</v>
      </c>
      <c r="BH697" s="8">
        <v>76.665623691192636</v>
      </c>
      <c r="BI697" s="8">
        <v>91.015702734015349</v>
      </c>
    </row>
    <row r="698" spans="1:61" s="5" customFormat="1" x14ac:dyDescent="0.15">
      <c r="A698" s="7">
        <v>2018</v>
      </c>
      <c r="B698" s="7">
        <v>60</v>
      </c>
      <c r="C698" s="7">
        <v>30.076300788147346</v>
      </c>
      <c r="D698" s="7">
        <v>16.005100085827291</v>
      </c>
      <c r="E698" s="8">
        <v>36.915134677022799</v>
      </c>
      <c r="F698" s="8">
        <v>19.46215642030235</v>
      </c>
      <c r="G698" s="8">
        <v>1.0013896751027009</v>
      </c>
      <c r="H698" s="8">
        <v>61.597620419581958</v>
      </c>
      <c r="I698" s="8">
        <v>60.703637464406938</v>
      </c>
      <c r="J698" s="8">
        <v>41.33950000732829</v>
      </c>
      <c r="K698" s="8">
        <v>21.189291181031109</v>
      </c>
      <c r="L698" s="8">
        <v>0.96836508849771175</v>
      </c>
      <c r="M698" s="8">
        <v>62.815599084215187</v>
      </c>
      <c r="N698" s="8">
        <v>64.727810537512042</v>
      </c>
      <c r="O698" s="8">
        <v>291.15899999999999</v>
      </c>
      <c r="P698" s="8">
        <v>286.84399999999999</v>
      </c>
      <c r="Q698" s="8">
        <v>100.232</v>
      </c>
      <c r="R698" s="8">
        <v>-0.46146399999999999</v>
      </c>
      <c r="S698" s="8">
        <v>-0.76668099999999995</v>
      </c>
      <c r="T698" s="7">
        <f>C698-D698</f>
        <v>14.071200702320056</v>
      </c>
      <c r="U698" s="8">
        <f>D698/C698</f>
        <v>0.53214988766619464</v>
      </c>
      <c r="V698" s="8">
        <v>38.74161480633159</v>
      </c>
      <c r="W698" s="8">
        <v>19.82845594648559</v>
      </c>
      <c r="X698" s="8">
        <v>1.0449740819012883</v>
      </c>
      <c r="Y698" s="8">
        <v>60.355105414680729</v>
      </c>
      <c r="Z698" s="8">
        <v>60.315804608794153</v>
      </c>
      <c r="AA698" s="7">
        <v>40.04055740682994</v>
      </c>
      <c r="AB698" s="7">
        <v>20.50887356375835</v>
      </c>
      <c r="AC698" s="7">
        <v>1.0066695851995</v>
      </c>
      <c r="AD698" s="7">
        <v>61.585352249447958</v>
      </c>
      <c r="AE698" s="7">
        <v>62.521807573153097</v>
      </c>
      <c r="AF698" s="8">
        <v>40.729962818594707</v>
      </c>
      <c r="AG698" s="8">
        <v>20.896033841170379</v>
      </c>
      <c r="AH698" s="8">
        <v>1.0209329678663559</v>
      </c>
      <c r="AI698" s="8">
        <v>62.005082678179967</v>
      </c>
      <c r="AJ698" s="8">
        <v>64.642689862816084</v>
      </c>
      <c r="AK698" s="8">
        <v>41.434476572558147</v>
      </c>
      <c r="AL698" s="8">
        <v>21.234985808665382</v>
      </c>
      <c r="AM698" s="8">
        <v>0.96017409258124387</v>
      </c>
      <c r="AN698" s="8">
        <v>62.941891730062807</v>
      </c>
      <c r="AO698" s="8">
        <v>64.741073828845387</v>
      </c>
      <c r="AP698" s="8">
        <v>40.906195221203831</v>
      </c>
      <c r="AQ698" s="8">
        <v>20.167383908128912</v>
      </c>
      <c r="AR698" s="8">
        <v>1.0065031446815831</v>
      </c>
      <c r="AS698" s="8">
        <v>62.768480919146121</v>
      </c>
      <c r="AT698" s="8">
        <v>64.009715340744265</v>
      </c>
      <c r="AU698" s="8">
        <v>35.747359612388998</v>
      </c>
      <c r="AV698" s="8">
        <v>19.450888321358981</v>
      </c>
      <c r="AW698" s="8">
        <v>0.70899079367199891</v>
      </c>
      <c r="AX698" s="8">
        <v>64.69587768166609</v>
      </c>
      <c r="AY698" s="8">
        <v>56.46269520877533</v>
      </c>
      <c r="AZ698" s="8">
        <v>42.48931856669639</v>
      </c>
      <c r="BA698" s="8">
        <v>23.068391507295299</v>
      </c>
      <c r="BB698" s="8">
        <v>0.94654096759843642</v>
      </c>
      <c r="BC698" s="8">
        <v>62.387530648890312</v>
      </c>
      <c r="BD698" s="8">
        <v>65.516750100724721</v>
      </c>
      <c r="BE698" s="8">
        <v>33.029763238663129</v>
      </c>
      <c r="BF698" s="8">
        <v>20.703438541282729</v>
      </c>
      <c r="BG698" s="8">
        <v>0.47062773029540977</v>
      </c>
      <c r="BH698" s="8">
        <v>66.933204314615764</v>
      </c>
      <c r="BI698" s="8">
        <v>54.378186316387499</v>
      </c>
    </row>
    <row r="699" spans="1:61" s="5" customFormat="1" x14ac:dyDescent="0.15">
      <c r="A699" s="7">
        <v>2018</v>
      </c>
      <c r="B699" s="7">
        <v>102</v>
      </c>
      <c r="C699" s="7">
        <v>32.349957113022917</v>
      </c>
      <c r="D699" s="7">
        <v>4.0301822810706236</v>
      </c>
      <c r="E699" s="8">
        <v>54.265653985559709</v>
      </c>
      <c r="F699" s="8">
        <v>28.30365713578496</v>
      </c>
      <c r="G699" s="8">
        <v>1.0035358032912569</v>
      </c>
      <c r="H699" s="8">
        <v>73.276890358620093</v>
      </c>
      <c r="I699" s="8">
        <v>85.155528780708735</v>
      </c>
      <c r="J699" s="8">
        <v>57.755271262377448</v>
      </c>
      <c r="K699" s="8">
        <v>29.903498076410639</v>
      </c>
      <c r="L699" s="8">
        <v>0.84531417645074225</v>
      </c>
      <c r="M699" s="8">
        <v>75.262810162929995</v>
      </c>
      <c r="N699" s="8">
        <v>97.061439810875854</v>
      </c>
      <c r="O699" s="8">
        <v>289.35399999999998</v>
      </c>
      <c r="P699" s="8">
        <v>283.14400000000001</v>
      </c>
      <c r="Q699" s="8">
        <v>100.35899999999999</v>
      </c>
      <c r="R699" s="8">
        <v>-0.41687999999999997</v>
      </c>
      <c r="S699" s="8">
        <v>-0.33063900000000002</v>
      </c>
      <c r="T699" s="7">
        <f>C699-D699</f>
        <v>28.319774831952294</v>
      </c>
      <c r="U699" s="8">
        <f>D699/C699</f>
        <v>0.12458076117350457</v>
      </c>
      <c r="V699" s="8">
        <v>58.784373471120617</v>
      </c>
      <c r="W699" s="8">
        <v>33.032355928384021</v>
      </c>
      <c r="X699" s="8">
        <v>0.95624571167252903</v>
      </c>
      <c r="Y699" s="8">
        <v>72.563225186188632</v>
      </c>
      <c r="Z699" s="8">
        <v>102.30851404462236</v>
      </c>
      <c r="AA699" s="7">
        <v>58.269822366749032</v>
      </c>
      <c r="AB699" s="7">
        <v>31.467927002397332</v>
      </c>
      <c r="AC699" s="7">
        <v>0.90077994406163564</v>
      </c>
      <c r="AD699" s="7">
        <v>73.913017674559313</v>
      </c>
      <c r="AE699" s="7">
        <v>99.684976927749105</v>
      </c>
      <c r="AF699" s="8">
        <v>57.738983080986287</v>
      </c>
      <c r="AG699" s="8">
        <v>27.45867029355864</v>
      </c>
      <c r="AH699" s="8">
        <v>0.83547564229354743</v>
      </c>
      <c r="AI699" s="8">
        <v>78.17161865269307</v>
      </c>
      <c r="AJ699" s="8">
        <v>93.342938001564093</v>
      </c>
      <c r="AK699" s="8">
        <v>57.757822774767483</v>
      </c>
      <c r="AL699" s="8">
        <v>30.286475661792469</v>
      </c>
      <c r="AM699" s="8">
        <v>0.84685536396572669</v>
      </c>
      <c r="AN699" s="8">
        <v>74.807150889274283</v>
      </c>
      <c r="AO699" s="8">
        <v>97.643935990834549</v>
      </c>
      <c r="AP699" s="8">
        <v>58.691148389308161</v>
      </c>
      <c r="AQ699" s="8">
        <v>31.938839429895829</v>
      </c>
      <c r="AR699" s="8">
        <v>0.89919668886445947</v>
      </c>
      <c r="AS699" s="8">
        <v>73.860945786278975</v>
      </c>
      <c r="AT699" s="8">
        <v>101.5621880309774</v>
      </c>
      <c r="AU699" s="8">
        <v>55.835845411253949</v>
      </c>
      <c r="AV699" s="8">
        <v>30.81151167512466</v>
      </c>
      <c r="AW699" s="8">
        <v>0.99138256854628137</v>
      </c>
      <c r="AX699" s="8">
        <v>73.699072242731319</v>
      </c>
      <c r="AY699" s="8">
        <v>97.6496843207577</v>
      </c>
      <c r="AZ699" s="8">
        <v>57.675039520737947</v>
      </c>
      <c r="BA699" s="8">
        <v>30.254186632270859</v>
      </c>
      <c r="BB699" s="8">
        <v>0.86028731326158914</v>
      </c>
      <c r="BC699" s="8">
        <v>75.151754598445578</v>
      </c>
      <c r="BD699" s="8">
        <v>96.637481366541579</v>
      </c>
      <c r="BE699" s="8">
        <v>42.068061980241957</v>
      </c>
      <c r="BF699" s="8">
        <v>28.186346272174429</v>
      </c>
      <c r="BG699" s="8">
        <v>0.86651551814361794</v>
      </c>
      <c r="BH699" s="8">
        <v>63.893545321215797</v>
      </c>
      <c r="BI699" s="8">
        <v>71.566782229578607</v>
      </c>
    </row>
    <row r="700" spans="1:61" s="5" customFormat="1" x14ac:dyDescent="0.15">
      <c r="A700" s="7">
        <v>2017</v>
      </c>
      <c r="B700" s="7">
        <v>48</v>
      </c>
      <c r="C700" s="7">
        <v>37.572417683895019</v>
      </c>
      <c r="D700" s="7">
        <v>33.813067205393772</v>
      </c>
      <c r="E700" s="8">
        <v>47.291940267889757</v>
      </c>
      <c r="F700" s="8">
        <v>25.00159969365442</v>
      </c>
      <c r="G700" s="8">
        <v>1.005558749119944</v>
      </c>
      <c r="H700" s="8">
        <v>77.698925379914257</v>
      </c>
      <c r="I700" s="8">
        <v>80.795154018889818</v>
      </c>
      <c r="J700" s="8">
        <v>58.061883365788617</v>
      </c>
      <c r="K700" s="8">
        <v>36.711526242028768</v>
      </c>
      <c r="L700" s="8">
        <v>1.283487617164756</v>
      </c>
      <c r="M700" s="8">
        <v>75.900933984007025</v>
      </c>
      <c r="N700" s="8">
        <v>103.23248326786791</v>
      </c>
      <c r="O700" s="8">
        <v>287.18</v>
      </c>
      <c r="P700" s="8">
        <v>279.32499999999999</v>
      </c>
      <c r="Q700" s="8">
        <v>94.661799999999999</v>
      </c>
      <c r="R700" s="8">
        <v>4.9078799999999999E-2</v>
      </c>
      <c r="S700" s="8">
        <v>-1.2237700000000001E-2</v>
      </c>
      <c r="T700" s="7">
        <f>C700-D700</f>
        <v>3.759350478501247</v>
      </c>
      <c r="U700" s="8">
        <f>D700/C700</f>
        <v>0.89994387611333704</v>
      </c>
      <c r="V700" s="8">
        <v>44.417303999738778</v>
      </c>
      <c r="W700" s="8">
        <v>23.917771024984773</v>
      </c>
      <c r="X700" s="8">
        <v>0.99646546756357401</v>
      </c>
      <c r="Y700" s="8">
        <v>79.111494545651453</v>
      </c>
      <c r="Z700" s="8">
        <v>75.383237645635603</v>
      </c>
      <c r="AA700" s="7">
        <v>51.239593682763697</v>
      </c>
      <c r="AB700" s="7">
        <v>30.314648633506771</v>
      </c>
      <c r="AC700" s="7">
        <v>1.139976542364165</v>
      </c>
      <c r="AD700" s="7">
        <v>77.506214264829239</v>
      </c>
      <c r="AE700" s="7">
        <v>89.307860456751754</v>
      </c>
      <c r="AF700" s="8">
        <v>57.193860851191722</v>
      </c>
      <c r="AG700" s="8">
        <v>36.412319360429237</v>
      </c>
      <c r="AH700" s="8">
        <v>1.3390357719269079</v>
      </c>
      <c r="AI700" s="8">
        <v>75.825691339483214</v>
      </c>
      <c r="AJ700" s="8">
        <v>100.988774615618</v>
      </c>
      <c r="AK700" s="8">
        <v>58.207168927760193</v>
      </c>
      <c r="AL700" s="8">
        <v>36.761606095037138</v>
      </c>
      <c r="AM700" s="8">
        <v>1.274190225973409</v>
      </c>
      <c r="AN700" s="8">
        <v>75.913527747083478</v>
      </c>
      <c r="AO700" s="8">
        <v>103.60802476242689</v>
      </c>
      <c r="AP700" s="8">
        <v>53.709515587919171</v>
      </c>
      <c r="AQ700" s="8">
        <v>33.757278275966193</v>
      </c>
      <c r="AR700" s="8">
        <v>1.233234336893654</v>
      </c>
      <c r="AS700" s="8">
        <v>77.852887423952879</v>
      </c>
      <c r="AT700" s="8">
        <v>94.385748516865775</v>
      </c>
      <c r="AU700" s="8">
        <v>46.743726001369147</v>
      </c>
      <c r="AV700" s="8">
        <v>34.101233163023878</v>
      </c>
      <c r="AW700" s="8">
        <v>1.3001488841945379</v>
      </c>
      <c r="AX700" s="8">
        <v>74.952745638444767</v>
      </c>
      <c r="AY700" s="8">
        <v>81.797772993512709</v>
      </c>
      <c r="AZ700" s="8">
        <v>59.367299742673382</v>
      </c>
      <c r="BA700" s="8">
        <v>38.08574203812222</v>
      </c>
      <c r="BB700" s="8">
        <v>1.302522269400729</v>
      </c>
      <c r="BC700" s="8">
        <v>75.797125418375998</v>
      </c>
      <c r="BD700" s="8">
        <v>108.3647767600072</v>
      </c>
      <c r="BE700" s="8">
        <v>50.629107743651261</v>
      </c>
      <c r="BF700" s="8">
        <v>35.846996411056679</v>
      </c>
      <c r="BG700" s="8">
        <v>1.060314227644956</v>
      </c>
      <c r="BH700" s="8">
        <v>64.784422871707335</v>
      </c>
      <c r="BI700" s="8">
        <v>102.07957992198961</v>
      </c>
    </row>
    <row r="701" spans="1:61" s="5" customFormat="1" x14ac:dyDescent="0.15">
      <c r="A701" s="7">
        <v>2017</v>
      </c>
      <c r="B701" s="7">
        <v>72</v>
      </c>
      <c r="C701" s="7">
        <v>16.036217370450768</v>
      </c>
      <c r="D701" s="7">
        <v>2.5673989689179093</v>
      </c>
      <c r="E701" s="8">
        <v>35.648916214674998</v>
      </c>
      <c r="F701" s="8">
        <v>18.157566572558689</v>
      </c>
      <c r="G701" s="8">
        <v>1.012161319769797</v>
      </c>
      <c r="H701" s="8">
        <v>60.670187126921093</v>
      </c>
      <c r="I701" s="8">
        <v>50.404807186604778</v>
      </c>
      <c r="J701" s="8">
        <v>43.401528991500527</v>
      </c>
      <c r="K701" s="8">
        <v>21.46042279447909</v>
      </c>
      <c r="L701" s="8">
        <v>1.0880503158535231</v>
      </c>
      <c r="M701" s="8">
        <v>60.249941127886302</v>
      </c>
      <c r="N701" s="8">
        <v>62.589757115011693</v>
      </c>
      <c r="O701" s="8">
        <v>292.03399999999999</v>
      </c>
      <c r="P701" s="8">
        <v>287.30700000000002</v>
      </c>
      <c r="Q701" s="8">
        <v>99.154499999999999</v>
      </c>
      <c r="R701" s="8">
        <v>-0.14099800000000001</v>
      </c>
      <c r="S701" s="8">
        <v>-0.743228</v>
      </c>
      <c r="T701" s="7">
        <f>C701-D701</f>
        <v>13.468818401532857</v>
      </c>
      <c r="U701" s="8">
        <f>D701/C701</f>
        <v>0.16010003541413342</v>
      </c>
      <c r="V701" s="8">
        <v>33.988923521419437</v>
      </c>
      <c r="W701" s="8">
        <v>14.925013251259312</v>
      </c>
      <c r="X701" s="8">
        <v>1.0084163598126989</v>
      </c>
      <c r="Y701" s="8">
        <v>60.609450303842536</v>
      </c>
      <c r="Z701" s="8">
        <v>48.461151762287628</v>
      </c>
      <c r="AA701" s="7">
        <v>38.695226256459982</v>
      </c>
      <c r="AB701" s="7">
        <v>18.192718022869201</v>
      </c>
      <c r="AC701" s="7">
        <v>1.048233337833111</v>
      </c>
      <c r="AD701" s="7">
        <v>60.429695715864419</v>
      </c>
      <c r="AE701" s="7">
        <v>55.52545443864966</v>
      </c>
      <c r="AF701" s="8">
        <v>45.852320982330589</v>
      </c>
      <c r="AG701" s="8">
        <v>22.407192821486522</v>
      </c>
      <c r="AH701" s="8">
        <v>1.1217961096502069</v>
      </c>
      <c r="AI701" s="8">
        <v>61.07509227745679</v>
      </c>
      <c r="AJ701" s="8">
        <v>64.798106860315713</v>
      </c>
      <c r="AK701" s="8">
        <v>42.970720815493202</v>
      </c>
      <c r="AL701" s="8">
        <v>21.293996484143669</v>
      </c>
      <c r="AM701" s="8">
        <v>1.0821183706179149</v>
      </c>
      <c r="AN701" s="8">
        <v>60.104893378829289</v>
      </c>
      <c r="AO701" s="8">
        <v>62.201566224344347</v>
      </c>
      <c r="AP701" s="8">
        <v>40.61217886199055</v>
      </c>
      <c r="AQ701" s="8">
        <v>17.627860300931179</v>
      </c>
      <c r="AR701" s="8">
        <v>1.0762577127737121</v>
      </c>
      <c r="AS701" s="8">
        <v>60.466798164627768</v>
      </c>
      <c r="AT701" s="8">
        <v>58.64014167898749</v>
      </c>
      <c r="AU701" s="8">
        <v>37.12319891162872</v>
      </c>
      <c r="AV701" s="8">
        <v>17.861687116137571</v>
      </c>
      <c r="AW701" s="8">
        <v>0.9430053309391494</v>
      </c>
      <c r="AX701" s="8">
        <v>62.119874690956493</v>
      </c>
      <c r="AY701" s="8">
        <v>57.391358125390063</v>
      </c>
      <c r="AZ701" s="8">
        <v>43.918463462007402</v>
      </c>
      <c r="BA701" s="8">
        <v>23.21319219681612</v>
      </c>
      <c r="BB701" s="8">
        <v>1.1113473272719669</v>
      </c>
      <c r="BC701" s="8">
        <v>59.031607311581837</v>
      </c>
      <c r="BD701" s="8">
        <v>64.149516960721812</v>
      </c>
      <c r="BE701" s="8">
        <v>32.4049238958332</v>
      </c>
      <c r="BF701" s="8">
        <v>22.353956057574841</v>
      </c>
      <c r="BG701" s="8">
        <v>0.66847248896806866</v>
      </c>
      <c r="BH701" s="8">
        <v>62.085908703337061</v>
      </c>
      <c r="BI701" s="8">
        <v>56.679626864482152</v>
      </c>
    </row>
    <row r="702" spans="1:61" s="5" customFormat="1" x14ac:dyDescent="0.15">
      <c r="A702" s="7">
        <v>2017</v>
      </c>
      <c r="B702" s="7">
        <v>77</v>
      </c>
      <c r="C702" s="7">
        <v>24.769758547326951</v>
      </c>
      <c r="D702" s="7">
        <v>18.573592341905087</v>
      </c>
      <c r="E702" s="8">
        <v>40.665611036337033</v>
      </c>
      <c r="F702" s="8">
        <v>36.827732061612338</v>
      </c>
      <c r="G702" s="8">
        <v>1.018558052332732</v>
      </c>
      <c r="H702" s="8">
        <v>57.916908941743927</v>
      </c>
      <c r="I702" s="8">
        <v>81.725539724017068</v>
      </c>
      <c r="J702" s="8">
        <v>41.049555288110021</v>
      </c>
      <c r="K702" s="8">
        <v>25.638127503197431</v>
      </c>
      <c r="L702" s="8">
        <v>1.1358807493447061</v>
      </c>
      <c r="M702" s="8">
        <v>64.983355312243404</v>
      </c>
      <c r="N702" s="8">
        <v>82.848577182241101</v>
      </c>
      <c r="O702" s="8">
        <v>279.80200000000002</v>
      </c>
      <c r="P702" s="8">
        <v>269.38499999999999</v>
      </c>
      <c r="Q702" s="8">
        <v>88.656300000000002</v>
      </c>
      <c r="R702" s="8">
        <v>0.40007399999999999</v>
      </c>
      <c r="S702" s="8">
        <v>-0.29505900000000002</v>
      </c>
      <c r="T702" s="7">
        <f>C702-D702</f>
        <v>6.1961662054218642</v>
      </c>
      <c r="U702" s="8">
        <f>D702/C702</f>
        <v>0.74984955167879386</v>
      </c>
      <c r="V702" s="8">
        <v>33.03312681120412</v>
      </c>
      <c r="W702" s="8">
        <v>20.055909409693072</v>
      </c>
      <c r="X702" s="8">
        <v>1.0263306714151481</v>
      </c>
      <c r="Y702" s="8">
        <v>74.627334395814003</v>
      </c>
      <c r="Z702" s="8">
        <v>75.590243910213346</v>
      </c>
      <c r="AA702" s="7">
        <v>37.041341049657071</v>
      </c>
      <c r="AB702" s="7">
        <v>22.847018456445252</v>
      </c>
      <c r="AC702" s="7">
        <v>1.0811057103799271</v>
      </c>
      <c r="AD702" s="7">
        <v>69.805344854028704</v>
      </c>
      <c r="AE702" s="7">
        <v>79.219410546227223</v>
      </c>
      <c r="AF702" s="8">
        <v>44.814078160973231</v>
      </c>
      <c r="AG702" s="8">
        <v>26.371728946231318</v>
      </c>
      <c r="AH702" s="8">
        <v>1.1804418505143</v>
      </c>
      <c r="AI702" s="8">
        <v>63.245392826315069</v>
      </c>
      <c r="AJ702" s="8">
        <v>87.330143978012146</v>
      </c>
      <c r="AK702" s="8">
        <v>40.516789325932272</v>
      </c>
      <c r="AL702" s="8">
        <v>25.5343061447272</v>
      </c>
      <c r="AM702" s="8">
        <v>1.129574335825092</v>
      </c>
      <c r="AN702" s="8">
        <v>65.229316696279341</v>
      </c>
      <c r="AO702" s="8">
        <v>82.214333128838177</v>
      </c>
      <c r="AP702" s="8">
        <v>50.507099389058048</v>
      </c>
      <c r="AQ702" s="8">
        <v>33.381133098835832</v>
      </c>
      <c r="AR702" s="8">
        <v>1.3475932954410139</v>
      </c>
      <c r="AS702" s="8">
        <v>59.663267833277047</v>
      </c>
      <c r="AT702" s="8">
        <v>97.351423836543788</v>
      </c>
      <c r="AU702" s="8">
        <v>34.301544252129588</v>
      </c>
      <c r="AV702" s="8">
        <v>22.43799267753549</v>
      </c>
      <c r="AW702" s="8">
        <v>1.097757279651731</v>
      </c>
      <c r="AX702" s="8">
        <v>70.144110138532056</v>
      </c>
      <c r="AY702" s="8">
        <v>76.489492363129457</v>
      </c>
      <c r="AZ702" s="8">
        <v>41.448757254389307</v>
      </c>
      <c r="BA702" s="8">
        <v>24.329882958522461</v>
      </c>
      <c r="BB702" s="8">
        <v>1.1211798202432091</v>
      </c>
      <c r="BC702" s="8">
        <v>62.878793066272451</v>
      </c>
      <c r="BD702" s="8">
        <v>80.691074062494792</v>
      </c>
      <c r="BE702" s="8">
        <v>39.150050699205401</v>
      </c>
      <c r="BF702" s="8">
        <v>21.0137346187677</v>
      </c>
      <c r="BG702" s="8">
        <v>1.050585999292299</v>
      </c>
      <c r="BH702" s="8">
        <v>72.591110222164986</v>
      </c>
      <c r="BI702" s="8">
        <v>82.385608435281071</v>
      </c>
    </row>
    <row r="703" spans="1:61" s="5" customFormat="1" x14ac:dyDescent="0.15">
      <c r="A703" s="7">
        <v>2017</v>
      </c>
      <c r="B703" s="7">
        <v>16</v>
      </c>
      <c r="C703" s="7">
        <v>234.78983184031401</v>
      </c>
      <c r="D703" s="7">
        <v>205.24126055567623</v>
      </c>
      <c r="E703" s="8">
        <v>61.416047701736282</v>
      </c>
      <c r="F703" s="8">
        <v>31.238527756015799</v>
      </c>
      <c r="G703" s="8">
        <v>1.025793568125988</v>
      </c>
      <c r="H703" s="8">
        <v>81.076865672501484</v>
      </c>
      <c r="I703" s="8">
        <v>107.95995816143039</v>
      </c>
      <c r="J703" s="8">
        <v>65.908183148538527</v>
      </c>
      <c r="K703" s="8">
        <v>39.602386299216668</v>
      </c>
      <c r="L703" s="8">
        <v>1.2980069474096609</v>
      </c>
      <c r="M703" s="8">
        <v>73.728865359786681</v>
      </c>
      <c r="N703" s="8">
        <v>117.9848390480457</v>
      </c>
      <c r="O703" s="8">
        <v>289.20800000000003</v>
      </c>
      <c r="P703" s="8">
        <v>280.38499999999999</v>
      </c>
      <c r="Q703" s="8">
        <v>99.470300000000009</v>
      </c>
      <c r="R703" s="8">
        <v>-0.102866</v>
      </c>
      <c r="S703" s="8">
        <v>0.149175</v>
      </c>
      <c r="T703" s="7">
        <f>C703-D703</f>
        <v>29.548571284637774</v>
      </c>
      <c r="U703" s="8">
        <f>D703/C703</f>
        <v>0.8741488459997091</v>
      </c>
      <c r="V703" s="8">
        <v>61.944741620133627</v>
      </c>
      <c r="W703" s="8">
        <v>32.883521593456273</v>
      </c>
      <c r="X703" s="8">
        <v>1.1982719785794469</v>
      </c>
      <c r="Y703" s="8">
        <v>79.31205600214119</v>
      </c>
      <c r="Z703" s="8">
        <v>108.2493382476199</v>
      </c>
      <c r="AA703" s="7">
        <v>63.926462384336077</v>
      </c>
      <c r="AB703" s="7">
        <v>36.24295394633647</v>
      </c>
      <c r="AC703" s="7">
        <v>1.2481394629945539</v>
      </c>
      <c r="AD703" s="7">
        <v>76.520460680963936</v>
      </c>
      <c r="AE703" s="7">
        <v>113.1170886478328</v>
      </c>
      <c r="AF703" s="8">
        <v>65.177438627628561</v>
      </c>
      <c r="AG703" s="8">
        <v>37.603443595995579</v>
      </c>
      <c r="AH703" s="8">
        <v>1.336669577774618</v>
      </c>
      <c r="AI703" s="8">
        <v>75.285336815968421</v>
      </c>
      <c r="AJ703" s="8">
        <v>114.3655439500366</v>
      </c>
      <c r="AK703" s="8">
        <v>66.008216162442878</v>
      </c>
      <c r="AL703" s="8">
        <v>39.876025385796908</v>
      </c>
      <c r="AM703" s="8">
        <v>1.292714346055551</v>
      </c>
      <c r="AN703" s="8">
        <v>73.51579700776665</v>
      </c>
      <c r="AO703" s="8">
        <v>118.48029127040679</v>
      </c>
      <c r="AP703" s="8">
        <v>63.835566140850929</v>
      </c>
      <c r="AQ703" s="8">
        <v>35.599381296339217</v>
      </c>
      <c r="AR703" s="8">
        <v>1.2603665214996549</v>
      </c>
      <c r="AS703" s="8">
        <v>77.146285049700992</v>
      </c>
      <c r="AT703" s="8">
        <v>111.5041548170004</v>
      </c>
      <c r="AU703" s="8">
        <v>60.579835915180738</v>
      </c>
      <c r="AV703" s="8">
        <v>36.689367047066597</v>
      </c>
      <c r="AW703" s="8">
        <v>1.1905418347036709</v>
      </c>
      <c r="AX703" s="8">
        <v>76.852244723910474</v>
      </c>
      <c r="AY703" s="8">
        <v>109.60081333174919</v>
      </c>
      <c r="AZ703" s="8">
        <v>65.306902873989159</v>
      </c>
      <c r="BA703" s="8">
        <v>39.065442179179712</v>
      </c>
      <c r="BB703" s="8">
        <v>1.29653855526521</v>
      </c>
      <c r="BC703" s="8">
        <v>73.961996958588571</v>
      </c>
      <c r="BD703" s="8">
        <v>119.05034541935331</v>
      </c>
      <c r="BE703" s="8">
        <v>58.078282413634589</v>
      </c>
      <c r="BF703" s="8">
        <v>37.621774461932503</v>
      </c>
      <c r="BG703" s="8">
        <v>1.062651937986155</v>
      </c>
      <c r="BH703" s="8">
        <v>73.317512920086813</v>
      </c>
      <c r="BI703" s="8">
        <v>110.21644736498649</v>
      </c>
    </row>
    <row r="704" spans="1:61" s="5" customFormat="1" x14ac:dyDescent="0.15">
      <c r="A704" s="7">
        <v>2017</v>
      </c>
      <c r="B704" s="7">
        <v>67</v>
      </c>
      <c r="C704" s="7">
        <v>37.693602996433711</v>
      </c>
      <c r="D704" s="7">
        <v>5.1671585297916147</v>
      </c>
      <c r="E704" s="8">
        <v>56.014338785114191</v>
      </c>
      <c r="F704" s="8">
        <v>34.026149921228978</v>
      </c>
      <c r="G704" s="8">
        <v>1.047261308280367</v>
      </c>
      <c r="H704" s="8">
        <v>80.032571059371605</v>
      </c>
      <c r="I704" s="8">
        <v>106.11642496196249</v>
      </c>
      <c r="J704" s="8">
        <v>72.956876357012874</v>
      </c>
      <c r="K704" s="8">
        <v>44.844816772982718</v>
      </c>
      <c r="L704" s="8">
        <v>1.488301390912518</v>
      </c>
      <c r="M704" s="8">
        <v>70.410787109306611</v>
      </c>
      <c r="N704" s="8">
        <v>126.8714465991979</v>
      </c>
      <c r="O704" s="8">
        <v>287.16300000000001</v>
      </c>
      <c r="P704" s="8">
        <v>277.935</v>
      </c>
      <c r="Q704" s="8">
        <v>97.538600000000002</v>
      </c>
      <c r="R704" s="8">
        <v>0.15701699999999999</v>
      </c>
      <c r="S704" s="8">
        <v>0.189383</v>
      </c>
      <c r="T704" s="7">
        <f>C704-D704</f>
        <v>32.526444466642097</v>
      </c>
      <c r="U704" s="8">
        <f>D704/C704</f>
        <v>0.13708316846973989</v>
      </c>
      <c r="V704" s="8">
        <v>69.761565315609175</v>
      </c>
      <c r="W704" s="8">
        <v>42.769632000787887</v>
      </c>
      <c r="X704" s="8">
        <v>1.2026250517506381</v>
      </c>
      <c r="Y704" s="8">
        <v>67.70451831779242</v>
      </c>
      <c r="Z704" s="8">
        <v>116.6450036545225</v>
      </c>
      <c r="AA704" s="7">
        <v>71.359220836311025</v>
      </c>
      <c r="AB704" s="7">
        <v>43.807224386885302</v>
      </c>
      <c r="AC704" s="7">
        <v>1.345463221331578</v>
      </c>
      <c r="AD704" s="7">
        <v>69.057652713549516</v>
      </c>
      <c r="AE704" s="7">
        <v>121.7582251268602</v>
      </c>
      <c r="AF704" s="8">
        <v>73.276623194863319</v>
      </c>
      <c r="AG704" s="8">
        <v>43.985817598555997</v>
      </c>
      <c r="AH704" s="8">
        <v>1.5394267204269629</v>
      </c>
      <c r="AI704" s="8">
        <v>70.612726867435171</v>
      </c>
      <c r="AJ704" s="8">
        <v>124.73250131885381</v>
      </c>
      <c r="AK704" s="8">
        <v>72.905303583545219</v>
      </c>
      <c r="AL704" s="8">
        <v>44.983366915118303</v>
      </c>
      <c r="AM704" s="8">
        <v>1.480055257642737</v>
      </c>
      <c r="AN704" s="8">
        <v>70.378215736685434</v>
      </c>
      <c r="AO704" s="8">
        <v>127.2164424751365</v>
      </c>
      <c r="AP704" s="8">
        <v>74.321807070343695</v>
      </c>
      <c r="AQ704" s="8">
        <v>45.112303974127506</v>
      </c>
      <c r="AR704" s="8">
        <v>1.370688799161881</v>
      </c>
      <c r="AS704" s="8">
        <v>66.663701027984061</v>
      </c>
      <c r="AT704" s="8">
        <v>123.0537877874345</v>
      </c>
      <c r="AU704" s="8">
        <v>65.435702329886666</v>
      </c>
      <c r="AV704" s="8">
        <v>42.285572345643693</v>
      </c>
      <c r="AW704" s="8">
        <v>1.2494037622427869</v>
      </c>
      <c r="AX704" s="8">
        <v>70.838131023253538</v>
      </c>
      <c r="AY704" s="8">
        <v>120.5537153064479</v>
      </c>
      <c r="AZ704" s="8">
        <v>71.463406730911146</v>
      </c>
      <c r="BA704" s="8">
        <v>44.615257353958839</v>
      </c>
      <c r="BB704" s="8">
        <v>1.4354205576712331</v>
      </c>
      <c r="BC704" s="8">
        <v>70.936595912825723</v>
      </c>
      <c r="BD704" s="8">
        <v>125.41090719959431</v>
      </c>
      <c r="BE704" s="8">
        <v>61.82576527652536</v>
      </c>
      <c r="BF704" s="8">
        <v>42.04285582181069</v>
      </c>
      <c r="BG704" s="8">
        <v>1.216688535611232</v>
      </c>
      <c r="BH704" s="8">
        <v>73.363794928318697</v>
      </c>
      <c r="BI704" s="8">
        <v>118.6726068075958</v>
      </c>
    </row>
    <row r="705" spans="1:61" s="5" customFormat="1" x14ac:dyDescent="0.15">
      <c r="A705" s="7">
        <v>2017</v>
      </c>
      <c r="B705" s="7">
        <v>84</v>
      </c>
      <c r="C705" s="7">
        <v>56.20236764552795</v>
      </c>
      <c r="D705" s="7">
        <v>10.530474692152016</v>
      </c>
      <c r="E705" s="8">
        <v>59.866164012049303</v>
      </c>
      <c r="F705" s="8">
        <v>43.052288191686607</v>
      </c>
      <c r="G705" s="8">
        <v>1.1404321512146001</v>
      </c>
      <c r="H705" s="8">
        <v>70.820423975047731</v>
      </c>
      <c r="I705" s="8">
        <v>110.0685426849151</v>
      </c>
      <c r="J705" s="8">
        <v>67.549602785379079</v>
      </c>
      <c r="K705" s="8">
        <v>42.284882450809313</v>
      </c>
      <c r="L705" s="8">
        <v>1.2297841470866331</v>
      </c>
      <c r="M705" s="8">
        <v>72.049948901454684</v>
      </c>
      <c r="N705" s="8">
        <v>112.4505529103285</v>
      </c>
      <c r="O705" s="8">
        <v>288.11799999999999</v>
      </c>
      <c r="P705" s="8">
        <v>278.78500000000003</v>
      </c>
      <c r="Q705" s="8">
        <v>101.39100000000001</v>
      </c>
      <c r="R705" s="8">
        <v>-4.1406699999999998E-2</v>
      </c>
      <c r="S705" s="8">
        <v>0.62985000000000002</v>
      </c>
      <c r="T705" s="7">
        <f>C705-D705</f>
        <v>45.671892953375931</v>
      </c>
      <c r="U705" s="8">
        <f>D705/C705</f>
        <v>0.18736710094792475</v>
      </c>
      <c r="V705" s="8">
        <v>74.557833570884213</v>
      </c>
      <c r="W705" s="8">
        <v>47.444379113894662</v>
      </c>
      <c r="X705" s="8">
        <v>1.4051075134660311</v>
      </c>
      <c r="Y705" s="8">
        <v>62.02929368461534</v>
      </c>
      <c r="Z705" s="8">
        <v>112.7257260825869</v>
      </c>
      <c r="AA705" s="7">
        <v>71.053718178131646</v>
      </c>
      <c r="AB705" s="7">
        <v>44.864630782351988</v>
      </c>
      <c r="AC705" s="7">
        <v>1.3174458302763321</v>
      </c>
      <c r="AD705" s="7">
        <v>67.039621293035012</v>
      </c>
      <c r="AE705" s="7">
        <v>112.5881394964577</v>
      </c>
      <c r="AF705" s="8">
        <v>65.383501303142481</v>
      </c>
      <c r="AG705" s="8">
        <v>41.857730091154593</v>
      </c>
      <c r="AH705" s="8">
        <v>1.234230169219543</v>
      </c>
      <c r="AI705" s="8">
        <v>73.98146778704735</v>
      </c>
      <c r="AJ705" s="8">
        <v>111.1660223257086</v>
      </c>
      <c r="AK705" s="8">
        <v>67.896964749916293</v>
      </c>
      <c r="AL705" s="8">
        <v>42.353381772758517</v>
      </c>
      <c r="AM705" s="8">
        <v>1.229071170804068</v>
      </c>
      <c r="AN705" s="8">
        <v>71.740205244408926</v>
      </c>
      <c r="AO705" s="8">
        <v>112.6565437519584</v>
      </c>
      <c r="AP705" s="8">
        <v>72.217093559395067</v>
      </c>
      <c r="AQ705" s="8">
        <v>45.697110081121771</v>
      </c>
      <c r="AR705" s="8">
        <v>1.339053036129956</v>
      </c>
      <c r="AS705" s="8">
        <v>65.859720901912311</v>
      </c>
      <c r="AT705" s="8">
        <v>112.91386373764151</v>
      </c>
      <c r="AU705" s="8">
        <v>60.480614168239057</v>
      </c>
      <c r="AV705" s="8">
        <v>39.545474371458262</v>
      </c>
      <c r="AW705" s="8">
        <v>1.1922782743441951</v>
      </c>
      <c r="AX705" s="8">
        <v>72.516618581134225</v>
      </c>
      <c r="AY705" s="8">
        <v>111.73755221578971</v>
      </c>
      <c r="AZ705" s="8">
        <v>67.85272141064992</v>
      </c>
      <c r="BA705" s="8">
        <v>42.472703031519039</v>
      </c>
      <c r="BB705" s="8">
        <v>1.258000063034115</v>
      </c>
      <c r="BC705" s="8">
        <v>70.687866265941054</v>
      </c>
      <c r="BD705" s="8">
        <v>112.2312280962477</v>
      </c>
      <c r="BE705" s="8">
        <v>61.411930460664792</v>
      </c>
      <c r="BF705" s="8">
        <v>42.111301736805757</v>
      </c>
      <c r="BG705" s="8">
        <v>1.296763938854038</v>
      </c>
      <c r="BH705" s="8">
        <v>74.540690430896888</v>
      </c>
      <c r="BI705" s="8">
        <v>124.67414961528721</v>
      </c>
    </row>
    <row r="706" spans="1:61" s="5" customFormat="1" x14ac:dyDescent="0.15">
      <c r="A706" s="4"/>
      <c r="B706" s="4"/>
      <c r="C706" s="4"/>
      <c r="D706" s="4"/>
      <c r="T706" s="4"/>
      <c r="AA706" s="4"/>
      <c r="AB706" s="4"/>
      <c r="AC706" s="4"/>
      <c r="AD706" s="4"/>
      <c r="AE706" s="4"/>
      <c r="BE706"/>
      <c r="BF706"/>
      <c r="BG706"/>
      <c r="BH706"/>
      <c r="BI706"/>
    </row>
  </sheetData>
  <sortState ref="A2:BI705">
    <sortCondition ref="G2:G705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 Yang</cp:lastModifiedBy>
  <dcterms:created xsi:type="dcterms:W3CDTF">2024-04-19T05:33:12Z</dcterms:created>
  <dcterms:modified xsi:type="dcterms:W3CDTF">2026-03-17T15:00:13Z</dcterms:modified>
</cp:coreProperties>
</file>